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Research Consultant Projects\Project AHP DRA\"/>
    </mc:Choice>
  </mc:AlternateContent>
  <xr:revisionPtr revIDLastSave="0" documentId="13_ncr:1_{A84AB1AD-410F-4392-9ABE-7C4A8056B70F}" xr6:coauthVersionLast="47" xr6:coauthVersionMax="47" xr10:uidLastSave="{00000000-0000-0000-0000-000000000000}"/>
  <bookViews>
    <workbookView xWindow="-98" yWindow="-98" windowWidth="19396" windowHeight="11475" xr2:uid="{00000000-000D-0000-FFFF-FFFF00000000}"/>
  </bookViews>
  <sheets>
    <sheet name="AHP Dataset" sheetId="3" r:id="rId1"/>
    <sheet name="Dataset" sheetId="2" r:id="rId2"/>
    <sheet name="Data Asli" sheetId="1" r:id="rId3"/>
    <sheet name="AHP Bersih" sheetId="4" r:id="rId4"/>
    <sheet name="Geomean" sheetId="5" r:id="rId5"/>
    <sheet name="Matrix AHP" sheetId="6" r:id="rId6"/>
    <sheet name="AHP" sheetId="7" r:id="rId7"/>
    <sheet name="Ranking" sheetId="8" r:id="rId8"/>
  </sheets>
  <calcPr calcId="191029"/>
</workbook>
</file>

<file path=xl/calcChain.xml><?xml version="1.0" encoding="utf-8"?>
<calcChain xmlns="http://schemas.openxmlformats.org/spreadsheetml/2006/main">
  <c r="B16" i="7" l="1"/>
  <c r="C26" i="8"/>
  <c r="C27" i="8"/>
  <c r="C28" i="8"/>
  <c r="C25" i="8"/>
  <c r="B20" i="8"/>
  <c r="B21" i="8"/>
  <c r="B22" i="8"/>
  <c r="B19" i="8"/>
  <c r="G12" i="8"/>
  <c r="G13" i="8"/>
  <c r="G14" i="8"/>
  <c r="G11" i="8"/>
  <c r="B11" i="8" a="1"/>
  <c r="B11" i="8" s="1"/>
  <c r="B3" i="8" a="1"/>
  <c r="C3" i="8" s="1"/>
  <c r="B18" i="7"/>
  <c r="C6" i="7"/>
  <c r="C10" i="7" s="1"/>
  <c r="E4" i="7"/>
  <c r="D5" i="7" s="1"/>
  <c r="E3" i="7"/>
  <c r="C5" i="7" s="1"/>
  <c r="D3" i="7"/>
  <c r="C4" i="7" s="1"/>
  <c r="E2" i="7"/>
  <c r="B5" i="7" s="1"/>
  <c r="D2" i="7"/>
  <c r="B4" i="7" s="1"/>
  <c r="C2" i="7"/>
  <c r="B3" i="7" s="1"/>
  <c r="B6" i="7" s="1"/>
  <c r="D5" i="6"/>
  <c r="C5" i="6"/>
  <c r="C4" i="6"/>
  <c r="B5" i="6"/>
  <c r="B4" i="6"/>
  <c r="B3" i="6"/>
  <c r="E4" i="6"/>
  <c r="E3" i="6"/>
  <c r="D3" i="6"/>
  <c r="D2" i="6"/>
  <c r="E2" i="6"/>
  <c r="C2" i="6"/>
  <c r="B2" i="5"/>
  <c r="C2" i="5"/>
  <c r="D2" i="5"/>
  <c r="E2" i="5"/>
  <c r="F2" i="5"/>
  <c r="A2" i="5"/>
  <c r="E14" i="8" l="1"/>
  <c r="C14" i="8"/>
  <c r="E13" i="8"/>
  <c r="B13" i="8"/>
  <c r="E12" i="8"/>
  <c r="C12" i="8"/>
  <c r="B12" i="8"/>
  <c r="E11" i="8"/>
  <c r="D14" i="8"/>
  <c r="B14" i="8"/>
  <c r="F14" i="8" s="1"/>
  <c r="D13" i="8"/>
  <c r="C13" i="8"/>
  <c r="D12" i="8"/>
  <c r="D11" i="8"/>
  <c r="C11" i="8"/>
  <c r="B3" i="8"/>
  <c r="F3" i="8" s="1"/>
  <c r="E6" i="8"/>
  <c r="D6" i="8"/>
  <c r="C6" i="8"/>
  <c r="B6" i="8"/>
  <c r="F6" i="8" s="1"/>
  <c r="E5" i="8"/>
  <c r="D5" i="8"/>
  <c r="C5" i="8"/>
  <c r="B5" i="8"/>
  <c r="F5" i="8" s="1"/>
  <c r="E4" i="8"/>
  <c r="D4" i="8"/>
  <c r="C4" i="8"/>
  <c r="B4" i="8"/>
  <c r="F4" i="8" s="1"/>
  <c r="E3" i="8"/>
  <c r="D3" i="8"/>
  <c r="B9" i="7"/>
  <c r="B10" i="7"/>
  <c r="B11" i="7"/>
  <c r="B12" i="7"/>
  <c r="C9" i="7"/>
  <c r="C12" i="7"/>
  <c r="C11" i="7"/>
  <c r="E6" i="7"/>
  <c r="D6" i="7"/>
  <c r="C13" i="7"/>
  <c r="F13" i="8" l="1"/>
  <c r="F12" i="8"/>
  <c r="F11" i="8"/>
  <c r="F7" i="8"/>
  <c r="G4" i="8" s="1"/>
  <c r="D10" i="7"/>
  <c r="D11" i="7"/>
  <c r="D12" i="7"/>
  <c r="D9" i="7"/>
  <c r="D13" i="7" s="1"/>
  <c r="E10" i="7"/>
  <c r="E11" i="7"/>
  <c r="E12" i="7"/>
  <c r="E9" i="7"/>
  <c r="E13" i="7" s="1"/>
  <c r="F12" i="7"/>
  <c r="F11" i="7"/>
  <c r="F10" i="7"/>
  <c r="B13" i="7"/>
  <c r="F9" i="7"/>
  <c r="F15" i="8" l="1"/>
  <c r="G15" i="8"/>
  <c r="G3" i="8"/>
  <c r="G6" i="8"/>
  <c r="G5" i="8"/>
  <c r="F13" i="7"/>
  <c r="B17" i="7"/>
  <c r="B19" i="7" s="1"/>
  <c r="C16" i="7" s="1"/>
  <c r="G7" i="8" l="1"/>
</calcChain>
</file>

<file path=xl/sharedStrings.xml><?xml version="1.0" encoding="utf-8"?>
<sst xmlns="http://schemas.openxmlformats.org/spreadsheetml/2006/main" count="57988" uniqueCount="6107">
  <si>
    <t>Timestamp</t>
  </si>
  <si>
    <t>Nama</t>
  </si>
  <si>
    <t>Jabatan</t>
  </si>
  <si>
    <t xml:space="preserve">  Komunikasi vs Sumber Daya  </t>
  </si>
  <si>
    <t>Komunikasi vs Disposisi</t>
  </si>
  <si>
    <t>Komunikasi vs Struktur Birokrasi</t>
  </si>
  <si>
    <t>Sumber Daya vs Disposisi</t>
  </si>
  <si>
    <t>Sumber Daya vs Struktur Birokrasi</t>
  </si>
  <si>
    <t>Disposisi vs Struktur Birokrasi</t>
  </si>
  <si>
    <t>Jenis Kelamin</t>
  </si>
  <si>
    <t>No. Telephon/Whatsapp*</t>
  </si>
  <si>
    <t>Asal Kota/Kabupaten</t>
  </si>
  <si>
    <t xml:space="preserve">Sejauh mana komunikasi yang efektif antara pemerintah, industri, dan masyarakat mempengaruhi keberhasilan implementasi JPH di Indonesia?  </t>
  </si>
  <si>
    <t xml:space="preserve">Sejauh mana ketersediaan sumber daya, seperti dana dan tenaga ahli, mempengaruhi implementasi JPH?  </t>
  </si>
  <si>
    <t xml:space="preserve">Sejauh mana disposisi atau komitmen dari para pemangku kepentingan (pemerintah dan industri) mempengaruhi implementasi JPH?  </t>
  </si>
  <si>
    <t>Apa tantangan terbesar yang Anda hadapi dalam implementasi JPH di Indonesia terkait dengan komunikasi, sumber daya, disposisi, dan struktur birokrasi?</t>
  </si>
  <si>
    <t xml:space="preserve">Sejauh mana struktur birokrasi yang efisien dan jelas mendukung implementasi JPH?  </t>
  </si>
  <si>
    <t>Apakah Anda merasa bahwa faktor-faktor tertentu lebih penting daripada yang lain dalam konteks implementasi JPH di Indonesia? Jika ya, jelaskan mengapa.</t>
  </si>
  <si>
    <t>Apakah ada faktor lain yang menurut Anda juga mempengaruhi keberhasilan implementasi JPH, namun tidak tercakup dalam kriteria di atas?</t>
  </si>
  <si>
    <t>Lama Pengalaman dalam Implementasi JPH</t>
  </si>
  <si>
    <t>Alamat e-mail</t>
  </si>
  <si>
    <t>Provinsi</t>
  </si>
  <si>
    <t>Jenis Produk Industri/UMKM (Jika dari Pelaku Usaha)</t>
  </si>
  <si>
    <t>Pendidikan Terakhir</t>
  </si>
  <si>
    <t xml:space="preserve">  Penilaian Kriteria Berpasangan  </t>
  </si>
  <si>
    <t>Sugeng ribowo</t>
  </si>
  <si>
    <t>Perbankan</t>
  </si>
  <si>
    <t>Kepala</t>
  </si>
  <si>
    <t>Sama penting (1)</t>
  </si>
  <si>
    <t>Komunikasi lebih penting (7)</t>
  </si>
  <si>
    <t>Sumber Daya lebih penting (7)</t>
  </si>
  <si>
    <t>UMKM</t>
  </si>
  <si>
    <t>Pelaku usaha</t>
  </si>
  <si>
    <t>Komunikasi sangat jauh lebih penting (9)</t>
  </si>
  <si>
    <t>Sumber Daya sangat jauh lebih penting (9)</t>
  </si>
  <si>
    <t>Disposisi sedikit lebih penting (3)</t>
  </si>
  <si>
    <t>Laki-laki</t>
  </si>
  <si>
    <t>Bogor</t>
  </si>
  <si>
    <t>Netral</t>
  </si>
  <si>
    <t>Sangat Tidak Penting</t>
  </si>
  <si>
    <t>Tidak Penting</t>
  </si>
  <si>
    <t>0-5 tahun</t>
  </si>
  <si>
    <t xml:space="preserve">Indiah </t>
  </si>
  <si>
    <t xml:space="preserve">Pembina Industri </t>
  </si>
  <si>
    <t>Komunikasi sedikit lebih penting (3)</t>
  </si>
  <si>
    <t>Struktur Birokrasi sedikit lebih penting (1/3)</t>
  </si>
  <si>
    <t>Perempuan</t>
  </si>
  <si>
    <t xml:space="preserve">Yogyakarta </t>
  </si>
  <si>
    <t>Sangat Penting</t>
  </si>
  <si>
    <t>Penting</t>
  </si>
  <si>
    <t xml:space="preserve">Komunikasi </t>
  </si>
  <si>
    <t>Komunikasi agar seluruh lapisan memahami regulasi tersebut.</t>
  </si>
  <si>
    <t>Suara konsumen terkait kebutuhan Halal</t>
  </si>
  <si>
    <t>1,5 -2 tahun</t>
  </si>
  <si>
    <t>indiah.dardanela@gmail.com</t>
  </si>
  <si>
    <t xml:space="preserve">DI Yogyakarta </t>
  </si>
  <si>
    <t>-</t>
  </si>
  <si>
    <t>S2</t>
  </si>
  <si>
    <t>Alim Mahawan Nuryadi</t>
  </si>
  <si>
    <t>Pembina Industri</t>
  </si>
  <si>
    <t>Komunikasi agak lebih penting (5)</t>
  </si>
  <si>
    <t>Disposisi lebih penting (7)</t>
  </si>
  <si>
    <t>Manado</t>
  </si>
  <si>
    <t>Disposisi pemangku kepentingan dapat merubah ego sektoral dari berbagai pihak yang memiliki kepentingan yang berbeda.</t>
  </si>
  <si>
    <t>Faktor Disposisi menjadikan kepentingan yg berbeda disetiap elemen masyarakat</t>
  </si>
  <si>
    <t>&gt; 3 tahun</t>
  </si>
  <si>
    <t>alimmahawan@gmail.com</t>
  </si>
  <si>
    <t>Sulawesi Utara</t>
  </si>
  <si>
    <t>Bukan PU</t>
  </si>
  <si>
    <t>Fitriana Djafar</t>
  </si>
  <si>
    <t>AMMI Ahli Madya/ Auditor Halal</t>
  </si>
  <si>
    <t>Sumber Daya sangat jauh lebih penting (1/9)</t>
  </si>
  <si>
    <t>Disposisi  sangat jauh lebih penting (1/9)</t>
  </si>
  <si>
    <t>Struktur Birokrasi sangat jauh lebih penting (1/9)</t>
  </si>
  <si>
    <t>Disposisi sangat jauh lebih penting (9)</t>
  </si>
  <si>
    <t>Kota Banda Aceh</t>
  </si>
  <si>
    <t>Sumber daya adalah tantangan terbesar dalam implementasi JPH di Indonesia karena faktor ini merupakan pondasi teknis dan operasional dari implementasi JPH. Tanpa sumber daya (tenaga ahli, dana, fasilitas, dan teknologi), kebijakan tidak bisa dijalankan meskipun komunikasi baik dan birokrasi mendukung.</t>
  </si>
  <si>
    <t>Ke empat faktor tersebut saling terkait satu dan lainnya, namun dalam konteks implementasi bilamana dilakukan urutan berdasarkan prioritas faktor yang lebih penting  yaitu sebagai berikut: 1).sumber daya; 2) disposisi, 3)struktur birokrasi dan 4) komunikasi</t>
  </si>
  <si>
    <t xml:space="preserve">Ya, terdapat faktor lainnya yang juga signifikan mempengaruhi implementasi JPH, antara lain : 1)  Budaya, Kesadaran dan Persepsi Masyarakat (terutama konsumen dan Pelaku Usaha); 2) Peraturan Turunan (spt: PP, Permen, dan SOP teknis) yang jelas dan konsisten) serta skema dan standar audit halal yang jelas dan terinci; 3) Dukungan Teknologi/Sistem Digital yang responsif dan akuntable/aplikasi tidak lambat/tidak sering eror/; 4) Peran pihak swasta/ industri dan atau pihak Fasilitator dalam hal edukasi halal, pembiayaan sertifikasi halal dan pendampingan UMKM; dan 5) Faktor ekonomi dan beban biaya sertifikasi halal (UMKM terbebani biaya terutama jika tidak ada subsidi/ diskon/ program fasilitasi).  </t>
  </si>
  <si>
    <t>2,5 -3 tahun</t>
  </si>
  <si>
    <t>fitrianadjafar79@gmail.com</t>
  </si>
  <si>
    <t>Aceh</t>
  </si>
  <si>
    <t>*Bukan Pelaku Usaha</t>
  </si>
  <si>
    <t>Muhammad Reza</t>
  </si>
  <si>
    <t>Direktur</t>
  </si>
  <si>
    <t xml:space="preserve">Bulukumba </t>
  </si>
  <si>
    <t>Tidak ada</t>
  </si>
  <si>
    <t>1  tahun</t>
  </si>
  <si>
    <t>rezarhasya19@gmail.com</t>
  </si>
  <si>
    <t>Sulawesi Selatan</t>
  </si>
  <si>
    <t>Air Minum Kemasan</t>
  </si>
  <si>
    <t>SMA</t>
  </si>
  <si>
    <t>Yudo Purnomo</t>
  </si>
  <si>
    <t>PMB Madya</t>
  </si>
  <si>
    <t>Struktur Birokrasi lebih penting (1/7)</t>
  </si>
  <si>
    <t>Padang</t>
  </si>
  <si>
    <t>Diperlukan peran aktif pemerintah dan stakeholder terkait untuk lebih menyebarkan pentingnya sertifikasi kehalalan produk</t>
  </si>
  <si>
    <t>Iya, terutama komunikasi dan SDM. Dikarenakan komunikasi yg baik akan mempercepat tersebarnya informasi tentang SH. Dan SDM yang baik juga akan lebih mengakselerasi penyebaran informasi</t>
  </si>
  <si>
    <t>Terkait partisipasi masyarakat. Masih kurangnya partisipasi aktif masyarakar dalam melakukan SH produknya</t>
  </si>
  <si>
    <t>yudopurnomo85@gmail.com</t>
  </si>
  <si>
    <t>Sumatera Barat</t>
  </si>
  <si>
    <t>Layanan jasa industri</t>
  </si>
  <si>
    <t>Novreza Utama Putra</t>
  </si>
  <si>
    <t>Sumber Daya sedikit lebih penting (3)</t>
  </si>
  <si>
    <t>Bekasi</t>
  </si>
  <si>
    <t>Penyebaran informasi tentang JPH terhadap masyarakat masih sangat minim tersampaikan, perlu adanya strategi jitu dalam memberikan edukasi kepada masyarakat.</t>
  </si>
  <si>
    <t>Tidak</t>
  </si>
  <si>
    <t>Tingkat keyakinan spritual masing-masing individu tentang halal.</t>
  </si>
  <si>
    <t>novreza2015@gmail.com</t>
  </si>
  <si>
    <t>Jawa Barat</t>
  </si>
  <si>
    <t>Government</t>
  </si>
  <si>
    <t>Muhammad Alvian Caesar</t>
  </si>
  <si>
    <t>Pelajar</t>
  </si>
  <si>
    <t>Kab Demak</t>
  </si>
  <si>
    <t>Komunikassi,Sumber daya,Disposisi, strukrur birokrasi</t>
  </si>
  <si>
    <t>Ya, dalam konteks implementasi Jaminan Produk Halal (JPH) di Indonesia, faktor sumber daya dapat dikatakan lebih penting daripada faktor lainnya — meskipun semua faktor saling berkaitan. Berikut penjelasan mengapa sumber daya menjadi faktor paling krusial:
Sumber daya merupakan fondasi dari semua faktor lainnya.
Tanpa SDM yang kompeten, auditor yang cukup, penyelia yang terlatih, dan dukungan fasilitas, maka komunikasi, niat baik, dan perbaikan birokrasi tidak akan cukup mendorong suksesnya implementasi JPH.
Namun demikian, keberhasilan implementasi JPH tetap membutuhkan sinergi antar seluruh faktor, bukan berdiri sendiri.</t>
  </si>
  <si>
    <t>Faktor-faktor di luar komunikasi, sumber daya, disposisi, dan struktur birokrasi yang juga sangat memengaruhi keberhasilan JPH adalah:  1. Kesadaran masyarakat   2. Penegakan hukum dan regulasi   3. Teknologi dan infrastruktur   4. Peran pendamping/ormas   5. Transparansi bahan baku    &gt; Semua faktor tersebut berperan sebagai pendukung sistemik yang jika diabaikan, akan menghambat implementasi JPH meskipun struktur formalnya sudah dibangun.</t>
  </si>
  <si>
    <t>alviancesar@gmail.com</t>
  </si>
  <si>
    <t>Jawa Tengah</t>
  </si>
  <si>
    <t>Peyek Mbok Marti</t>
  </si>
  <si>
    <t xml:space="preserve">Pujianto </t>
  </si>
  <si>
    <t xml:space="preserve">Pemilik </t>
  </si>
  <si>
    <t xml:space="preserve">Kabupaten Semarang </t>
  </si>
  <si>
    <t xml:space="preserve">Ada beberapa hal ya g kami hadapi yaitu kurangnya koordinasi dan transparansi dalam penyampaian informasi termasuk dalam perizinan dan pengawasan serta keterbatasan SDM dan anggaran serta sistem yang tidak terintegrasi </t>
  </si>
  <si>
    <t>Tidak...semua faktor diatas sudah mencakup dalam pendukung implementasi JPH tersebut</t>
  </si>
  <si>
    <t xml:space="preserve">Mungkin sering diadakan bimbingan teknis ke lokasi agar mudah dipahami </t>
  </si>
  <si>
    <t>satria.piningit3083@gmail.com</t>
  </si>
  <si>
    <t xml:space="preserve">Jawa Tengah </t>
  </si>
  <si>
    <t xml:space="preserve">Keripik </t>
  </si>
  <si>
    <t>S1</t>
  </si>
  <si>
    <t>Siti khotimah</t>
  </si>
  <si>
    <t xml:space="preserve">Pimpinan </t>
  </si>
  <si>
    <t>Demak</t>
  </si>
  <si>
    <t>ya</t>
  </si>
  <si>
    <t>tidak ada</t>
  </si>
  <si>
    <t>1-6 bulan</t>
  </si>
  <si>
    <t>khotimah.siti2205@gmail.com</t>
  </si>
  <si>
    <t>Jawa tengah</t>
  </si>
  <si>
    <t>Sambel pecel kenangajaya</t>
  </si>
  <si>
    <t>Faisal Muin</t>
  </si>
  <si>
    <t>Pangkajene dan kepulauan</t>
  </si>
  <si>
    <t xml:space="preserve">Meniyapkan atau mencari bahan baku yang sesuai dengan peraturan. </t>
  </si>
  <si>
    <t xml:space="preserve">Ya, agar  konsumen lebih percaya atau yakin dengan produk yang kami tawarkan. </t>
  </si>
  <si>
    <t xml:space="preserve">Tidak ada, karena semua sudah dielaskan dengan sangat jelas. </t>
  </si>
  <si>
    <t>amdkhafas@gmail.com</t>
  </si>
  <si>
    <t>Amdk</t>
  </si>
  <si>
    <t>RITA ZULIANAWATI</t>
  </si>
  <si>
    <t>PEMILIK</t>
  </si>
  <si>
    <t>DEMAK</t>
  </si>
  <si>
    <t>Biaya, pemahaman dan kompleksitas regulasi</t>
  </si>
  <si>
    <t>Ya,karena komitmen dan tanggungjawab manajemen merupakan faktor terpenting disuatu lini perusahaan dan kebijakan halal harus diimplementasikan secara konsisten</t>
  </si>
  <si>
    <t>Ada..yaitu pemahaman dan kesadaran karyawan serta ketersediaan sumber daya serta dukungan eksternal</t>
  </si>
  <si>
    <t>anaryta234@gmail.com</t>
  </si>
  <si>
    <t>JAWA TENGAH</t>
  </si>
  <si>
    <t>MAKANAN RINGAN SIAP SANTAP</t>
  </si>
  <si>
    <t>zainal Arifin</t>
  </si>
  <si>
    <t>Wirasawasta</t>
  </si>
  <si>
    <t>Struktur Birokrasisedikit lebih penting (1/3)</t>
  </si>
  <si>
    <t>Disposisi sedikit lebih penting (1/3)</t>
  </si>
  <si>
    <t>Pinrang</t>
  </si>
  <si>
    <t>Lerang lerang .</t>
  </si>
  <si>
    <t>Sulawesi selatan</t>
  </si>
  <si>
    <t>Bakso ayam , Bakso sapi .</t>
  </si>
  <si>
    <t>HERMAN</t>
  </si>
  <si>
    <t>DIREKTUR</t>
  </si>
  <si>
    <t>SINJAI</t>
  </si>
  <si>
    <t>Kurang informasi</t>
  </si>
  <si>
    <t>cv.hikmahlestari01@gmail.com</t>
  </si>
  <si>
    <t>SULAWESI SELATAN</t>
  </si>
  <si>
    <t>AMDK CUP</t>
  </si>
  <si>
    <t>SMP</t>
  </si>
  <si>
    <t>Sugira</t>
  </si>
  <si>
    <t>Pemilik</t>
  </si>
  <si>
    <t>Sumber Daya agak lebih penting (5)</t>
  </si>
  <si>
    <t>BONE</t>
  </si>
  <si>
    <t>Dana</t>
  </si>
  <si>
    <t>Sudah tercakup semua</t>
  </si>
  <si>
    <t>sugira.ira77@gmail.com</t>
  </si>
  <si>
    <t>ABON IKAN dan Abon Ayam</t>
  </si>
  <si>
    <t xml:space="preserve">Novia Arizandy </t>
  </si>
  <si>
    <t>Pemilik Usaha</t>
  </si>
  <si>
    <t>Watampone / Bone</t>
  </si>
  <si>
    <t>novifaisal99@gmail.com</t>
  </si>
  <si>
    <t xml:space="preserve">Sulawesi Selatan </t>
  </si>
  <si>
    <t>Abon</t>
  </si>
  <si>
    <t>Fajri Haykal Ramadhan</t>
  </si>
  <si>
    <t>Karyawan swasta</t>
  </si>
  <si>
    <t>Cianjur</t>
  </si>
  <si>
    <t>Sumber daya karena masyarakar belum memahami produk halal</t>
  </si>
  <si>
    <t>Ya, inovasi dalam pengelolaan JOH sehingga produk lebih unggul</t>
  </si>
  <si>
    <t>Keterbukaan dan jg pengelolaan keuangan</t>
  </si>
  <si>
    <t>fajrihaykal99@gmail.com</t>
  </si>
  <si>
    <t>Jawa barat</t>
  </si>
  <si>
    <t>Makanan</t>
  </si>
  <si>
    <t>Nadhia</t>
  </si>
  <si>
    <t>IRT</t>
  </si>
  <si>
    <t>Disposisi lebih penting (1/7)</t>
  </si>
  <si>
    <t>Disposisi agak lebih penting (1/5)</t>
  </si>
  <si>
    <t>Jember</t>
  </si>
  <si>
    <t>Struktur birokrasi</t>
  </si>
  <si>
    <t>Semua penting</t>
  </si>
  <si>
    <t>Nadhiahaphap@gmail.com</t>
  </si>
  <si>
    <t>Jateng</t>
  </si>
  <si>
    <t>Fashion</t>
  </si>
  <si>
    <t>Mardianah rusli</t>
  </si>
  <si>
    <t>Owner</t>
  </si>
  <si>
    <t>Struktur Birokrasilebih penting (1/7)</t>
  </si>
  <si>
    <t>Wajo</t>
  </si>
  <si>
    <t>mardianahrusli226@gmail.com</t>
  </si>
  <si>
    <t xml:space="preserve">Abon Sapi &amp; Abon ayam. </t>
  </si>
  <si>
    <t>wirasawasta</t>
  </si>
  <si>
    <t>kesulitan dalam memastikan ketersediaan</t>
  </si>
  <si>
    <t>ya karna dukungan pemerintah lebih penting dalam mencapai penghasilan</t>
  </si>
  <si>
    <t xml:space="preserve">tdk ada, </t>
  </si>
  <si>
    <t>lerang lerang</t>
  </si>
  <si>
    <t>sulawesi selatan</t>
  </si>
  <si>
    <t>Bakso sapi , bkso ayam</t>
  </si>
  <si>
    <t>JASLIN</t>
  </si>
  <si>
    <t>PELAKU USAHA</t>
  </si>
  <si>
    <t>PINRANG</t>
  </si>
  <si>
    <t>Barokah1740@gmail.com</t>
  </si>
  <si>
    <t>ABON</t>
  </si>
  <si>
    <t>Pasha Anantha Apriliza</t>
  </si>
  <si>
    <t>Mahasiswa</t>
  </si>
  <si>
    <t>kab sukabumi</t>
  </si>
  <si>
    <t>Tantangan terbesar dalam implementasi JPH di Indonesia adalah ketidaksiapan struktur birokrasi dan sumber daya, yang diperparah oleh komunikasi yang tidak efektif dan komitmen pelaksana yang belum merata. Untuk menjawab tantangan ini dibutuhkan: Sosialisasi masif dan berkelanjutan Penguatan SDM auditor halal Kolaborasi lintas sektor yang lebih baik Reformasi birokrasi pelayanan halal (termasuk digitalisasi)</t>
  </si>
  <si>
    <t>Komunikasi dan sumber daya adalah dua faktor paling penting dalam implementasi JPH di Indonesia. Tanpa keduanya, kebijakan ini sulit dipahami dan dilaksanakan secara efektif. Namun, disposisi dan struktur birokrasi tetap diperlukan sebagai penguat sistem secara keseluruhan.</t>
  </si>
  <si>
    <t>iya</t>
  </si>
  <si>
    <t>pashaananthaa@gmail.com</t>
  </si>
  <si>
    <t>jawab barat</t>
  </si>
  <si>
    <t>F&amp;B</t>
  </si>
  <si>
    <t xml:space="preserve">Siti Asyri Masnawiyah </t>
  </si>
  <si>
    <t xml:space="preserve">Mahasiswa </t>
  </si>
  <si>
    <t>Sukabumi</t>
  </si>
  <si>
    <t>Tantangan terbesar dalam implementasi Jaminan Produk Halal (JPH) di Indonesia mencakup kurangnya sosialisasi yang efektif kepada pelaku usaha, terutama UMKM, sehingga banyak yang belum memahami kewajiban sertifikasi halal. Selain itu, keterbatasan sumber daya manusia seperti auditor halal memperlambat proses sertifikasi. Dari sisi disposisi, masih terdapat resistensi dari pelaku usaha karena menganggap prosesnya rumit dan mahal. Struktur birokrasi yang berbelit dan lambat juga menjadi hambatan dalam mewujudkan layanan JPH yang efisien dan merata.</t>
  </si>
  <si>
    <t>Ya, dalam konteks implementasi JPH di Indonesia, faktor komunikasi dan sumber daya manusia bisa dianggap lebih penting dibandingkan yang lain. Komunikasi yang efektif sangat krusial karena banyak pelaku usaha, khususnya UMKM, belum memahami pentingnya sertifikasi halal dan prosedurnya. Tanpa pemahaman yang memadai, kepatuhan akan rendah. Selain itu, ketersediaan sumber daya manusia seperti auditor halal dan penyuluh sangat menentukan kelancaran proses sertifikasi. Tanpa SDM yang cukup dan kompeten, proses akan lambat meskipun sistem dan regulasi sudah ada. Faktor-faktor ini menjadi fondasi bagi keberhasilan implementasi JPH secara menyeluruh.</t>
  </si>
  <si>
    <t>Ya, salah satu faktor penting yang juga memengaruhi keberhasilan implementasi JPH namun tidak tercakup dalam kriteria di atas adalah dukungan politik dan regulasi yang konsisten. Kebijakan pemerintah yang kuat, harmonisasi regulasi antarinstansi, serta komitmen politik dari pusat hingga daerah sangat menentukan arah dan keberlanjutan program JPH. Selain itu, partisipasi aktif masyarakat dan lembaga keagamaan juga berperan besar dalam membangun kesadaran dan kepercayaan terhadap pentingnya produk halal. Tanpa dukungan ini, implementasi JPH berisiko stagnan meskipun faktor teknis lainnya terpenuhi.</t>
  </si>
  <si>
    <t>masnawh@gmail.com</t>
  </si>
  <si>
    <t>Basreng renyah</t>
  </si>
  <si>
    <t>Muhamad fiqri</t>
  </si>
  <si>
    <t>Kurangnya literasi dari masyarakat</t>
  </si>
  <si>
    <t>Ada ..</t>
  </si>
  <si>
    <t>mhmdfikri968@gmail.com</t>
  </si>
  <si>
    <t>Kantin sehat</t>
  </si>
  <si>
    <t xml:space="preserve">Elsa Elyanti Suherman </t>
  </si>
  <si>
    <t xml:space="preserve">Kota Sukabumi </t>
  </si>
  <si>
    <t>Tantangan utama implementasi JPH di Indonesia meliputi komunikasi yang kurang merata, terbatasnya auditor dan fasilitas halal, rendahnya komitmen pelaksana, serta birokrasi yang rumit dan lamban.</t>
  </si>
  <si>
    <t>Ya, faktor sumber daya merupakan yang paling krusial dalam implementasi JPH di Indonesia. Tanpa auditor halal yang memadai dan fasilitas pendukung seperti laboratorium yang tersebar merata, proses sertifikasi menjadi lambat dan tidak merata. Meskipun komunikasi dan struktur birokrasi penting, kekurangan sumber daya langsung menghambat pelaksanaan teknis di lapangan, terutama di daerah terpencil dan bagi pelaku UMKM.</t>
  </si>
  <si>
    <t>Ya, salah satu faktor penting yang juga memengaruhi keberhasilan implementasi JPH namun sering luput dari perhatian adalah kesadaran dan partisipasi masyarakat. Tanpa adanya permintaan dan dorongan dari konsumen terhadap produk halal, pelaku usaha akan kurang terdorong untuk mengurus sertifikasi. Kesadaran konsumen tentang pentingnya produk halal dapat menjadi pendorong kuat agar seluruh ekosistem JPH berjalan efektif, terutama dalam mendorong pelaku usaha untuk patuh terhadap regulasi.</t>
  </si>
  <si>
    <t>eelyanti5@gmail.com</t>
  </si>
  <si>
    <t xml:space="preserve">Jawa Barat </t>
  </si>
  <si>
    <t>Seblak</t>
  </si>
  <si>
    <t xml:space="preserve">Mutia Rahmah </t>
  </si>
  <si>
    <t xml:space="preserve">Sukabumi </t>
  </si>
  <si>
    <t>Tantangan terbesar dalam implementasi Jaminan Produk Halal (JPH) di Indonesia berpusat pada kurangnya komunikasi yang efektif, keterbatasan sumber daya seperti auditor dan anggaran, serta disposisi negatif dari pelaku usaha yang menganggap prosesnya rumit dan mahal. Selain itu, struktur birokrasi yang kompleks dan koordinasi yang lambat antar lembaga juga menjadi hambatan.</t>
  </si>
  <si>
    <t>Dari semua faktor ini, disposisi dan kemauan dari seluruh pemangku kepentingan adalah yang paling krusial, karena tanpa kesadaran dan komitmen, tantangan lain sulit diatasi.</t>
  </si>
  <si>
    <t>Faktor lain yang tak kalah penting adalah pemanfaatan teknologi digital untuk mempercepat proses dan meningkatkan transparansi, yang pada akhirnya akan memudahkan semua pihak terlibat.</t>
  </si>
  <si>
    <t>mutiarahmah7804@gmail.com</t>
  </si>
  <si>
    <t xml:space="preserve">Makanan </t>
  </si>
  <si>
    <t>Triana Permata Rizki</t>
  </si>
  <si>
    <t>Kabupaten sukabumi</t>
  </si>
  <si>
    <t>trianapermatarizki07@gmail.com</t>
  </si>
  <si>
    <t>Jualan risol</t>
  </si>
  <si>
    <t>Ihsan Nurjaman</t>
  </si>
  <si>
    <t>Kab sukabumi</t>
  </si>
  <si>
    <t>Komunikasi: Kurangnya sosialisasi dan pemahaman publik serta pelaku usaha tentang kewajiban sertifikasi halal.</t>
  </si>
  <si>
    <t>Ya, faktor sumber daya dapat dianggap paling krusial dalam implementasi JPH di Indonesia. Tanpa jumlah auditor halal, LPH, dan tenaga ahli yang memadai, proses sertifikasi akan terhambat, meskipun komunikasi dan struktur birokrasi sudah baik.</t>
  </si>
  <si>
    <t>Iyaa berul</t>
  </si>
  <si>
    <t>Njmihsan96@gmail.com</t>
  </si>
  <si>
    <t>Bidng jasa Photography</t>
  </si>
  <si>
    <t>Saiful Hidayatullah</t>
  </si>
  <si>
    <t>Kab. Sukabumi</t>
  </si>
  <si>
    <t xml:space="preserve">Kurangnya komunikasi antar pemerintah dan pelaku usaha </t>
  </si>
  <si>
    <t>Tidak, karena ya esensi dalam hal tersebut bisa dilihat dari sudut pandang produk</t>
  </si>
  <si>
    <t>Mungkin sistem pengaturan sumber daya nya dan struktur briokrasi nya harus diperhatikan</t>
  </si>
  <si>
    <t>saifhidayat57@gmail.com</t>
  </si>
  <si>
    <t xml:space="preserve">Karenina julilian zalfa </t>
  </si>
  <si>
    <t xml:space="preserve">Bekasi </t>
  </si>
  <si>
    <t>Tantangan terbesar ada pada gap antara kebijakan yang sudah bagus di atas kertas dan kemampuan eksekusinya di lapangan. Perlu komunikasi yang seragam, sumber daya yang memadai, komitmen kuat dari pelaksana, dan struktur birokrasi yang sederhana agar implementasi JPH berjalan efektif.</t>
  </si>
  <si>
    <t>Dalam kondisi Indonesia sekarang, komunikasi adalah pintu masuk agar pelaku usaha mau bergerak, dan sumber daya adalah mesin penggerak agar kebijakan JPH bisa dieksekusi. Tanpa keduanya, disposisi dan pembenahan birokrasi pun akan berjalan tersendat.</t>
  </si>
  <si>
    <t>Empat faktor awal (komunikasi, sumber daya, disposisi, birokrasi) memang inti, tapi budaya/persepsi, tekanan pasar, dukungan politik, dan kesiapan teknologi juga sangat menentukan apakah JPH hanya berhenti sebagai kebijakan atau benar-benar berjalan di lapangan.</t>
  </si>
  <si>
    <t>zalfaazzahraa.1@gmail.com</t>
  </si>
  <si>
    <t>Cake</t>
  </si>
  <si>
    <t>Dedd Hidayatullah</t>
  </si>
  <si>
    <t>Struktur Birokrasiagak lebih penting (1/5)</t>
  </si>
  <si>
    <t>tantangan terbesar dalam implementasi JPH di Indonesia adalah menciptakan sistem yang terintegrasi, efisien, dan transparan yang didukung oleh komunikasi yang baik dan sumber daya yang memadai. Mengatasi tantangan-tantangan ini membutuhkan kolaborasi yang kuat antara pemerintah, ulama, pelaku usaha, dan masyarakat.</t>
  </si>
  <si>
    <t>Struktur birokrasi dan sumber daya merupakan faktor terpenting dalam implementasi JPH di Indonesia. Birokrasi yang berbelit-belit menjadi fondasi masalah karena menghambat semua proses, termasuk komunikasi dan efisiensi.</t>
  </si>
  <si>
    <t>Berdasarkan kriteria yang telah dibahas (komunikasi, sumber daya, disposisi, dan struktur birokrasi), ada faktor lain yang tak kalah penting dalam keberhasilan implementasi JPH, yaitu kesadaran dan komitmen pelaku usaha.</t>
  </si>
  <si>
    <t>Iday4694@gmail.com</t>
  </si>
  <si>
    <t>Ayam kampung</t>
  </si>
  <si>
    <t>nurisa arsya</t>
  </si>
  <si>
    <t>mahasiswa</t>
  </si>
  <si>
    <t>Disposisi agak lebih penting (5)</t>
  </si>
  <si>
    <t>belum testruktur</t>
  </si>
  <si>
    <t>iyaaaa</t>
  </si>
  <si>
    <t>belim Ada</t>
  </si>
  <si>
    <t>nurisarsya6@gmail.com</t>
  </si>
  <si>
    <t>Siti Purnama Aula</t>
  </si>
  <si>
    <t>Tantangan terbesar dalam implementasi Jaminan Produk Halal (JPH) di Indonesia, terkait komunikasi, sumber daya, disposisi, dan struktur birokrasi, meliputi kesenjangan pemahaman, keterbatasan sumber daya manusia dan anggaran, tumpang tindih kewenangan, serta kompleksitas birokrasi.</t>
  </si>
  <si>
    <t xml:space="preserve">Ya, dalam konteks implementasi Jaminan Produk Halal (JPH) di Indonesia, beberapa faktor memang dirasa lebih krusial daripada yang lain. Pemahaman dan kesadaran masyarakat serta pelaku usaha mengenai pentingnya JPH merupakan faktor kunci. Tanpa pemahaman yang baik, implementasi JPH akan sulit berjalan efektif. Selain itu, keberadaan infrastruktur dan sistem yang mendukung, seperti lembaga sertifikasi halal yang kredibel dan terpercaya (BPJPH), juga sangat penting. Tanpa infrastruktur yang memadai, proses sertifikasi akan terhambat dan kepercayaan masyarakat terhadap produk halal bisa berkurang. </t>
  </si>
  <si>
    <t xml:space="preserve">Selain kriteria yang sudah disebutkan, beberapa faktor lain yang dapat mempengaruhi keberhasilan implementasi Jaminan Produk Halal (JPH) adalah tingkat kesadaran dan pemahaman masyarakat tentang halal, dukungan regulasi yang kuat dan implementasinya di lapangan, serta kemampuan pelaku usaha dalam menjaga kualitas dan konsistensi kehalalan produk secara berkelanjutan. </t>
  </si>
  <si>
    <t xml:space="preserve">Siti Purnama Aula </t>
  </si>
  <si>
    <t xml:space="preserve">Fashion </t>
  </si>
  <si>
    <t>Chandra rosaady pasya</t>
  </si>
  <si>
    <t>Bandung</t>
  </si>
  <si>
    <t xml:space="preserve">Tantangannya adalah dukungan dari perusahaan besar sebagai supplier UMKM untuk turut mendukung JPH karena banyak perusahaan supplier tidak kooperatif dalam hal pengurusan JPH </t>
  </si>
  <si>
    <t>Dukungan sumberdaya dan pemasaran sangat kurang</t>
  </si>
  <si>
    <t>c.pasya@gmail.com</t>
  </si>
  <si>
    <t xml:space="preserve">Pakaian anak </t>
  </si>
  <si>
    <t>Maryam Aulia</t>
  </si>
  <si>
    <t>Penerapan JPH itu kayak bikin konten viral: nggak cukup cuma punya modal kamera (sumber daya), harus ada tim kreatif (disposisi), proses upload yang lancar (komunikasi), dan platform yang gak crash (birokrasi). Kalau salah satu goyang, hasilnya bisa gak trending sama sekali</t>
  </si>
  <si>
    <t>Komunikasi	🔥 Sangat tinggi	Jadi fondasi awal agar semua stakeholder paham &amp; tergerak.
Disposisi	🔥 Tinggi	Tanpa kemauan dari pelaku usaha, semua regulasi hanya jadi dokumen.
Birokrasi	⚠️ Tinggi tapi teknis	Harus efisien, biar gak bikin pelaku usaha kabur.
Sumber Daya	⚠️ Menengah	Bisa dibantu atau diusahakan jika 3 faktor lain sudah kuat.</t>
  </si>
  <si>
    <t xml:space="preserve">Sertifikasi halal itu bukan cuma soal regulasi, tapi juga soal mindset, akses, dan motivasi." Tanpa menyentuh sisi sosial-budaya dan ekonomi, JPH bakal jadi regulasi yang jalan sendiri tanpa pengikut. </t>
  </si>
  <si>
    <t>Maryamaulia00@gmail.com</t>
  </si>
  <si>
    <t>Adnan laudza prasetya</t>
  </si>
  <si>
    <t>Laudzaadnan09@gmail.com</t>
  </si>
  <si>
    <t>Toko sembako</t>
  </si>
  <si>
    <t>Silvi Putri Rahayu</t>
  </si>
  <si>
    <t>Mahasiswa Ekonomi Syariah</t>
  </si>
  <si>
    <t>Tantangan terbesar dalam implementasi JPH di Indonesia adalah keterbatasan sumber daya dan struktur birokrasi yang kompleks.</t>
  </si>
  <si>
    <t>Ya, komitmen dan ketersediaan sumber daya adalah faktor yang paling penting dalam implementasi JPH di Indonesia karena keduanya dapat mempengaruhi keberhasilan implementasi secara signifikan.</t>
  </si>
  <si>
    <t>Ya, faktor lain yang mempengaruhi keberhasilan implementasi JPH adalah partisipasi aktif masyarakat dan teknologi informasi yang memadai. Partisipasi masyarakat dapat meningkatkan kesadaran dan kepatuhan, sedangkan teknologi informasi dapat memfasilitasi monitoring dan evaluasi implementasi JPH.</t>
  </si>
  <si>
    <t>Silvirahay2106@gmail.com</t>
  </si>
  <si>
    <t>Nurul Kamila</t>
  </si>
  <si>
    <t>Kurangnya sosialisasi yang merata, keterbatasan auditor dan laboratorium halal, birokrasi yang berbelit, serta belum semua pelaksana memiliki komitmen kuat.</t>
  </si>
  <si>
    <t>Komunikasi dan sumber daya. Tanpa pemahaman dan dukungan SDM/infrastruktur, implementasi tidak berjalan optimal meski ada regulasi.</t>
  </si>
  <si>
    <t>Biaya sertifikasi bagi UMKM, dukungan politik, dan pengaruh budaya lokal terhadap pemahaman halal.</t>
  </si>
  <si>
    <t>kamilanurul66@gmail.com</t>
  </si>
  <si>
    <t xml:space="preserve">Fahli ikhsan </t>
  </si>
  <si>
    <t xml:space="preserve">Mungkin sedikit pemahaman </t>
  </si>
  <si>
    <t>Karna penting untuk mengetahui sesuatu</t>
  </si>
  <si>
    <t>fahlismi@gmail.com</t>
  </si>
  <si>
    <t>Tabungan</t>
  </si>
  <si>
    <t>Muhammad zulfikar</t>
  </si>
  <si>
    <t xml:space="preserve">Owner </t>
  </si>
  <si>
    <t>Jakarta barat</t>
  </si>
  <si>
    <t>Menurut saya tantangan terbesar dalam jph terpacu pada kepemiliikan agama yang sering membedakan dalam keyakinan</t>
  </si>
  <si>
    <t xml:space="preserve">Menurut saya sangat penting karna di indonesia sangat mempengaruhi dalam implementasi jph kana mayoritas isalam terbanyak </t>
  </si>
  <si>
    <t xml:space="preserve">Menurut saya harus konsisten dan harus menyesuaikan </t>
  </si>
  <si>
    <t>Muhammadzulfikar239@gmail.com</t>
  </si>
  <si>
    <t>Dki jakarta</t>
  </si>
  <si>
    <t xml:space="preserve">Ayam malibar </t>
  </si>
  <si>
    <t>Rindhy</t>
  </si>
  <si>
    <t>Pedagang</t>
  </si>
  <si>
    <t>Sumber Daya lebih penting (1/7)</t>
  </si>
  <si>
    <t xml:space="preserve">Struktur yang berbelit-belit </t>
  </si>
  <si>
    <t>Ada</t>
  </si>
  <si>
    <t>de_medispeople@gmail.com</t>
  </si>
  <si>
    <t>DKI JAKARTA</t>
  </si>
  <si>
    <t>Pakaian</t>
  </si>
  <si>
    <t xml:space="preserve">Budi Susanto </t>
  </si>
  <si>
    <t xml:space="preserve">Pedagang </t>
  </si>
  <si>
    <t xml:space="preserve">Jakarta barat </t>
  </si>
  <si>
    <t xml:space="preserve">Struktur birokrasi </t>
  </si>
  <si>
    <t xml:space="preserve">Tidak </t>
  </si>
  <si>
    <t>Ya</t>
  </si>
  <si>
    <t>susantogojek77@gmail.com</t>
  </si>
  <si>
    <t xml:space="preserve">DKI Jakarta </t>
  </si>
  <si>
    <t>Sembako</t>
  </si>
  <si>
    <t>Ade Niliawati</t>
  </si>
  <si>
    <t xml:space="preserve">Tidak ada nya pendukung dan komunikasi dari pemerintah bagi pelaku umkm yang merata unkm sangat membutuhkan bantuan serta bimbingan dari pemerintah untuk maju dan sukses </t>
  </si>
  <si>
    <t>Yaa karena tidak ada kepedulian pihak implemtasi sumber daya untk pelaku umkm</t>
  </si>
  <si>
    <t>Ada  karena tidak ada nya bimbingan yang serius dari pemerintah</t>
  </si>
  <si>
    <t xml:space="preserve">adeniliawati9@gmail.com </t>
  </si>
  <si>
    <t>Dki Jakarta</t>
  </si>
  <si>
    <t>Kedai Ropang Adejava</t>
  </si>
  <si>
    <t xml:space="preserve">Any Hani'ah </t>
  </si>
  <si>
    <t xml:space="preserve">Pembina LP3H PW Muslimat NU Provinsi Bali </t>
  </si>
  <si>
    <t>Struktur Birokrasi agak lebih penting (1/5)</t>
  </si>
  <si>
    <t xml:space="preserve">Denpasar </t>
  </si>
  <si>
    <t>Disposisi dari Pemerintah Daerah belum ada kesepahaman</t>
  </si>
  <si>
    <t xml:space="preserve">Ya, seperti pemahaman Pelaku Usaha harus tinggi terhadap konsep kehalalan produk akan sangat mempengaruhi implementasi JPH meningkat. </t>
  </si>
  <si>
    <t xml:space="preserve">Ada, waktu yang tersedia yang dimiliki oleh P3H yang berasal dari Penyuluh Agama Islam dalam pendampingan proses halal. </t>
  </si>
  <si>
    <t>anyhaniahmachrus@gmail.com</t>
  </si>
  <si>
    <t xml:space="preserve">Bali </t>
  </si>
  <si>
    <t>Banda Aceh</t>
  </si>
  <si>
    <t>Olahan Ikan</t>
  </si>
  <si>
    <t>Sumber Daya sedikit lebih penting (1/3)</t>
  </si>
  <si>
    <t>Komunikasi antarinstansi kurang jelas, SDM terbatas, birokrasi panjang.</t>
  </si>
  <si>
    <t>Komunikasi dan pendampingan paling penting agar pelaku usaha paham proses.</t>
  </si>
  <si>
    <t>Biaya sertifikasi jadi kendala utama bagi usaha kecil.</t>
  </si>
  <si>
    <t>Pengolahan Pakan Ternak</t>
  </si>
  <si>
    <t>Niken Tri Utami</t>
  </si>
  <si>
    <t>Kota Bandung</t>
  </si>
  <si>
    <t>Sumber daya</t>
  </si>
  <si>
    <t xml:space="preserve">Ya, sumber modal sebaiknya diikutsertakan. Karena modal misal pinjaman riba bisa jadi penyebab ketidakhalalan suatu produk. Jadi bukan hanya dinilai dari unsur materinya saja, namun unsur sumber pemodalannya pun bisa diikutsertakan dalam poin penilaian. Halal itu bukan hanya menyangkut suatu produk materi, namun sumber dana (perbankan), jasa, pun harus bersertifikat halal. </t>
  </si>
  <si>
    <t xml:space="preserve">Sosialisasi halal barang gunaan yang masih harus ditingkatkan. Karena masih banyak masyarakat terheran dengan sert halal barang gunaan. </t>
  </si>
  <si>
    <t>Bukensch@gmail.com</t>
  </si>
  <si>
    <t>Karpet handtuft</t>
  </si>
  <si>
    <t>T. Dhahrul Bawadi</t>
  </si>
  <si>
    <t>Kurangnya sosialisasi yang jelas, prosedur berbelit, dan biaya sertifikasi yang memberatkan pelaku UMKM.</t>
  </si>
  <si>
    <t>Sosialisasi dan pendampingan langsung, karena banyak pelaku UMKM belum paham proses dan manfaat JPH.</t>
  </si>
  <si>
    <t>Ketersediaan bantuan teknis dan subsidi biaya bagi UMKM agar lebih mudah memenuhi persyaratan.</t>
  </si>
  <si>
    <t>Produksi Kopi</t>
  </si>
  <si>
    <t>Faisal</t>
  </si>
  <si>
    <t>Kurangnya informasi teknis soal standar halal untuk produk non-pangan seperti asap cair dan arang batok, serta proses administrasi yang rumit.</t>
  </si>
  <si>
    <t>Pendampingan teknis yang spesifik sesuai jenis produk, karena kebutuhannya berbeda dari makanan/minuman.</t>
  </si>
  <si>
    <t>Adanya panduan yang jelas dan mudah diakses untuk produk non-pangan, serta biaya sertifikasi yang terjangkau bagi UMKM.</t>
  </si>
  <si>
    <t>Asap Cair dan arang batok</t>
  </si>
  <si>
    <t>Waisy Al-Qarni</t>
  </si>
  <si>
    <t>Kurangnya informasi teknis soal bahan baku dan proses produksi peci yang sesuai standar halal, ditambah birokrasi yang cukup rumit.</t>
  </si>
  <si>
    <t>Pendampingan langsung dan jelas dari pihak berwenang agar UMKM paham persyaratan halal untuk produk fesyen.</t>
  </si>
  <si>
    <t>Ketersediaan bahan baku bersertifikat halal yang mudah diperoleh dan terjangkau bagi pelaku UMKM.</t>
  </si>
  <si>
    <t>Peci</t>
  </si>
  <si>
    <t>Edi Sandra Saputra</t>
  </si>
  <si>
    <t>Kurangnya sosialisasi teknis soal standar halal untuk bahan tambahan dan proses produksi bumbu bubuk, serta prosedur administrasi yang panjang.</t>
  </si>
  <si>
    <t>Ketersediaan bahan baku bersertifikat halal, karena langsung memengaruhi kelancaran proses sertifikasi produk.</t>
  </si>
  <si>
    <t>Dukungan laboratorium uji yang cepat dan terjangkau untuk memastikan keamanan dan kehalalan produk bumbu bubuk.</t>
  </si>
  <si>
    <t>Bumbu Bubuk Instan</t>
  </si>
  <si>
    <t>Rahmatan</t>
  </si>
  <si>
    <t>Kurangnya panduan teknis halal untuk proses roasting dan penyimpanan kopi, serta prosedur sertifikasi yang memakan waktu.</t>
  </si>
  <si>
    <t>Kepastian kehalalan bahan pendukung seperti flavor tambahan atau bahan pengemas, karena berpengaruh langsung pada sertifikasi.</t>
  </si>
  <si>
    <t>Akses ke fasilitas uji mutu dan kehalalan kopi yang dekat dan biaya terjangkau bagi pelaku UMKM.</t>
  </si>
  <si>
    <t>Kopi Gayo</t>
  </si>
  <si>
    <t>Sugeng Priyono</t>
  </si>
  <si>
    <t>Dosen</t>
  </si>
  <si>
    <t>Pengaruh tokoh kunci spt Ulama, Kyai setempat (pendekatan kultural)</t>
  </si>
  <si>
    <t xml:space="preserve"> Sama penting</t>
  </si>
  <si>
    <t>Budaya</t>
  </si>
  <si>
    <t>sugeng.priyono799@gmail.com</t>
  </si>
  <si>
    <t>Armanuzah</t>
  </si>
  <si>
    <t>Kurangnya informasi teknis tentang standar halal untuk olahan tiram, serta proses sertifikasi yang cukup rumit bagi produk berbahan laut.</t>
  </si>
  <si>
    <t>Pendampingan teknis mulai dari pemilihan bahan baku hingga pengolahan, agar sesuai standar halal.</t>
  </si>
  <si>
    <t>Ketersediaan pemasok tiram dan bumbu yang bersertifikat halal dengan harga terjangkau.</t>
  </si>
  <si>
    <t>Kerupuk Tiram</t>
  </si>
  <si>
    <t xml:space="preserve">Rivai Yusuf </t>
  </si>
  <si>
    <t>Kota Bogor</t>
  </si>
  <si>
    <t>Seringkali sosialisasi kebijakan JPH tidak sampai secara merata atau dipahami dengan benar oleh pelaku usaha, terutama usaha mikro dan kecil (UMK). keterbatasan sumber daya manusia dan finansial, sikap dan komitmen para pelaksana kebijakan, yang kurang proaktif atau birokratis dapat memperlambat proses sertifikasi dan mengurangi kepercayaan publik terhadap sistem JPH, kerumitan dan tumpang tindihnya regulasi serta koordinasi antarlembaga yang menyebabkan tidak efisien</t>
  </si>
  <si>
    <t>Dalam jangka pendek Keempatnya sama-sama penting karena saling terkait dan dapat menjadi penghambat utama Dalam mencapai tujuan JPH tapi Dalam jangka panjang bisa saja ada faktor tertentu yang lebih penting/berpengaruh daripada faktor lainnya</t>
  </si>
  <si>
    <t>Ada, keterbatasan bahan baku produk halal, literasi &amp; kesadaran pelaku usaha, dinamika kebijakan &amp; regulasi, pengawasan yang ketat &amp; transparan untuk memastikan &amp; menjaga kehalalalan produk tersebut</t>
  </si>
  <si>
    <t>rivaiyusuf@rocketmail.com</t>
  </si>
  <si>
    <t>ikan Nila</t>
  </si>
  <si>
    <t xml:space="preserve">Jenal Nurpalah </t>
  </si>
  <si>
    <t>Staf</t>
  </si>
  <si>
    <t xml:space="preserve">Bogor </t>
  </si>
  <si>
    <t xml:space="preserve">Komunikasi yang komprehensif kepada pemangku kebijakan sehingga tidak terbentuknya birokrasi yang majemuk antar pelaksana dang pemangku kebijakan </t>
  </si>
  <si>
    <t>Faktor birokrasi sangatlah penting, di tunjang Denga SDM yang baik dan handal</t>
  </si>
  <si>
    <t>Faktor SDM yang sampai saat ini kurang memadai</t>
  </si>
  <si>
    <t>Jenalnurpalah90@gmail.com</t>
  </si>
  <si>
    <t xml:space="preserve">Frozen food </t>
  </si>
  <si>
    <t>Rokan</t>
  </si>
  <si>
    <t>Pendamping halal</t>
  </si>
  <si>
    <t>Medan</t>
  </si>
  <si>
    <t>Pemahaman masyrkt ttg halal yg belum kua, serta budaya yg heterogen</t>
  </si>
  <si>
    <t>Tidak, masing2 punya kapasitas yg proporsional</t>
  </si>
  <si>
    <t>Ya ..faktor penguatan literasi halal, dampak dan pengaruh positif dan negatif, dunia dan akhitar</t>
  </si>
  <si>
    <t>Rokanthambusey@gmail.com</t>
  </si>
  <si>
    <t>Sumatera utara</t>
  </si>
  <si>
    <t>Staff</t>
  </si>
  <si>
    <t>Sumber Daya agak lebih penting (1/5)</t>
  </si>
  <si>
    <t>Keripik Pisang</t>
  </si>
  <si>
    <t>Kurangnya informasi detail tentang standar halal untuk produk pembersih, terutama terkait bahan kimia dan proses produksinya, serta birokrasi yang memakan waktu.</t>
  </si>
  <si>
    <t>Akses informasi dan pendampingan teknis dalam pemilihan bahan kimia yang aman dan sesuai standar halal.</t>
  </si>
  <si>
    <t>Ketersediaan pemasok bahan baku bersertifikat halal yang konsisten dan terjangkau untuk produksi.</t>
  </si>
  <si>
    <t>Sabun Cuci Piring</t>
  </si>
  <si>
    <t>Syiah Kuala, Banda Aceh</t>
  </si>
  <si>
    <t>Kacang kulit</t>
  </si>
  <si>
    <t>Zubir</t>
  </si>
  <si>
    <t>Aceh TImur</t>
  </si>
  <si>
    <t>Kurangnya sosialisasi teknis tentang standar halal pada proses pengolahan pati, serta prosedur sertifikasi yang dianggap rumit oleh pelaku UMKM.</t>
  </si>
  <si>
    <t>Pendampingan langsung dalam memastikan proses produksi bebas dari kontaminasi bahan non-halal.</t>
  </si>
  <si>
    <t>Ketersediaan fasilitas pengolahan yang higienis dan memenuhi standar halal secara konsisten.</t>
  </si>
  <si>
    <t>Tapioka dan Sagu</t>
  </si>
  <si>
    <t xml:space="preserve">Jakarta </t>
  </si>
  <si>
    <t>Kurangnya sosialisasi teknis tentang standar halal untuk produk minyak atsiri seperti nilam, keterbatasan fasilitas uji, dan birokrasi sertifikasi yang memakan waktu.</t>
  </si>
  <si>
    <t>Pendampingan teknis dalam proses produksi dan penyulingan, agar seluruh tahapan memenuhi standar halal.</t>
  </si>
  <si>
    <t>Akses ke laboratorium uji dan pemasok bahan pendukung yang bersertifikat halal dengan biaya terjangkau.</t>
  </si>
  <si>
    <t>Minyak nilam</t>
  </si>
  <si>
    <t xml:space="preserve">Tasikmalaya </t>
  </si>
  <si>
    <t>Kurangnya informasi jelas mengenai standar halal untuk produk non-pangan seperti alat pertanian, serta prosedur administrasi yang berbelit.</t>
  </si>
  <si>
    <t>Sosialisasi dan panduan teknis yang spesifik untuk kategori produk non-pangan, agar pelaku UMKM paham persyaratan yang berlaku.</t>
  </si>
  <si>
    <t>Ketersediaan bahan baku dan komponen yang sesuai standar halal, serta dukungan pembiayaan untuk proses sertifikasi.</t>
  </si>
  <si>
    <t>Alat alat pertanian</t>
  </si>
  <si>
    <t>Meuraxa Alue Deah Tengoh, Banda Aceh</t>
  </si>
  <si>
    <t>Kurangnya panduan teknis tentang standar halal untuk olahan ikan kering, terutama terkait bumbu dan metode pengawetan, serta proses sertifikasi yang cukup panjang.</t>
  </si>
  <si>
    <t>Ketersediaan bahan baku ikan dan bumbu yang sudah bersertifikat halal.</t>
  </si>
  <si>
    <t>Fasilitas produksi yang higienis dan pendampingan dalam manajemen mutu agar produk memenuhi standar halal.</t>
  </si>
  <si>
    <t>Dendeng Ikan</t>
  </si>
  <si>
    <t>Meunasah Papeun</t>
  </si>
  <si>
    <t>Kurangnya informasi teknis tentang standar halal pada proses roasting, penyimpanan, dan penggunaan bahan tambahan, serta prosedur sertifikasi yang memakan waktu.</t>
  </si>
  <si>
    <t>Kepastian kehalalan bahan pendukung seperti flavor, pemanis, atau bahan pengemas.</t>
  </si>
  <si>
    <t>Akses ke fasilitas uji mutu dan kehalalan yang cepat dan terjangkau bagi pelaku UMKM kopi.</t>
  </si>
  <si>
    <t>Kopi</t>
  </si>
  <si>
    <t>Lambaro</t>
  </si>
  <si>
    <t>Kurangnya sosialisasi teknis tentang standar halal untuk campuran rempah dan bahan tambahan, serta prosedur sertifikasi yang dirasa rumit.</t>
  </si>
  <si>
    <t>Ketersediaan bahan baku rempah dan bumbu pendukung yang sudah bersertifikat halal.</t>
  </si>
  <si>
    <t>Pendampingan dalam pengolahan dan pengemasan agar sesuai standar higienis dan halal.</t>
  </si>
  <si>
    <t>Bumbu Masak Aceh</t>
  </si>
  <si>
    <t>Lamteuba</t>
  </si>
  <si>
    <t>Kurangnya panduan teknis terkait proses pengeringan dan penggilingan kunyit sesuai standar halal, serta prosedur sertifikasi yang memakan waktu.</t>
  </si>
  <si>
    <t>Ketersediaan bahan baku kunyit yang bersih, higienis, dan bebas kontaminasi.</t>
  </si>
  <si>
    <t>Akses ke fasilitas pengolahan dan pengemasan yang memenuhi standar halal.</t>
  </si>
  <si>
    <t>Bubuk Kunyit</t>
  </si>
  <si>
    <t>Pelaku Usaha</t>
  </si>
  <si>
    <t>Aceh Besar</t>
  </si>
  <si>
    <t>Kurangnya panduan teknis penyembelihan puyuh sesuai syariat dan standar halal, serta prosedur administrasi sertifikasi yang dianggap rumit.</t>
  </si>
  <si>
    <t>Pelatihan dan pendampingan langsung terkait penyembelihan halal dan penanganan pasca panen.</t>
  </si>
  <si>
    <t>Ketersediaan fasilitas pemotongan yang higienis dan memenuhi standar halal.</t>
  </si>
  <si>
    <t>Telur &amp; Daging Puyuh</t>
  </si>
  <si>
    <t>Desa Lambhuk</t>
  </si>
  <si>
    <t>Kurangnya panduan teknis standar halal untuk proses roasting, penyimpanan, dan penggunaan bahan tambahan, serta prosedur sertifikasi yang cukup panjang.</t>
  </si>
  <si>
    <t>Kepastian kehalalan bahan pendukung seperti flavor tambahan, pemanis, atau bahan kemasan.</t>
  </si>
  <si>
    <t>Akses ke fasilitas uji mutu dan kehalalan yang cepat serta biaya terjangkau bagi pelaku UMKM kopi.</t>
  </si>
  <si>
    <t>Pemlik Usaha</t>
  </si>
  <si>
    <t>Ds Lambheu</t>
  </si>
  <si>
    <t>Kurangnya informasi teknis tentang standar halal untuk bahan tambahan seperti susu, lemak, dan perisa, serta prosedur sertifikasi yang cukup rumit.</t>
  </si>
  <si>
    <t>Ketersediaan bahan baku coklat dan tambahan lain yang sudah bersertifikat halal.</t>
  </si>
  <si>
    <t>Pengolahan dan pengemasan yang higienis serta sesuai standar halal secara konsisten.</t>
  </si>
  <si>
    <t>Coklat</t>
  </si>
  <si>
    <t>Ds. Kajhu</t>
  </si>
  <si>
    <t>Kurangnya panduan teknis tentang standar halal untuk proses produksi garam cair, terutama terkait bahan penstabil atau aditif, serta prosedur sertifikasi yang memakan waktu.</t>
  </si>
  <si>
    <t>Kepastian kehalalan seluruh bahan tambahan yang digunakan dalam formulasi garam cair</t>
  </si>
  <si>
    <t>Ketersediaan fasilitas produksi yang higienis dan memenuhi standar halal secara konsisten.</t>
  </si>
  <si>
    <t>Garam Cair</t>
  </si>
  <si>
    <t>Kabupaten Bireuen</t>
  </si>
  <si>
    <t>Kurangnya sosialisasi teknis tentang standar halal untuk proses pengolahan garam, terutama jika menggunakan bahan tambahan atau fortifikasi, serta prosedur sertifikasi yang dianggap rumit.</t>
  </si>
  <si>
    <t>Kepastian kehalalan bahan tambahan atau penguat rasa yang digunakan dalam proses pengolahan</t>
  </si>
  <si>
    <t>Fasilitas produksi yang higienis dan bebas risiko kontaminasi silang dengan bahan non-halal.</t>
  </si>
  <si>
    <t>Pengolahan Garam</t>
  </si>
  <si>
    <t xml:space="preserve">Semarang </t>
  </si>
  <si>
    <t>Kurangnya informasi teknis soal standar halal untuk pengolahan minuman dan olahan berbahan lemon dan kopi, serta proses administrasi yang cukup panjang.</t>
  </si>
  <si>
    <t>Kepastian kehalalan bahan tambahan seperti gula, flavor, atau kemasan yang digunakan dalam produk</t>
  </si>
  <si>
    <t>Akses ke fasilitas uji mutu dan sertifikasi yang cepat dan terjangkau bagi pelaku UMKM minuman dan olahan kopi/lemon.</t>
  </si>
  <si>
    <t>Lemon, kopi</t>
  </si>
  <si>
    <t xml:space="preserve">Bandung </t>
  </si>
  <si>
    <t>Kurangnya panduan teknis halal untuk proses ekstraksi minyak atsiri dan pengolahan kelapa, serta birokrasi sertifikasi yang cukup rumit.</t>
  </si>
  <si>
    <t>Pendampingan teknis untuk memastikan proses produksi bebas dari kontaminasi bahan non-halal.</t>
  </si>
  <si>
    <t>Ketersediaan peralatan pengolahan yang higienis dan pemasok bahan baku bersertifikat halal dengan harga terjangkau.</t>
  </si>
  <si>
    <t>Minyak Atsiri dan kelapa dalam</t>
  </si>
  <si>
    <t xml:space="preserve">Indramayu </t>
  </si>
  <si>
    <t>Kurangnya sosialisasi teknis mengenai standar halal untuk pengolahan hasil pertanian seperti kelapa, tomat, dan kopi, serta prosedur sertifikasi yang cukup panjang.</t>
  </si>
  <si>
    <t>Kepastian kehalalan bahan tambahan, bahan pengemas, dan proses pengolahan yang digunakan.</t>
  </si>
  <si>
    <t>Akses ke fasilitas uji mutu yang dekat, cepat, dan terjangkau bagi UMKM pengolahan hasil pertanian</t>
  </si>
  <si>
    <t>Kelapa, tomat, dan kopi</t>
  </si>
  <si>
    <t>Surabaya</t>
  </si>
  <si>
    <t>Kurangnya panduan teknis halal untuk proses ekstraksi dan penyulingan minyak atsiri, serta birokrasi sertifikasi yang memakan waktu.</t>
  </si>
  <si>
    <t>Pendampingan teknis untuk memastikan bahan baku dan proses produksi bebas dari kontaminasi non-halal.</t>
  </si>
  <si>
    <t>Ketersediaan peralatan penyulingan yang higienis dan pemasok bahan baku bersertifikat halal dengan harga terjangkau.</t>
  </si>
  <si>
    <t xml:space="preserve">Jawa timur </t>
  </si>
  <si>
    <t xml:space="preserve">Atsiri </t>
  </si>
  <si>
    <t>Kurangnya informasi teknis soal standar halal untuk pengolahan kelapa muda, terutama pada penggunaan bahan tambahan dan kemasan, serta proses sertifikasi yang cukup panjang.</t>
  </si>
  <si>
    <t>Kepastian kehalalan bahan tambahan seperti gula, sirup, atau pengawet yang digunakan.</t>
  </si>
  <si>
    <t>Akses ke pemasok bahan tambahan dan kemasan bersertifikat halal dengan harga terjangkau.</t>
  </si>
  <si>
    <t xml:space="preserve">Sumatera Barat </t>
  </si>
  <si>
    <t>Pengolahan kelapa muda</t>
  </si>
  <si>
    <t>Kurangnya panduan teknis halal terkait bumbu rempah campuran dan bahan tambahan, serta proses sertifikasi yang memakan waktu.</t>
  </si>
  <si>
    <t>Ketersediaan bahan baku rempah dan bumbu pelengkap yang sudah bersertifikat halal.</t>
  </si>
  <si>
    <t>Dukungan uji laboratorium cepat dan terjangkau untuk memastikan kualitas dan kehalalan bumbu.</t>
  </si>
  <si>
    <t>Bumbu mie aceh</t>
  </si>
  <si>
    <t xml:space="preserve">Palembang </t>
  </si>
  <si>
    <t>Kurangnya panduan teknis halal untuk pengolahan ikan kering, termasuk penggunaan bumbu dan bahan tambahan, serta prosedur sertifikasi yang cukup panjang.</t>
  </si>
  <si>
    <t>Kepastian kehalalan bumbu dan bahan pengawet yang digunakan dalam proses produksi.</t>
  </si>
  <si>
    <t>Ketersediaan fasilitas pengeringan dan penyimpanan yang higienis sesuai standar halal.</t>
  </si>
  <si>
    <t xml:space="preserve">Sumatera Selatan </t>
  </si>
  <si>
    <t>Ikan keumamah</t>
  </si>
  <si>
    <t>Malang</t>
  </si>
  <si>
    <t>Kurangnya informasi teknis halal terkait bahan baku kain, pewarna, dan proses produksi, serta birokrasi sertifikasi yang memakan waktu.</t>
  </si>
  <si>
    <t>Kepastian kehalalan bahan pewarna, benang, dan proses finishing kain.</t>
  </si>
  <si>
    <t>Akses ke pemasok bahan baku dan pewarna bersertifikat halal dengan harga terjangkau.</t>
  </si>
  <si>
    <t>Kain sarung</t>
  </si>
  <si>
    <t>Kurangnya panduan teknis tentang standar halal untuk minyak atsiri, terutama terkait bahan tambahan dan proses penyulingan, serta birokrasi sertifikasi yang memakan waktu.</t>
  </si>
  <si>
    <t>Pendampingan teknis dalam pemilihan bahan pendukung dan pengolahan agar sesuai standar halal.</t>
  </si>
  <si>
    <t>Ketersediaan alat penyulingan yang higienis dan pemasok bahan pendukung bersertifikat halal dengan harga terjangkau</t>
  </si>
  <si>
    <t>Kurangnya sosialisasi standar halal untuk produk non-pangan seperti alat pertanian, serta proses administrasi yang kurang sederhana.</t>
  </si>
  <si>
    <t>Panduan teknis yang jelas terkait bahan dan pelapisan komponen agar sesuai standar halal.</t>
  </si>
  <si>
    <t>Akses ke pemasok bahan baku yang aman dan berkualitas, serta dukungan promosi dari pemerintah untuk produk halal non-pangan.</t>
  </si>
  <si>
    <t xml:space="preserve">Alat alat pertanian </t>
  </si>
  <si>
    <t>Kurangnya panduan teknis tentang standar halal untuk produk segar dan olahan seperti lemon dan kopi, serta proses sertifikasi yang cukup panjang.</t>
  </si>
  <si>
    <t>Pendampingan dalam pengolahan pascapanen agar terhindar dari kontaminasi bahan non-halal.</t>
  </si>
  <si>
    <t>Ketersediaan fasilitas pengolahan dan pengemasan yang higienis serta sesuai standar halal.</t>
  </si>
  <si>
    <t xml:space="preserve">Staff </t>
  </si>
  <si>
    <t xml:space="preserve">Aceh </t>
  </si>
  <si>
    <t>Kurangnya panduan teknis tentang standar halal pada proses penyulingan minyak atsiri dan pengolahan kelapa, serta birokrasi sertifikasi yang cukup rumit.</t>
  </si>
  <si>
    <t>Pendampingan teknis untuk memastikan seluruh bahan tambahan dan proses produksi bebas dari kontaminasi non-halal.</t>
  </si>
  <si>
    <t xml:space="preserve">Minyak Atsiri dan kelapa dalam </t>
  </si>
  <si>
    <t>Kurangnya sosialisasi teknis tentang standar halal untuk produk segar dan olahan, serta prosedur sertifikasi yang cukup panjang.</t>
  </si>
  <si>
    <t>Pendampingan pascapanen dan pengolahan agar terhindar dari kontaminasi bahan non-halal.</t>
  </si>
  <si>
    <t>Ketersediaan fasilitas pengolahan dan pengemasan yang higienis sesuai standar halal.</t>
  </si>
  <si>
    <t xml:space="preserve">Kelapa, tomat, dan kopi </t>
  </si>
  <si>
    <t>Kurangnya panduan teknis standar halal untuk minyak atsiri, terutama terkait bahan tambahan dan proses penyulingan, serta birokrasi sertifikasi yang memakan waktu.</t>
  </si>
  <si>
    <t>Pendampingan teknis dalam pemilihan bahan dan metode produksi agar sesuai standar halal.</t>
  </si>
  <si>
    <t>Ketersediaan peralatan penyulingan yang higienis dan bahan pendukung bersertifikat halal.</t>
  </si>
  <si>
    <t>Kurangnya panduan teknis halal untuk proses pengolahan kelapa muda, terutama pada penggunaan bahan tambahan, serta prosedur sertifikasi yang cukup panjang.</t>
  </si>
  <si>
    <t xml:space="preserve">Pendampingan dalam pemilihan bahan tambahan dan proses produksi agar bebas dari kontaminasi non-halal.
</t>
  </si>
  <si>
    <t xml:space="preserve">Pengolahan kelapa muda </t>
  </si>
  <si>
    <t>Kurangnya sosialisasi teknis tentang standar halal untuk bahan rempah dan bumbu tambahan, serta proses sertifikasi yang memakan waktu.</t>
  </si>
  <si>
    <t>Ketersediaan bahan baku dan bumbu bersertifikat halal, karena langsung memengaruhi kelancaran sertifikasi.</t>
  </si>
  <si>
    <t>Dukungan laboratorium uji yang cepat dan terjangkau untuk memastikan keamanan dan kehalalan bumbu.</t>
  </si>
  <si>
    <t xml:space="preserve">Bumbu mie aceh </t>
  </si>
  <si>
    <t>Kurangnya panduan teknis halal untuk proses pengolahan ikan kering, terutama terkait penggunaan bumbu dan bahan tambahan, serta birokrasi sertifikasi yang cukup panjang.</t>
  </si>
  <si>
    <t>Pendampingan teknis dalam pengolahan agar bebas dari kontaminasi bahan non-halal.</t>
  </si>
  <si>
    <t>Ketersediaan bahan baku ikan berkualitas dan fasilitas pengolahan yang higienis sesuai standar halal.</t>
  </si>
  <si>
    <t xml:space="preserve">Ikan keumamah </t>
  </si>
  <si>
    <t>Kurangnya informasi teknis tentang standar halal untuk produk tekstil, terutama terkait bahan pewarna dan pelapis kain, serta proses sertifikasi yang cukup rumit.</t>
  </si>
  <si>
    <t>Panduan dan pendampingan dalam pemilihan bahan baku serta proses pewarnaan yang sesuai standar halal.</t>
  </si>
  <si>
    <t>Ketersediaan pemasok bahan kain dan pewarna bersertifikat halal yang mudah diakses dan terjangkau.</t>
  </si>
  <si>
    <t xml:space="preserve">Kain sarung </t>
  </si>
  <si>
    <t>Siti Sarah</t>
  </si>
  <si>
    <t>Pemilik UMKM</t>
  </si>
  <si>
    <t>Asahan</t>
  </si>
  <si>
    <t>Tantangan terbesarnya tuh komunikasi antarinstansi yang nggak nyambung, SDM kurang paham teknis, niat pelaksana beda-beda, sama birokrasi yang ribet banget.</t>
  </si>
  <si>
    <t>Iya, menurutku komunikasi paling penting, soalnya kalau info nggak jelas dari awal, sumber daya, niat, sama struktur juga ikut berantakan.</t>
  </si>
  <si>
    <t>Dukungan politik dan kesadaran masyarakat juga ngaruh banget buat suksesnya JPH.</t>
  </si>
  <si>
    <t>Sumatera Utara</t>
  </si>
  <si>
    <t>Irwandi</t>
  </si>
  <si>
    <t>Deli Serdang</t>
  </si>
  <si>
    <t>Tantangan paling berat itu koordinasi antar pihak, keterbatasan SDM terlatih, sikap pelaksana yang kadang kurang proaktif, dan birokrasi yang berlapis.</t>
  </si>
  <si>
    <t>Kalau harus milih, komunikasi paling krusial, soalnya kalau dari awal nggak sejalan, hal lain jadi ikut macet.</t>
  </si>
  <si>
    <t>Faktor lain yang ngaruh: dukungan anggaran dan komitmen pimpinan buat dorong implementasi JPH.</t>
  </si>
  <si>
    <t>Makanan Jadi</t>
  </si>
  <si>
    <t>Rita Sinaga</t>
  </si>
  <si>
    <t>Tapanuli Utara</t>
  </si>
  <si>
    <t>Yang bikin berat itu info nyampe ke lapangan nggak seragam, tenaga ahli masih minim, semangat pelaksana nggak merata, sama aturan birokrasi yang muter-muter.</t>
  </si>
  <si>
    <t>Menurutku yang paling penting tuh komunikasi, karena kalau pesan udah jelas dari awal, SDM dan prosedur bisa lebih gampang diatur.</t>
  </si>
  <si>
    <t>Tambahan faktor lain: teknologi pendukung dan kemitraan dengan sektor swasta juga bisa bikin JPH jalan lebih mulus.</t>
  </si>
  <si>
    <t>ritasinaga1556@gmail.com</t>
  </si>
  <si>
    <t>Kosmetika</t>
  </si>
  <si>
    <t>Sabrina</t>
  </si>
  <si>
    <t>Tantangan utamanya ada di pesan yang nggak sinkron, keterbatasan orang yang paham teknis, sikap pelaksana yang kurang konsisten, dan jalur birokrasi yang panjang.</t>
  </si>
  <si>
    <t>Yang paling penting menurutku komunikasi, karena itu jadi pondasi biar semua pihak ngerti arah dan langkahnya.</t>
  </si>
  <si>
    <t>Faktor lain yang berpengaruh: kesiapan infrastruktur dan keterlibatan komunitas lokal dalam proses JPH.</t>
  </si>
  <si>
    <t>assabrina2020@gmail.com</t>
  </si>
  <si>
    <t>Makanan &amp; Minuman</t>
  </si>
  <si>
    <t>Hayatiningsih</t>
  </si>
  <si>
    <t>Samosir</t>
  </si>
  <si>
    <t>Kesulitannya sering muncul dari koordinasi yang lemah, SDM yang belum merata kemampuannya, komitmen pelaksana yang naik-turun, dan prosedur birokrasi yang bikin lama.</t>
  </si>
  <si>
    <t>Menurutku kuncinya di komunikasi, karena kalau arahnya jelas, masalah lain lebih gampang diatasi.</t>
  </si>
  <si>
    <t>Faktor lain yang juga ngaruh: dukungan regulasi yang tegas dan pengawasan lapangan yang konsisten.</t>
  </si>
  <si>
    <t>hayathayat@gmail.com</t>
  </si>
  <si>
    <t>Makanan dan Minuman</t>
  </si>
  <si>
    <t>Cahyani Nasution</t>
  </si>
  <si>
    <t>Kabupaten Batu Bara</t>
  </si>
  <si>
    <t>Tantangan terbesarnya itu info yang nyampe sering beda-beda, tenaga ahli kurang, kemauan pelaksana nggak selalu stabil, sama proses birokrasi yang berbelit.</t>
  </si>
  <si>
    <t>Menurutku yang paling vital tetap komunikasi, karena itu penentu sinkronnya semua langkah.</t>
  </si>
  <si>
    <t>Faktor lain yang ikut pengaruhin: dukungan dana dan kesadaran publik soal pentingnya JPH.</t>
  </si>
  <si>
    <t>cahnasut@gmail.com</t>
  </si>
  <si>
    <t>Mochamad Yusuf</t>
  </si>
  <si>
    <t>Tantangan terbesar dalam implementasi JPH itu biasanya berawal dari komunikasi yang nggak seragam antar lembaga, sehingga pesan dan arahan bisa berbeda di tiap level. Ditambah lagi, jumlah SDM yang benar-benar paham teknis dan regulasi masih terbatas, bikin proses jadi lambat. Sikap atau komitmen pelaksana juga nggak selalu konsisten, kadang semangat di awal tapi kendor di tengah jalan.</t>
  </si>
  <si>
    <t>Kalau ditanya mana yang paling penting, aku rasa komunikasi tetap jadi kuncinya. Soalnya kalau dari awal semua pihak sudah punya pemahaman yang sama, SDM bisa diarahkan dengan jelas, sikap pelaksana bisa lebih terjaga, dan proses birokrasi bisa diatur supaya nggak terlalu menghambat.</t>
  </si>
  <si>
    <t>nggak kalah penting: dukungan anggaran yang memadai, keterlibatan komunitas dan pelaku usaha lokal, serta pengawasan yang rutin. Tanpa itu, implementasi JPH susah untuk berjalan maksimal walaupun komunikasi dan SDM sudah cukup baik.</t>
  </si>
  <si>
    <t>alamandajaya3434@gmail.com</t>
  </si>
  <si>
    <t>Ahmad Zaelani</t>
  </si>
  <si>
    <t>Binjai</t>
  </si>
  <si>
    <t>Kadang, aturan sudah ada tapi interpretasinya beda, sehingga pelaksanaan di lapangan nggak seragam. Keterbatasan pelatihan untuk SDM juga bikin mereka kurang siap menghadapi masalah teknis atau kendala sosial. Ditambah birokrasi yang berjenjang, setiap proses persetujuan atau perubahan kebijakan bisa makan waktu lama, bahkan sampai melewati momentum penting.</t>
  </si>
  <si>
    <t>Kalau alur informasi jelas, perbedaan prioritas bisa diminimalisir, SDM bisa dapat arahan yang tepat, dan proses birokrasi bisa disesuaikan dengan kebutuhan lapangan. Komunikasi yang efektif juga bikin semua pihak merasa dilibatkan, sehingga komitmen pelaksana lebih terjaga.</t>
  </si>
  <si>
    <t>kesiapan infrastruktur digital untuk memantau dan melaporkan progres JPH secara real-time, dukungan kebijakan dari level pusat sampai daerah, serta kesadaran masyarakat yang mau berpartisipasi aktif.</t>
  </si>
  <si>
    <t>assyifa8989@gmail.com</t>
  </si>
  <si>
    <t>Obat Herbal</t>
  </si>
  <si>
    <t xml:space="preserve">Felicita </t>
  </si>
  <si>
    <t>Tantangannya sih mulai dari info yang nyampe ke tim nggak sama, orang yang ngerti teknis masih sedikit, semangat tim naik-turun, sampai aturan yang ribet banget.</t>
  </si>
  <si>
    <t>Kalau buat aku, komunikasi paling penting. Soalnya kalau dari awal udah jelas, semua jadi lebih gampang.</t>
  </si>
  <si>
    <t>Plus, dukungan dana, promo yang konsisten, sama edukasi ke konsumen juga bikin produk kosmetik lebih cepat nembus pasar.</t>
  </si>
  <si>
    <t>H. Farid Amirudin</t>
  </si>
  <si>
    <t>Kalau di UMKM makanan minuman yang mau urus sertifikasi halal, tantangannya banyak. Mulai dari info soal prosedur yang sering nggak jelas atau beda-beda, SDM yang paham detail regulasi halal masih terbatas, sampai pelaku usaha yang kadang nggak konsisten nyiapin dokumen dan prosesnya</t>
  </si>
  <si>
    <t>omunikasi tetap jadi kuncinya. Kalau dari awal semua pihak, mulai dari pelaku UMKM, pendamping, sampai lembaga sertifikas, sudah sejalan dan ngerti langkahnya, prosesnya bisa jauh lebih lancar.</t>
  </si>
  <si>
    <t>dukungan dana untuk biaya sertifikasi, pelatihan soal standar halal, dan pendampingan teknis juga penting banget. Apalagi kalau ada promosi dan edukasi ke konsumen, biar label halal ini nggak cuma formalitas, tapi juga jadi nilai jual yang bikin produk makin dipercaya.</t>
  </si>
  <si>
    <t>larassehati@gmail.com</t>
  </si>
  <si>
    <t>Juwita</t>
  </si>
  <si>
    <t>Pemiliki UMKM</t>
  </si>
  <si>
    <t>Buat UMKM makanan minuman, apalagi yang baru mulai, proses sertifikasi halal kadang berasa kayak maraton. Tantangan awal biasanya nyari info yang valid—soalnya di lapangan banyak versi, dan nggak semua sesuai aturan resmi. Lalu, keterbatasan SDM yang ngerti cara nyiapin dokumen, cek bahan baku, sampai urus audit halal bikin proses makin lama. Komitmen pelaku usaha juga sering naik-turun, apalagi kalau lagi sibuk produksi atau ada pesanan banyak. Belum lagi urusan birokrasi yang panjang dan butuh waktu, kadang bikin pelaku usaha males lanjut.</t>
  </si>
  <si>
    <t>Menurutku, komunikasi yang lancar antara pelaku UMKM, pendamping, dan lembaga terkait itu kunci utama. Kalau alur dan syaratnya udah jelas dari awal, semua jadi lebih gampang diatur.</t>
  </si>
  <si>
    <t>dukungan dana buat meringankan biaya sertifikasi, akses pelatihan soal proses halal yang praktis, dan kampanye ke konsumen biar mereka paham nilai tambah produk halal. Kalau ini semua jalan bareng, sertifikasi halal nggak cuma jadi syarat, tapi bisa jadi strategi branding yang kuat buat UMKM.</t>
  </si>
  <si>
    <t>Freddy Abadi Simanjutak</t>
  </si>
  <si>
    <t>Tantangan UMKM makanan minuman buat urus halal itu nggak cuma di prosedur, tapi juga di mindset. Banyak yang mikir prosesnya ribet dan mahal, padahal kalau tahu jalurnya bisa lebih cepat. Masalah umum lain: info yang nyebar kadang simpang siur, SDM belum terbiasa nyimpen bukti bahan baku atau catatan produksi, dan birokrasi yang panjang bikin semangat turun. Ditambah, pelaku usaha sering fokus ke jualan harian, jadi urusan halal suka ketunda.</t>
  </si>
  <si>
    <t>Makanya, komunikasi yang jelas dari awal itu krusial banget. Kalau semua pihak udah sepaham langkahnya, proses bisa lebih singkat dan nggak makan energi berlebihan.</t>
  </si>
  <si>
    <t>dukungan dari pemerintah atau komunitas usaha buat biaya sertifikasi, pendampingan teknis yang gampang diakses, serta promosi produk halal ke pasar lokal maupun online bisa jadi booster. Dengan begitu, label halal bukan cuma formalitas, tapi jadi senjata jualan yang bikin konsumen makin yakin dan loyal.</t>
  </si>
  <si>
    <t>abadijaya45@gmail,com</t>
  </si>
  <si>
    <t>Windhu Sanjaya Bonaparte</t>
  </si>
  <si>
    <t>Tebing Tinggi</t>
  </si>
  <si>
    <t>Buat UMKM obat herbal, urus sertifikasi halal punya tantangan yang lumayan spesifik. Mulai dari identifikasi bahan baku—karena banyak yang berasal dari tumbuhan campur bahan tambahan lain yang harus dicek kehalalannya—sampai memastikan proses produksi bebas dari kontaminasi bahan non-halal. Info prosedur sering kali nggak tersampaikan utuh, SDM di pabrik skala kecil kadang belum paham pencatatan bahan dan proses, dan birokrasi perizinan bisa makan waktu lama. Apalagi kalau pemasok bahan baku nggak punya sertifikat pendukung, itu bisa bikin proses terhambat.</t>
  </si>
  <si>
    <t>Menurutku, komunikasi yang jelas antara pelaku UMKM, pemasok, dan lembaga sertifikasi halal itu kuncinya. Kalau semua pihak ngerti persyaratan dari awal, risiko revisi atau penolakan bisa berkurang banyak.</t>
  </si>
  <si>
    <t>pendampingan teknis untuk uji laboratorium bahan herbal, bantuan dana untuk proses sertifikasi, serta edukasi pasar tentang manfaat produk herbal halal. Dengan kombinasi itu, label halal bisa jadi nilai tambah besar yang ningkatin kepercayaan konsumen sekaligus daya saing di pasar domestik dan ekspor.</t>
  </si>
  <si>
    <t>bonaparte1234@gmail.com</t>
  </si>
  <si>
    <t>Lupita Syaharini Dewangga</t>
  </si>
  <si>
    <t>Kalau buat UMKM kosmetik, urus halal tuh tantangannya lumayan seru. Mulai dari ngecek bahan baku satu-satu (yang kadang namanya ribet banget), pastiin proses produksinya bersih dan bebas kontaminasi, sampai nyiapin dokumen yang kayaknya nggak ada habisnya. Kadang info dari satu pihak sama pihak lain beda, bikin bingung. Ditambah lagi, supplier nggak semua punya sertifikat halal, jadi kudu nyari alternatif.</t>
  </si>
  <si>
    <t>Menurut aku, kuncinya ada di komunikasi yang enak dan jelas sama semua pihak—supplier, tim produksi, sama lembaga halal. Biar nggak ada drama di tengah jalan.</t>
  </si>
  <si>
    <t>Bonusnya, kalau udah halal, promonya bisa makin pede. Konsumen jadi lebih yakin, apalagi yang emang nyari kosmetik aman dan halal buat dipakai sehari-hari. Jadi bukan cuma soal izin, tapi juga nilai jual yang bikin produk makin laku.</t>
  </si>
  <si>
    <t>dewanggabeauty@gmail.com</t>
  </si>
  <si>
    <t>Dewanti Nasution</t>
  </si>
  <si>
    <t>Pematang Siantar</t>
  </si>
  <si>
    <t>Kalau buat UMKM makanan, urus halal itu tantangannya mulai dari nyari info yang bener-bener jelas (soalnya versi di lapangan suka beda-beda), ngecek semua bahan baku sampai bumbu kecil, pastiin dapur atau tempat produksi bersih, dan nyiapin dokumen yang lumayan ribet. Kadang supplier juga nggak punya sertifikat halal, jadi harus cari bahan pengganti.</t>
  </si>
  <si>
    <t>Kuncinya sih komunikasi yang lancar sama pendamping, tim produksi, dan lembaga halal. Kalau dari awal udah sejalan, prosesnya bisa jauh lebih gampang.</t>
  </si>
  <si>
    <t>Kalau udah halal, jualan juga jadi lebih pede. Konsumen bakal lebih percaya, apalagi buat target pasar yang emang peduli sama keamanan dan kehalalan makanan. Jadi bukan cuma urusan izin, tapi juga cara naikin nilai jual.</t>
  </si>
  <si>
    <t>Makanan dan minuman</t>
  </si>
  <si>
    <t>Jamaludin</t>
  </si>
  <si>
    <t>Kalau UMKM makanan, ribetnya urus halal itu biasanya nyari info yang bener, ngecek semua bahan biar aman, sama ngurus dokumen yang nggak abis-abis. Kadang supplier juga nggak punya sertifikat, jadi harus muter cari bahan lain.</t>
  </si>
  <si>
    <t>Intinya, ngobrol yang jelas sama semua pihak biar nggak nyasar di tengah jalan.</t>
  </si>
  <si>
    <t>Kalau udah halal, jualannya makin pede dan konsumen juga makin yakin beli.</t>
  </si>
  <si>
    <t>Makanan Minuman</t>
  </si>
  <si>
    <t>Nisrina Permata Dewi</t>
  </si>
  <si>
    <t>Kalau di UMKM kosmetik, ngurus halal itu tantangannya lumayan panjang. Pertama, ngecek bahan baku satu-satu yang namanya kadang bikin kening berkerut, apalagi kalau istilah kimianya ribet banget. Kedua, pastiin proses produksinya bener-bener bersih dan nggak ada kemungkinan campur bahan non-halal, mulai dari alat, ruang produksi, sampai penyimpanan. Terus, urusan dokumen juga lumayan makan tenaga—harus lengkap dan sesuai aturan, kalau nggak bisa bolak-balik revisi. Yang bikin tambah tricky, supplier nggak semua punya sertifikat halal, jadi kadang harus hunting bahan pengganti atau minta mereka urus sertifikat juga.</t>
  </si>
  <si>
    <t>Makanya, komunikasi itu penting banget. Ngobrolnya harus lancar sama supplier, tim produksi, dan lembaga sertifikasi biar semua paham apa yang harus dipenuhi. Kalau dari awal udah sejalan, prosesnya bisa lebih cepat dan nggak terlalu drama.</t>
  </si>
  <si>
    <t>Begitu halal udah di tangan, promosi jadi makin pede. Konsumen yang peduli sama kehalalan dan keamanan produk bakal langsung lebih yakin buat pakai. Plus, ini juga bisa jadi nilai jual tambahan yang bikin produk lebih dilirik, nggak cuma di pasar lokal tapi juga kalau mau ekspor.</t>
  </si>
  <si>
    <t>nisrimawi77@gmail.com</t>
  </si>
  <si>
    <t>Kosmetik</t>
  </si>
  <si>
    <t xml:space="preserve">Jonathan </t>
  </si>
  <si>
    <t>Sibolga</t>
  </si>
  <si>
    <t>urus halal itu prosesnya lumayan makan waktu. Mulai dari ngecek semua bahan baku satu-satu, termasuk bumbu kecil, pastiin dapur dan peralatan selalu bersih, sampai nyiapin dokumen yang harus rapi biar nggak bolak-balik revisi. Kadang yang bikin ribet itu supplier nggak punya sertifikat halal, jadi harus cari bahan pengganti atau minta mereka urus dulu.</t>
  </si>
  <si>
    <t>komunikasi sama semua pihak—mulai dari pemasok, tim produksi, sampai pendamping halal—harus lancar. Kalau dari awal udah sejalan, prosesnya jadi lebih gampang dan nggak banyak hambatan.</t>
  </si>
  <si>
    <t>Begitu sertifikat halal udah keluar, jualan bisa jauh lebih pede. Konsumen yang peduli sama keamanan dan kehalalan makanan bakal lebih percaya, dan ini bisa jadi nilai tambah besar buat ningkatin penjualan, apalagi kalau mau masuk pasar yang lebih luas.</t>
  </si>
  <si>
    <t>Nadya Kemala Arostika</t>
  </si>
  <si>
    <t>Tantangan terbesarnya itu biasanya koordinasi komunikasi yang nggak selalu nyambung antar lembaga, keterbatasan SDM yang paham detail teknis halal, disposisi atau komitmen pelaksana yang nggak merata, dan birokrasi yang panjang sehingga prosesnya makan waktu.</t>
  </si>
  <si>
    <t>Kalau harus milih yang paling penting, aku rasa komunikasi jadi kuncinya. Soalnya kalau dari awal semua pihak udah dapat info yang jelas dan sama, SDM bisa diarahkan lebih efektif, komitmen bisa dijaga, dan jalur birokrasi bisa diatur supaya nggak terlalu menghambat.</t>
  </si>
  <si>
    <t>Faktor lain yang juga ngaruh adalah dukungan anggaran, pemanfaatan teknologi untuk percepatan proses, serta kesadaran masyarakat dan pelaku usaha soal pentingnya sertifikasi halal.</t>
  </si>
  <si>
    <t>Herbal</t>
  </si>
  <si>
    <t>Teddy Hidayat Amanatullah</t>
  </si>
  <si>
    <t>Pelaku usaha UMKM</t>
  </si>
  <si>
    <t>Kalau di sektor makanan minuman, tantangan terbesar implementasi JPH itu biasanya info yang nyampe ke pelaku usaha nggak selalu sama, SDM yang ngerti standar halal masih terbatas, komitmen pelaksana kadang naik-turun, dan birokrasi perizinan yang lumayan makan waktu.</t>
  </si>
  <si>
    <t>komunikasi jadi yang paling penting. Soalnya kalau dari awal semua pihak mulai dari UMKM, pendamping, sampai lembaga sertifikasi udah sejalan, prosesnya bisa lebih cepat dan nggak bikin pelaku usaha bingung.</t>
  </si>
  <si>
    <t>Dukungan dana buat sertifikasi, pendampingan teknis yang gampang diakses, serta edukasi konsumen biar label halal jadi nilai jual, bukan cuma formalitas.</t>
  </si>
  <si>
    <t>tedatullah65@gmail.com</t>
  </si>
  <si>
    <t>Ramadhany Sasi Utami</t>
  </si>
  <si>
    <t>Pelaku UMKM</t>
  </si>
  <si>
    <t>Kalau di sektor herbal, tantangan terbesar JPH biasanya ada di pengecekan bahan baku yang kompleks, karena sering campur bahan utama sama zat pendukung yang harus dicek satu-satu kehalalannya. SDM di produksi kadang belum paham pencatatan detail, komitmen pelaksana nggak selalu konsisten, dan birokrasi perizinan bisa panjang apalagi kalau dokumen pemasok nggak lengkap.</t>
  </si>
  <si>
    <t>komunikasi jadi faktor paling penting. Kalau dari awal pemasok, produsen, dan lembaga sertifikasi udah sepaham, revisi dan hambatan di tengah jalan bisa berkurang banyak.</t>
  </si>
  <si>
    <t>Faktor lain yang juga ngaruh: dukungan uji laboratorium untuk bahan herbal, bantuan biaya sertifikasi, serta edukasi pasar supaya konsumen tahu nilai tambah produk herbal halal.</t>
  </si>
  <si>
    <t>ramadhany21@gmail.com</t>
  </si>
  <si>
    <t>Hj. Sophia Nurwulan</t>
  </si>
  <si>
    <t>Kalau di sektor kosmetika, tantangan terbesar JPH biasanya ngecek bahan baku yang namanya ribet dan sering impor, pastiin proses produksi bebas dari kontaminasi bahan non-halal, komitmen pelaksana yang kadang nggak konsisten, plus birokrasi perizinan yang lumayan makan waktu. Supplier juga nggak selalu punya sertifikat halal, jadi harus cari alternatif atau minta mereka urus dulu.</t>
  </si>
  <si>
    <t>komunikasi jadi yang paling penting. Kalau dari awal supplier, produsen, dan lembaga sertifikasi udah sejalan, prosesnya bisa lebih cepat dan risiko revisi berkurang.</t>
  </si>
  <si>
    <t>dukungan teknologi untuk pelacakan bahan baku, bantuan biaya sertifikasi, dan promosi edukasi ke konsumen biar label halal jadi daya tarik utama, bukan sekadar syarat formalitas.</t>
  </si>
  <si>
    <t xml:space="preserve">Muhammad Aska </t>
  </si>
  <si>
    <t>tantangan terbesar JPH biasanya ada di pengecekan bahan tambahan seperti perisa, pemanis, atau pengawet yang harus dipastikan kehalalannya, SDM yang paham standar halal masih terbatas, komitmen pelaksana kadang nggak stabil, dan birokrasi perizinan yang lumayan panjang. Supplier bahan tambahan juga nggak selalu punya sertifikat halal, jadi sering harus cari pengganti atau minta mereka urus dulu.</t>
  </si>
  <si>
    <t>komunikasi tetap jadi faktor paling penting. Kalau dari awal semua pihak—mulai dari produsen, pemasok, sampai lembaga sertifikasi—udah punya pemahaman yang sama, prosesnya bisa lebih lancar dan nggak bolak-balik revisi.</t>
  </si>
  <si>
    <t>dukungan biaya sertifikasi, pendampingan teknis untuk pelaku usaha, serta promosi ke konsumen supaya label halal bisa jadi nilai jual yang bikin produk lebih dipercaya.</t>
  </si>
  <si>
    <t>Makanan &amp; minuman</t>
  </si>
  <si>
    <t>Bandung Barat</t>
  </si>
  <si>
    <t>Kurangnya sosialisasi standar halal untuk penggunaan minyak goreng dan bumbu tambahan, serta birokrasi sertifikasi yang memakan waktu.</t>
  </si>
  <si>
    <t>Ketersediaan bahan baku seperti minyak dan bumbu yang sudah bersertifikat halal.</t>
  </si>
  <si>
    <t>Dukungan peralatan produksi higienis dan pendampingan proses sertifikasi yang sederhana bagi pelaku UMKM.</t>
  </si>
  <si>
    <t>Keripik Singkong</t>
  </si>
  <si>
    <t>Cimahi</t>
  </si>
  <si>
    <t>Kurangnya informasi teknis tentang standar halal untuk bahan seperti cokelat, pewarna, dan dekorasi, serta proses sertifikasi yang cukup rumit.</t>
  </si>
  <si>
    <t>Kepastian ketersediaan bahan kue yang bersertifikat halal.</t>
  </si>
  <si>
    <t>Adanya panduan praktis dan pendampingan khusus untuk produk bakery agar proses sertifikasi lebih mudah.</t>
  </si>
  <si>
    <t>Kue</t>
  </si>
  <si>
    <t>Kurangnya sosialisasi detail standar halal untuk daging, bumbu, dan bahan tambahan, serta prosedur sertifikasi yang cukup panjang.</t>
  </si>
  <si>
    <t>Ketersediaan daging dan bumbu bersertifikat halal yang mudah didapat.</t>
  </si>
  <si>
    <t>Dukungan fasilitas uji halal dan keamanan pangan yang cepat dan terjangkau bagi UMKM.</t>
  </si>
  <si>
    <t>Olahan Bakso</t>
  </si>
  <si>
    <t>Pengelola</t>
  </si>
  <si>
    <t>Kurangnya panduan teknis halal untuk proses pasteurisasi dan penanganan susu segar, serta birokrasi sertifikasi yang memakan waktu.</t>
  </si>
  <si>
    <t>Kebersihan dan kehalalan seluruh rantai pasok, mulai dari pemerahan hingga pengemasan.</t>
  </si>
  <si>
    <t>Akses ke fasilitas uji laboratorium untuk memastikan kualitas dan kehalalan susu.</t>
  </si>
  <si>
    <t>Susu Murni</t>
  </si>
  <si>
    <t>Tantangan terbesar yang saya hadapi adalah kurangnya pemahaman dan koordinasi antar pihak terkait, serta keterbatasan sumber daya untuk memenuhi persyaratan administrasi dan teknis.</t>
  </si>
  <si>
    <t>Menurut saya, komunikasi yang jelas dan cepat adalah faktor paling penting karena sering kali informasi mengenai prosedur JPH terlambat atau tidak sampai secara utuh ke pelaku UMKM.</t>
  </si>
  <si>
    <t>Faktor lain yang juga berpengaruh adalah biaya sertifikasi dan pengujian yang cukup tinggi bagi skala usaha kecil, sehingga menjadi hambatan untuk implementasi JPH secara optimal.</t>
  </si>
  <si>
    <t>Rumitnya birokrasi dan lamanya proses administrasi yang membuat produksi dan distribusi produk menjadi tertunda.</t>
  </si>
  <si>
    <t>Saya rasa ketersediaan sumber daya manusia yang paham prosedur JPH lebih penting karena tanpa orang yang kompeten, proses akan sering salah atau terulang.</t>
  </si>
  <si>
    <t>Akses informasi yang terbatas di daerah, sehingga pelaku UMKM sulit mendapatkan panduan teknis yang tepat waktu.</t>
  </si>
  <si>
    <t>Makanan Ringan</t>
  </si>
  <si>
    <t>Kurangnya sosialisasi standar halal untuk minyak goreng, bumbu, dan proses pengolahan, serta birokrasi sertifikasi yang cukup rumit.</t>
  </si>
  <si>
    <t>Ketersediaan bahan baku dan bumbu yang sudah bersertifikat halal.</t>
  </si>
  <si>
    <t>Peralatan produksi yang higienis dan pendampingan sertifikasi yang praktis bagi UMKM.</t>
  </si>
  <si>
    <t>Aneka Keripik</t>
  </si>
  <si>
    <t>Kurangnya sinkronisasi antar lembaga terkait yang membuat proses pengurusan JPH memakan waktu lama dan membingungkan.</t>
  </si>
  <si>
    <t>Saya menilai disposisi atau sikap petugas yang responsif lebih penting, karena pelayanan yang cepat dan ramah bisa memperlancar proses meskipun prosedurnya kompleks.</t>
  </si>
  <si>
    <t>Persaingan pasar di kota yang ketat, sehingga sertifikasi JPH menjadi kebutuhan mendesak untuk menjaga kepercayaan konsumen.</t>
  </si>
  <si>
    <t>Minuman</t>
  </si>
  <si>
    <t>Tingginya biaya pelatihan dan sertifikasi JPH yang membebani cash flow usaha kecil.</t>
  </si>
  <si>
    <t>Dukungan sumber daya finansial lebih penting, karena tanpa modal yang cukup, pelaku UMKM sulit mengikuti seluruh tahapan sertifikasi.</t>
  </si>
  <si>
    <t>Keterbatasan waktu pemilik usaha yang harus membagi fokus antara operasional harian dan proses administrasi JPH.</t>
  </si>
  <si>
    <t xml:space="preserve">Pemilik Usaha </t>
  </si>
  <si>
    <t>Purwakarta</t>
  </si>
  <si>
    <t>Kurangnya pendampingan langsung dari pihak terkait, sehingga proses pengisian dokumen JPH sering membingungkan.</t>
  </si>
  <si>
    <t>Komunikasi yang intens dan terarah lebih penting, karena dengan penjelasan yang jelas, pelaku UMKM seperti saya bisa menghindari kesalahan prosedur.</t>
  </si>
  <si>
    <t>Keterbatasan jaringan internet di lokasi produksi, yang membuat pengurusan JPH secara online menjadi terhambat.</t>
  </si>
  <si>
    <t>Kue Kering</t>
  </si>
  <si>
    <t>Lembang</t>
  </si>
  <si>
    <t>Kurangnya panduan teknis halal untuk proses pemerahan, pasteurisasi, dan pengemasan, serta birokrasi sertifikasi yang cukup panjang.</t>
  </si>
  <si>
    <t>Menjaga kebersihan dan kehalalan mulai dari sumber susu hingga distribusi.</t>
  </si>
  <si>
    <t>Akses fasilitas uji laboratorium yang cepat dan terjangkau untuk memastikan kualitas dan kehalalan susu.</t>
  </si>
  <si>
    <t>Bolu Susu</t>
  </si>
  <si>
    <t>Tantangan terbesar yang saya hadapi adalah perubahan regulasi JPH yang cukup sering sehingga kami harus terus menyesuaikan prosedur produksi dan dokumentasi.</t>
  </si>
  <si>
    <t>Saya menilai ketersediaan informasi yang up-to-date lebih penting, karena tanpa panduan terbaru, proses sertifikasi bisa tertunda atau ditolak.</t>
  </si>
  <si>
    <t>Padatnya jadwal produksi dan permintaan konsumen, sehingga sulit meluangkan waktu khusus untuk mengurus semua persyaratan JPH.</t>
  </si>
  <si>
    <t>Sumedang</t>
  </si>
  <si>
    <t>Tantangan bagi saya adalah lokasi usaha yang jauh dari pusat layanan JPH, sehingga proses pengurusan membutuhkan biaya dan waktu ekstra.</t>
  </si>
  <si>
    <t>Saya pikir dukungan dari pemerintah daerah lebih penting, karena bisa membantu mempercepat proses sertifikasi dan mengurangi beban biaya transportasi.</t>
  </si>
  <si>
    <t>Kurang sosialisasi di tingkat desa, sehingga banyak pelaku UMKM belum memahami pentingnya JPH untuk usaha mereka.</t>
  </si>
  <si>
    <t>Tantangan yang saya hadapi adalah menyesuaikan resep dan bahan baku dessert dengan standar JPH tanpa mengurangi cita rasa khas produk.</t>
  </si>
  <si>
    <t>Saya merasa bimbingan teknis dari ahli lebih penting, karena bisa membantu mencari alternatif bahan yang sesuai syarat tapi tetap menarik bagi konsumen.</t>
  </si>
  <si>
    <t>Kebutuhan inovasi menu yang tinggi di pasar dessert Bandung, sehingga proses sertifikasi harus cepat agar produk baru bisa segera dipasarkan.</t>
  </si>
  <si>
    <t>Dessert</t>
  </si>
  <si>
    <t>Sulitnya melengkapi dokumen pendukung JPH karena sebagian pemasok bahan baku belum memiliki sertifikat halal.</t>
  </si>
  <si>
    <t>Kerja sama yang baik dengan pemasok lebih penting, karena tanpa dukungan mereka proses sertifikasi akan terhambat.</t>
  </si>
  <si>
    <t>Fluktuasi harga bahan baku, yang membuat biaya produksi meningkat saat proses sertifikasi masih berjalan.</t>
  </si>
  <si>
    <t>Ciamis</t>
  </si>
  <si>
    <t>Minimnya pelatihan praktis tentang pengurusan JPH bagi pelaku UMKM di daerah.</t>
  </si>
  <si>
    <t>Pendampingan langsung dari petugas lebih penting, karena bisa membantu kami memahami langkah-langkah pengajuan sertifikasi dengan benar.</t>
  </si>
  <si>
    <t>Keterbatasan tenaga kerja di usaha saya, sehingga pengurusan dokumen sering tertunda karena fokus pada produksi harian.</t>
  </si>
  <si>
    <t>Kurangnya koordinasi internal antara pemilik usaha dan staf dalam menyiapkan berkas JPH.</t>
  </si>
  <si>
    <t>Saya merasa pembagian tugas yang jelas lebih penting, karena bisa mempercepat pengumpulan dokumen dan mengurangi risiko kesalahan.</t>
  </si>
  <si>
    <t>Faktor lain yang mempengaruhi adalah keterbatasan waktu staf yang harus mengurus sertifikasi di sela pekerjaan operasional harian.</t>
  </si>
  <si>
    <t>Memastikan semua bahan minuman memiliki sertifikat halal dari pemasok sebelum diajukan ke JPH.</t>
  </si>
  <si>
    <t>Transparansi informasi dari pemasok lebih penting, karena tanpa data yang lengkap proses sertifikasi akan memakan waktu lebih lama.</t>
  </si>
  <si>
    <t>Tren minuman yang cepat berubah di Kota Bandung, sehingga sertifikasi perlu dilakukan segera agar produk tetap relevan di pasaran.</t>
  </si>
  <si>
    <t>Kurangnya sosialisasi standar halal untuk bahan seperti margarin, pewarna, dan perisa, serta proses sertifikasi yang memakan waktu.</t>
  </si>
  <si>
    <t>Ketersediaan bahan baku bersertifikat halal yang mudah diperoleh.</t>
  </si>
  <si>
    <t>Pendampingan teknis untuk memastikan proses produksi dan pengemasan sesuai standar halal.</t>
  </si>
  <si>
    <t>Kurangnya panduan jelas standar halal untuk bahan isian seperti cokelat, keju, dan margarin, serta proses sertifikasi yang cukup rumit.</t>
  </si>
  <si>
    <t>Ketersediaan bahan baku bersertifikat halal yang mudah diakses.</t>
  </si>
  <si>
    <t>Pendampingan langsung bagi pelaku usaha untuk memastikan kebersihan dan kehalalan proses produksi.</t>
  </si>
  <si>
    <t>Martabak</t>
  </si>
  <si>
    <t>Kurangnya sosialisasi standar halal untuk pengolahan ikan dan penggunaan bumbu tambahan, ditambah birokrasi sertifikasi yang panjang.</t>
  </si>
  <si>
    <t>Ketersediaan bahan baku ikan dan bumbu yang jelas kehalalannya.</t>
  </si>
  <si>
    <t>Pendampingan teknis dan fasilitas uji mutu untuk memastikan produk aman dan sesuai standar halal.</t>
  </si>
  <si>
    <t>Kerupuk Ikan</t>
  </si>
  <si>
    <t>Kurangnya sosialisasi standar halal untuk bahan tambahan seperti susu kental manis dan bubuk perisa, serta birokrasi sertifikasi yang cukup panjang.</t>
  </si>
  <si>
    <t>Ketersediaan bahan baku utama (teh, susu, gula) yang sudah bersertifikat halal.</t>
  </si>
  <si>
    <t>Pendampingan teknis untuk memastikan proses penyajian dan pengemasan sesuai standar halal.</t>
  </si>
  <si>
    <t>Teh Tarik</t>
  </si>
  <si>
    <t>Achmad Zulfikar Nasution</t>
  </si>
  <si>
    <t>Terus terang, tantangan paling kerasa itu di bagian komunikasi sama birokrasi. Kadang info soal aturan atau syarat JPH nggak nyampe jelas ke pelaku UMKM kayak saya, jadi suka bingung mulai dari mana. Kalau soal sumber daya, ya kendalanya di biaya sama waktu, karena kita harus urus dokumen, uji produk, sampai bayar sertifikasi. Sementara usaha kecil kayak gini kan modal terbatas. Disposisi atau niat sih ada, tapi kalau prosesnya ribet dan lama, semangat jadi turun.</t>
  </si>
  <si>
    <t>Menurut saya, komunikasi itu paling penting. Soalnya kalau infonya jelas dan gampang dipahami, pelaku UMKM jadi tahu langkah-langkahnya, nggak salah arah. Kalau komunikasi dari pemerintah/lembaga sertifikasi lancar, tantangan di sumber daya atau birokrasi bisa lebih gampang diatasi, karena kita jadi bisa nyiapin diri dari awal.</t>
  </si>
  <si>
    <t>Ada sih, menurut saya faktor pendampingan dan edukasi. Banyak UMKM yang sebenarnya pengen banget punya sertifikat halal, tapi nggak ngerti caranya. Kalau ada pendampingan langsung, pelatihan praktis, atau bantuan teknis, pasti lebih banyak UMKM yang bisa lolos JPH. Selain itu, faktor biaya juga sangat krusial, karena tanpa subsidi atau dukungan dana, UMKM kecil kadang jadi mikir dua kali buat ngurusin.</t>
  </si>
  <si>
    <t>Renata Alexandra</t>
  </si>
  <si>
    <t>Kalau di bidang kosmetik, tantangan paling berat itu di sumber daya sama birokrasi. Bahan baku kosmetik kan sering impor, jadi kita harus pastikan kehalalannya lengkap dengan dokumen pendukung, dan itu ribet banget. Komunikasi kadang juga kurang jelas, aturan berubah tapi sosialisasinya nggak selalu sampai. Dari sisi disposisi, kita sebenarnya niat buat ikut aturan, cuma prosesnya panjang, dokumennya banyak, jadi kadang bikin capek.</t>
  </si>
  <si>
    <t>Menurut saya, sumber daya itu kunci. Bukan cuma soal dana, tapi juga SDM yang paham cara urus dokumen halal, cara ngecek bahan baku, dan nyusun laporan. Tanpa SDM dan biaya yang cukup, mau komunikasinya jelas atau birokrasi dipermudah pun, tetap aja susah jalan.</t>
  </si>
  <si>
    <t>Ada, yaitu akses ke laboratorium uji halal dan kepastian bahan baku dari supplier. Kadang kita sudah siap, tapi kalau supplier nggak punya sertifikat halal atau lab untuk uji terbatas, proses jadi terhambat. Selain itu, faktor kesadaran konsumen juga penting. Kalau konsumen makin peduli produk halal, pelaku usaha jadi lebih semangat dan merasa perlu untuk cepat-cepat beradaptasi.</t>
  </si>
  <si>
    <t>Febriana Hutauruk</t>
  </si>
  <si>
    <t>tantangan paling kerasa itu di sumber daya sama birokrasi. Banyak bahan baku yang kita pakai belum jelas status halalnya, jadi harus cari-cari supplier yang punya sertifikat. Biaya buat urus dokumen dan sertifikasi juga lumayan berat buat UMKM kecil. Dari sisi komunikasi, kadang info soal aturan halal nggak nyampe jelas, jadi kita bingung harus mulai dari mana.</t>
  </si>
  <si>
    <t>komunikasi yang paling penting. Kalau info tentang syarat dan prosesnya jelas, kita bisa nyiapin sumber daya dari awal. Tapi kalau infonya setengah-setengah, kita jadi salah langkah dan prosesnya makin lama.</t>
  </si>
  <si>
    <t>Ada juga faktor pendampingan dan biaya. Banyak UMKM yang sebenarnya mau banget ikut sertifikasi halal, tapi kalau nggak ada pelatihan praktis atau bantuan subsidi, ya akhirnya mundur. Faktor lain yang nggak kalah penting adalah kesadaran konsumen. Kalau makin banyak konsumen yang nuntut produk halal, pelaku usaha jadi lebih termotivasi buat segera ngurus JPH.</t>
  </si>
  <si>
    <t>Elmiko</t>
  </si>
  <si>
    <t>Yang paling berat itu di biaya sama birokrasi. Urus dokumen halal ribet, bahan baku juga kadang belum jelas sertifikasinya, sementara info dari lembaga nggak selalu gampang dipahami.</t>
  </si>
  <si>
    <t>Menurut saya komunikasi paling krusial. Kalau aturannya dijelasin jelas dan gampang dimengerti, kita bisa siapin biaya dan dokumen dari awal tanpa kebingungan.</t>
  </si>
  <si>
    <t>endampingan dan subsidi biaya penting banget. Tanpa itu, banyak UMKM kecil yang kesulitan. Ditambah lagi, tuntutan konsumen juga berpengaruh—semakin peduli mereka pada halal, semakin besar dorongan buat kita ngurus sertifikasi.</t>
  </si>
  <si>
    <t>Januar Christoper</t>
  </si>
  <si>
    <t>Di usaha makanan, tantangan paling susah itu soal bahan baku dan dokumen. Kadang supplier nggak semua punya sertifikat halal, jadi kita harus rajin nanya dan ngejar bukti tertulis. Urusan birokrasi juga lumayan makan waktu, apalagi kalau harus bolak-balik nyiapin berkas.</t>
  </si>
  <si>
    <t>yang paling penting itu sumber daya. Tanpa modal cukup buat bayar uji produk dan tenaga yang ngerti prosesnya, kita gampang stuck di tengah jalan.</t>
  </si>
  <si>
    <t>Yang berpengaruh juga adalah ketersediaan informasi online yang praktis. Kalau ada aplikasi atau sistem yang lebih gampang dipakai UMKM, pasti lebih banyak yang mau ikut JPH.</t>
  </si>
  <si>
    <t>Ananda Ratya Madi Saputra</t>
  </si>
  <si>
    <t>DKI Jakarta</t>
  </si>
  <si>
    <t>antangannya lebih ke komunikasi sama kepastian bahan tambahan. Banyak bahan minuman seperti perisa atau pemanis impor, kadang status halalnya nggak jelas. Info prosedur juga kadang simpang siur, jadi bikin bingung.</t>
  </si>
  <si>
    <t>Di sini saya lihat yang paling penting itu komunikasi. Kalau aturan dan tahapannya jelas, pelaku usaha jadi lebih tenang, nggak takut salah langkah.</t>
  </si>
  <si>
    <t>akses ke lab uji halal juga penting. Karena untuk produk minuman yang banyak pakai bahan kimia tambahan, hasil uji lab jadi penentu banget buat lolos sertifikasi.</t>
  </si>
  <si>
    <t>MASHADI</t>
  </si>
  <si>
    <t>P3H YAIS BPJPH</t>
  </si>
  <si>
    <t>INDRAMAYU</t>
  </si>
  <si>
    <t>Perlunya Satgas Halal yang melakukan sidak ke para pelaku usaha</t>
  </si>
  <si>
    <t>Jika tidak dilakukan sidak melalui satgas halal. Maka tidak ada efek jera terhadap pelaku usaha yang semestinya sadar akan identitas dan legalitas dalam melakukan transaksi jual beli, terutama kehalalan sebuah produk</t>
  </si>
  <si>
    <t>PERLUNYA SATGAS HALAL DI SETIAP KECAMATAN DENGAN MEMBERDAYAKAN PARA SATPOL PP, PUSKESMAS, DAN MUI DI SETIAP KECAMATAN</t>
  </si>
  <si>
    <t>mayasari82jtb@gmail.com</t>
  </si>
  <si>
    <t>JAWA BARAT</t>
  </si>
  <si>
    <t>SIWANG &amp; SAMBAL KERING</t>
  </si>
  <si>
    <t>Adinda Putri Devana</t>
  </si>
  <si>
    <t>tantangan paling berat ada di bahan baku sama dokumen halal. Banyak bahan kosmetik itu impor, dan nggak semua supplier bisa kasih sertifikat halal. Proses birokrasi juga lumayan ribet, jadi butuh waktu dan tenaga ekstra.</t>
  </si>
  <si>
    <t>Menurut saya yang paling penting itu sumber daya. Kita butuh biaya, SDM yang paham regulasi, dan juga akses ke info jelas. Kalau sumber daya cukup, tantangan lain bisa lebih gampang diatasi.</t>
  </si>
  <si>
    <t>akses ke lab uji halal juga krusial. Buat kosmetik, perlu pengujian detail, jadi kalau lab-nya terbatas atau ngantri lama, proses jadi tertunda. Faktor lain yang ngaruh juga adalah kesadaran konsumen—semakin tinggi demand produk halal, makin besar dorongan kita untuk cepat ngurus sertifikasi.</t>
  </si>
  <si>
    <t>Adimas Radiantoko</t>
  </si>
  <si>
    <t>Buat makanan, tantangannya ada di ngurus sertifikat halal bahan olahan kayak bumbu, saus, atau pengawet. Banyak yang belum jelas asal-usulnya, jadi kita harus ekstra hati-hati. Birokrasinya juga panjang, jadi kadang bikin males ngurusin.</t>
  </si>
  <si>
    <t>Menurut saya birokrasi yang simpel itu kunci. Kalau prosesnya nggak berbelit-belit, pelaku UMKM jadi lebih semangat. Info soal aturan, bahan apa yang boleh/tidak, dan cara ngurus sertifikat harus jelas biar kita nggak salah jalan.</t>
  </si>
  <si>
    <t>Edukasi langsung ke pelaku usaha juga penting. Banyak teman-teman UMKM minuman yang masih belum ngerti alurnya, jadi kalau ada pendampingan step by step pasti lebih gampang jalan.</t>
  </si>
  <si>
    <t>Agustina Sinta</t>
  </si>
  <si>
    <t>Di usaha obat herbal, tantangan paling berat itu ada di sumber daya dan birokrasi. Bahan herbal banyak yang campur-campur, kadang ada tambahan zat pelengkap yang harus jelas kehalalannya. Urus dokumen juga lumayan ribet, apalagi kalau harus ada uji lab yang butuh biaya besar.</t>
  </si>
  <si>
    <t>yang paling penting itu sumber daya. Tanpa modal cukup buat bayar uji produk dan tenaga yang ngerti cara nyiapin dokumen halal, proses bisa mandek di tengah jalan.</t>
  </si>
  <si>
    <t>ketersediaan laboratorium khusus herbal juga berpengaruh. Kadang produk herbal butuh uji lebih detail, jadi kalau fasilitasnya terbatas, proses jadi lama. Faktor lain adalah kesadaran konsumen—kalau masyarakat makin peduli soal halal di obat herbal, kita sebagai produsen jadi lebih termotivasi untuk segera urus JPH.</t>
  </si>
  <si>
    <t>Pph</t>
  </si>
  <si>
    <t>Rieflan250689@gmail.com</t>
  </si>
  <si>
    <t>Home industri</t>
  </si>
  <si>
    <t>Deciana Hargunanti</t>
  </si>
  <si>
    <t>Yang paling berat itu nyari bahan baku yang jelas sertifikat halalnya. Ditambah lagi, birokrasi dan dokumen yang harus diurus lumayan ribet buat usaha kecil.</t>
  </si>
  <si>
    <t>komunikasi paling penting. Kalau info soal syarat dan alur proses jelas, kita bisa siapin waktu, biaya, dan dokumen dari awal tanpa bingung.</t>
  </si>
  <si>
    <t>pendampingan langsung sama subsidi biaya. Kalau ada bantuan teknis dan biaya lebih ringan, pasti lebih banyak UMKM makanan &amp; minuman yang bisa jalanin JPH.</t>
  </si>
  <si>
    <t>Sakti Alamsyah</t>
  </si>
  <si>
    <t>Kalau di usaha makanan dan minuman, tantangan yang paling terasa itu ada di biaya, bahan baku, sama birokrasi. Banyak bahan tambahan kayak bumbu, saus, atau perisa minuman yang status halalnya belum jelas, jadi kita harus ekstra cari supplier yang punya dokumen halal. Sementara biaya uji produk dan sertifikasi halal lumayan berat buat UMKM kecil. Ditambah lagi, urusan birokrasi sering bikin pusing karena prosedurnya panjang dan kadang harus bolak-balik. Dari sisi komunikasi juga kadang kurang jelas, info aturan suka telat atau simpang siur, jadi kita gampang bingung.</t>
  </si>
  <si>
    <t>Menurut saya, yang paling penting itu komunikasi. Kalau informasi dari lembaga terkait jelas dan gampang dipahami, kita bisa nyiapin semua kebutuhan lebih cepat—mulai dari dokumen, biaya, sampai ngatur waktu produksi. Dengan komunikasi yang baik, beban sumber daya dan birokrasi bisa sedikit lebih ringan karena kita tahu jalannya dari awal.</t>
  </si>
  <si>
    <t>pendampingan dan bantuan nyata buat UMKM. Banyak pelaku usaha yang sebenarnya pengen punya sertifikat halal, tapi karena nggak ngerti tahapannya atau terkendala biaya, akhirnya mundur. Kalau ada program pelatihan praktis, pendampingan langsung, atau subsidi biaya, pasti lebih banyak UMKM makanan dan minuman yang bisa lolos JPH. Ditambah lagi, kesadaran konsumen juga penting—semakin tinggi permintaan produk halal dari pembeli, semakin kuat dorongan kita buat serius ngurus sertifikasi.</t>
  </si>
  <si>
    <t xml:space="preserve">Maheswari </t>
  </si>
  <si>
    <t>Pemili UMKM</t>
  </si>
  <si>
    <t>Kalau di bisnis kosmetik, tantangan paling berat itu ada di bahan baku impor dan dokumen halal. Banyak bahan kosmetik, apalagi yang kimia atau campuran, asalnya dari luar negeri, dan nggak semua supplier bisa kasih sertifikat halal yang lengkap. Jadi kita sering kesulitan pas mau buktiin kehalalannya. Dari sisi birokrasi, proses pengajuan sertifikasi juga cukup ribet, harus nyiapin banyak dokumen, kadang bolak-balik, dan makan waktu lama. Ditambah lagi, biaya uji lab untuk kosmetik itu lumayan besar, jadi lumayan berat buat UMKM kecil.</t>
  </si>
  <si>
    <t>yang paling penting itu sumber daya. Karena di kosmetik nggak cukup hanya niat aja, tapi kita butuh biaya buat uji produk, SDM yang ngerti regulasi, dan akses ke informasi yang jelas. Kalau sumber daya ini lemah, meskipun komunikasinya bagus atau birokrasi dipermudah, tetap aja susah buat lolos JPH.</t>
  </si>
  <si>
    <t>akses ke laboratorium halal yang memadai. Produk kosmetik kan butuh uji yang detail dan spesifik, jadi kalau fasilitasnya terbatas atau antre lama, otomatis proses sertifikasi jadi tertunda. Faktor lain yang juga penting adalah kesadaran konsumen. Semakin banyak konsumen yang peduli sama produk halal, makin besar dorongan kita sebagai produsen untuk cepat-cepat beradaptasi dan ngurus JPH.</t>
  </si>
  <si>
    <t>Ratu Diana</t>
  </si>
  <si>
    <t>Buat usaha makanan dan minuman, tantangan paling kerasa itu di biaya sama bahan baku. Banyak bahan tambahan kayak saus, bumbu instan, perisa, sampai bahan pengawet yang status halalnya belum jelas, jadi kita mesti cari-cari supplier yang bisa kasih dokumen resmi. Nah, urus dokumen halal ini juga sering bikin pusing karena prosedurnya panjang, banyak form, dan harus bolak-balik. Dari sisi komunikasi, info dari lembaga kadang nggak nyampe jelas, jadi kita sering bingung mana yang harus didahulukan.</t>
  </si>
  <si>
    <t>Menurut saya, yang paling penting itu komunikasi. Soalnya kalau informasi soal alur, syarat, dan cara ngurus sertifikasi disampaikan jelas, kita bisa lebih siap—mulai dari dana, dokumen, sampai atur waktu produksi. Dengan komunikasi yang baik, kita jadi lebih percaya diri jalanin prosesnya meskipun birokrasi ribet.</t>
  </si>
  <si>
    <t>pendampingan langsung dan subsidi biaya juga sangat ngaruh. Banyak UMKM kecil yang semangatnya tinggi buat punya sertifikat halal, tapi terhambat di biaya dan teknis. Kalau ada pendampingan step by step atau program bantuan kolektif, pasti lebih banyak yang bisa lolos. Faktor lain yang juga penting adalah kesadaran konsumen. Kalau permintaan produk halal makin tinggi, pelaku UMKM jadi lebih termotivasi buat segera nyelesain JPH.</t>
  </si>
  <si>
    <t>Aprilia Kusumawardani</t>
  </si>
  <si>
    <t>biaya sertifikasi dan ribetnya birokrasi, ditambah bahan baku kadang belum jelas status halalnya.</t>
  </si>
  <si>
    <t>komunikasi paling penting, karena kalau infonya jelas kita bisa siapin biaya dan dokumen dari awal tanpa bingung</t>
  </si>
  <si>
    <t>Pendampingan langsung dan subsidi biaya juga ngaruh banget, plus kesadaran konsumen yang bikin kita lebih semangat urus JPH.</t>
  </si>
  <si>
    <t>Aldisa Amanda</t>
  </si>
  <si>
    <t>yang paling susah itu bahan baku impor yang nggak semua jelas sertifikat halalnya, plus biaya uji lab dan birokrasi yang ribet buat usaha kecil.</t>
  </si>
  <si>
    <t>Menurut saya sumber daya paling penting, karena tanpa modal, SDM yang ngerti aturan, dan akses info jelas, proses JPH bisa mandek di tengah jalan.</t>
  </si>
  <si>
    <t>Akses ke lab halal yang memadai dan kesadaran konsumen juga ngaruh banget, makin tinggi demand produk halal, makin semangat kita buat urus sertifikasi.</t>
  </si>
  <si>
    <t>Yamatri Zahra</t>
  </si>
  <si>
    <t>Kalau di usaha kosmetik, tantangan paling berat itu di bahan baku sama biaya uji. Banyak bahan dasar kosmetik, terutama yang kimia atau campuran, asalnya impor. Nah, nggak semua supplier bisa kasih bukti halal yang lengkap, jadi kita harus ekstra usaha cari dokumen pendukung. Proses birokrasi juga lumayan bikin pusing, karena banyak syarat yang harus dipenuhi dan sering harus bolak-balik. Dari sisi biaya, uji lab untuk kosmetik juga mahal, dan itu jadi beban berat buat UMKM kecil.</t>
  </si>
  <si>
    <t>Menurut saya, yang paling penting itu sumber daya. Tanpa modal cukup buat uji produk dan SDM yang paham regulasi, kita gampang nyangkut di tengah proses. Soalnya di kosmetik nggak cuma sekadar niat aja, tapi butuh tenaga, waktu, dan biaya yang lumayan besar.</t>
  </si>
  <si>
    <t>Ada faktor lain yang juga ngaruh, yaitu akses ke laboratorium halal. Produk kosmetik kan butuh pengujian detail, jadi kalau lab halal terbatas atau antre lama, proses sertifikasi jadi makin panjang. Faktor lain yang juga penting adalah kesadaran konsumen—semakin banyak pembeli yang peduli produk halal, semakin kuat dorongan kita sebagai produsen untuk cepat-cepat urus JPH.</t>
  </si>
  <si>
    <t>Rizky Aldila</t>
  </si>
  <si>
    <t>Kalau di usaha obat herbal, tantangan paling kerasa itu di bahan baku dan proses uji. Banyak bahan tanaman yang kita pakai campurannya beragam, kadang ada tambahan zat pendukung seperti pengawet atau kapsul yang asalnya nggak jelas sertifikat halalnya. Urus dokumen juga lumayan ribet, harus detail banget, sementara biaya uji lab untuk herbal cukup tinggi dan jadi beban buat UMKM kecil.</t>
  </si>
  <si>
    <t>Kita butuh dana untuk uji laboratorium, SDM yang paham soal regulasi, dan juga waktu buat ngurusin dokumen. Kalau sumber daya terbatas, niat sebesar apa pun tetap susah buat nyelesain proses JPH.</t>
  </si>
  <si>
    <t>Kadang produk herbal perlu uji yang spesifik, jadi kalau fasilitasnya terbatas atau antri lama, proses sertifikasi makin ketahan. Faktor lain yang berpengaruh juga adalah kesadaran konsumen. Kalau masyarakat makin peduli sama obat herbal halal, pelaku UMKM kayak saya jadi lebih termotivasi buat cepat-cepat ngurus JPH.</t>
  </si>
  <si>
    <t xml:space="preserve">Aurora Vivian </t>
  </si>
  <si>
    <t>Di usaha makanan dan minuman, tantangan paling terasa itu ada di bahan baku sama biaya sertifikasi. Banyak bahan tambahan seperti saus, bumbu instan, perisa, sampai pengawet yang status halalnya masih abu-abu, jadi kita mesti cari supplier yang punya dokumen resmi. Nah, urus dokumen halal ini juga cukup ribet, banyak syarat yang harus dipenuhi, dan kadang bikin kita harus bolak-balik ngurusin. Biayanya juga lumayan besar buat UMKM kecil, jadi sering bikin mikir dua kali sebelum jalan.</t>
  </si>
  <si>
    <t>Faktor yang paling penting itu komunikasi. Kalau aturan, syarat, dan tahapannya dijelasin dengan jelas, pelaku usaha kayak kita bisa lebih siap—baik dari segi dana, dokumen, maupun waktu produksi. Jadi nggak kebingungan atau salah langkah.</t>
  </si>
  <si>
    <t>da juga faktor pendampingan langsung dan bantuan biaya. Banyak UMKM yang niatnya besar buat sertifikasi halal, tapi kebentur teknis dan dana. Kalau ada pelatihan praktis, pendampingan step by step, atau subsidi dari pemerintah, pasti lebih banyak UMKM makanan dan minuman yang bisa lolos JPH. Faktor lain yang juga penting adalah kesadaran konsumen. Semakin tinggi permintaan produk halal, semakin besar juga dorongan buat pelaku UMKM untuk segera ngurus sertifikasi.</t>
  </si>
  <si>
    <t>Viony Hanifa Azhanti</t>
  </si>
  <si>
    <t>Biaya sertifikasi lumayan berat, dokumen ribet, dan beberapa bahan tambahan (bumbu, perisa, pengawet) masih belum jelas status halalnya.</t>
  </si>
  <si>
    <t>Menurut saya komunikasi paling penting, karena kalau alurnya jelas dari awal, kita bisa siapin dana dan dokumen tanpa salah langkah.</t>
  </si>
  <si>
    <t>Pendampingan teknis, subsidi biaya, dan kesadaran konsumen juga sangat berpengaruh buat kelancaran UMKM dalam ngurus JPH.</t>
  </si>
  <si>
    <t>Fransiska Kumalasari</t>
  </si>
  <si>
    <t>Yang paling berat itu bahan baku impor yang dokumen halalnya sering nggak lengkap, plus biaya uji lab dan birokrasi yang ribet buat usaha kecil.</t>
  </si>
  <si>
    <t>sumber daya paling penting—tanpa modal, SDM yang paham aturan, dan akses info jelas, proses sertifikasi bisa mandek.</t>
  </si>
  <si>
    <t>Akses ke lab halal khusus kosmetik dan kesadaran konsumen juga ngaruh, makin tinggi demand produk halal, makin semangat kita ngurus JPH.</t>
  </si>
  <si>
    <t>Amira</t>
  </si>
  <si>
    <t>Buat usaha makanan dan minuman, yang paling susah itu cari bahan baku yang halal jelas dokumennya, plus biaya sertifikasi yang lumayan bikin berat.</t>
  </si>
  <si>
    <t>Menurut saya birokrasi yang simpel paling penting—kalau alurnya nggak ribet, kita jadi lebih semangat buat jalanin proses JPH.</t>
  </si>
  <si>
    <t>Faktor lain yang ngaruh itu dukungan pemerintah daerah dan pendampingan langsung, biar UMKM nggak jalan sendiri-sendiri pas urus sertifikasi.</t>
  </si>
  <si>
    <t>Bayu Mahendra</t>
  </si>
  <si>
    <t>UMKM makanan &amp; minuman di Jakarta punya masalah klasik yang sering bikin kepala pusing: biaya dan dokumen. Banyak pelaku usaha masih bingung soal supplier yang punya bukti halal, sementara prosedur sertifikasi dianggap ribet dan seringkali administratifnya bikin malas ngurus. Menurut hasil penelitian, pelaku UMKM ini memang menunjukkan minat positif terhadap program Sertifikasi Halal Gratis (SEHATI), tapi kadang “mindset-nya belum nyambung”—prosedur yang masih rumit dan ketidaksiapan secara teknis bikin mereka ragu buat daftar. Ditambah lagi, proses digital yang sekarang dipakai bikin pelaku usaha yang gaptek makin kesulitan..</t>
  </si>
  <si>
    <t>Dari yang saya lihat, pendampingan dan komunikasi yang jelas itu jadi paling penting. Banyak pelaku UMKM belum paham regulasi, atau bahkan belum tahu soal SEHATI. Minimnya sosialisasi bikin mereka nggak sadar bahwa mereka punya peluang tanpa perlu keluar uang buat sertifikasi</t>
  </si>
  <si>
    <t>Banyak UMKM yang nggak terbiasa dengan sistem online, padahal proses JPH sekarang banyak pakai digital. Akibatnya, semakin ringan prosedurnya secara hukum, tapi bagi pelaku usaha malah terasa berat di lapangan..</t>
  </si>
  <si>
    <t>Banua Raja</t>
  </si>
  <si>
    <t>Kalau di Medan, banyak UMKM kuliner—entah bakso, sate, kopi, atau jajanan tradisional—yang belum punya sertifikasi halal, meskipun bahan bakunya sebenarnya sudah halal secara nyaris keseluruhan. Contohnya, bahan baku dan penolongnya memang aman (sekitar 78,9% kategori “sangat baik”), tapi tahap pengolahan dan pengemasannya ada yang masih belum jelas kehalalannya (“titik kritis kehalalan”).. Bukan cuma itu, banyak pelaku UMKM belum tahu cara ngurus sertifikasi halal, biaya jadi alasan utama, dan belum paham manfaat jangka panjangnya..</t>
  </si>
  <si>
    <t>Bagi UMKM di Medan, yang paling krusial itu pendampingan langsung dan edukasi praktis soal sertifikasi halal. Halal Center (misalnya di UINSU) berperan penting lewat kegiatan edukasi, pelatihan, sosialisasi, serta memfasilitasi pendaftaran sertifikasi halal. Mereka juga membantu pengembangan SDM terkait produk halal</t>
  </si>
  <si>
    <t>UMKM di Medan perlu menjaga seluruh rantai pasok halal—dari bahan, pengolahan, penyajian, sampai pemasaran. Meski banyak yang sudah menjalankan dengan benar, belum semua paham atau menerapkannya secara konsisten..</t>
  </si>
  <si>
    <t>makanan minuman</t>
  </si>
  <si>
    <t>Kendala paling kerasa buat saya tuh ribetnya ngurus dokumen JPH, apalagi kalau ada bahan baku yang belum jelas status halalnya.</t>
  </si>
  <si>
    <t>Menurut saya sih yang paling penting itu ada pendampingan langsung, biar nggak bingung dan bisa cepet kelar urusannya.</t>
  </si>
  <si>
    <t>Faktor lain yang ngaruh ya soal waktu, soalnya saya juga mesti bagi fokus antara ngurus usaha sehari-hari sama urusan administrasi ini.</t>
  </si>
  <si>
    <t>Buat saya, tantangan paling kerasa itu ngumpulin semua syarat dokumen JPH, soalnya lumayan ribet dan butuh waktu banyak.</t>
  </si>
  <si>
    <t>Menurut saya yang lebih penting tuh info yang jelas dan gampang dipahami, biar kita nggak salah langkah pas ngurus sertifikasi.</t>
  </si>
  <si>
    <t>Faktor yang ngaruh itu biaya uji lab, karena buat UMKM kayak saya lumayan berat kalau harus sering keluar dana gede.</t>
  </si>
  <si>
    <t>Zulfikar Kusuma</t>
  </si>
  <si>
    <t>Buat UMKM obat herbal atau jamu di Jakarta.. itambah lagi, akses ke lembaga pemeriksa halal atau pendamping resmi sering terbatas, jadi prosesnya jadi lama dan campuh. iaya untuk uji lab, dokumen, dan audit juga cukup besar buat usaha kecil—apalagi di sektor herbal yang bahan bakunya kadang spesifik dan perlu diuji lebih detail...                    tantangan paling berat itu soal pengetahuan, biaya sertifikasi, dan akses layanan. Banyak pelaku usaha belum ngerti cara lengkap bikin produk mereka jadi tersertifikasi halal—mulai dari prosedur pendaftaran sampai standar fasilitas produksi yang diterapkan..</t>
  </si>
  <si>
    <t>Banyak UMKM jamu di Jakarta niatnya besar buat ikut sertifikasi halal, tapi belum tahu langkahnya. Kalau ada sosialisasi, pelatihan, dan bantuan teknis—apalagi pemahaman tentang self-declare via aplikasi seperti Sihalal—mereka bakal lebih yakin dan lancar jalannya</t>
  </si>
  <si>
    <t>Untuk produk sederhana, sistem ini bisa jadi solusi cepat. Tapi banyak pelaku belum manfaatin karena─walaupun ada aturan, pelaksanaannya belum serata di lapangan.. Kalau bahan baku dan input produksi belum banyak yang halal-certified di hulu, mau gimana pun ribet juga. Perlu dukungan agar supplier lokal bisa masuk dalam ekosistem alasan halal..</t>
  </si>
  <si>
    <t xml:space="preserve">Obat </t>
  </si>
  <si>
    <t>Yang bikin susah itu ngurus JPH masih banyak tahapannya, jadi kadang bikin pusing sendiri.</t>
  </si>
  <si>
    <t>Buat saya yang paling penting itu arahan yang simpel dan jelas, biar nggak bolak-balik salah ngisi dokumen.</t>
  </si>
  <si>
    <t>Hal lain yang ngaruh ya soal biaya, soalnya buat usaha kecil kayak saya tiap pengeluaran tambahan lumayan kerasa banget.</t>
  </si>
  <si>
    <t>Kendala yang sering saya hadapi adalah proses JPH yang agak ribet, jadi suka makan waktu lama.</t>
  </si>
  <si>
    <t>Yang paling penting ada pendampingan step by step, biar gampang diikutin sama pelaku UMKM kecil kayak saya.</t>
  </si>
  <si>
    <t>Soal akses informasi, soalnya nggak semua pelaku usaha di daerah dapet info lengkap tentang prosedurnya.</t>
  </si>
  <si>
    <t>Olivia Natalia</t>
  </si>
  <si>
    <t>Untuk pelaku UMKM kosmetik di Jakarta, tantangan paling berat sering ada di bahan baku dan prosesnya yang rumit. Banyak bahan baku itu masih impor dan belum punya sertifikat halal—apalagi sebagian tersebar secara tidak resmi lewat dokumen pendukung, bukan sertifikat resmi. Hal ini bikin proses skrining dan audit jadi ribet dan berbelit..</t>
  </si>
  <si>
    <t>Menurut saya, hal yang paling dibutuhkan itu pendampingan jelas dan sosialisasi yang masif. Di Jakarta, BPJPH dan Perkosmi (asosiasi kosmetik halal) sedang intens menggelar seminar dan edukasi seputar kewajiban sertifikasi halal, termasuk untuk kosmetik yang harus bersertifikat mulai Oktober 2026</t>
  </si>
  <si>
    <t>Butuh media konsultasi cepat, solusi logistik halal yang lebih mudah, dan kolaborasi lebih kuat antar instansi agar ekosistem siap..</t>
  </si>
  <si>
    <t>Buat saya, tantangan paling kerasa itu ngurusin syarat JPH yang banyak banget, jadi suka bingung harus mulai dari mana.</t>
  </si>
  <si>
    <t>Menurut saya sih yang paling penting adanya sosialisasi langsung, biar pelaku UMKM kayak saya bisa paham jelas tanpa harus nebak-nebak.</t>
  </si>
  <si>
    <t>Faktor lain yang ngaruh tuh soal waktu, soalnya kalau lagi rame produksi jadi susah banget nyempetin ngurus administrasi.</t>
  </si>
  <si>
    <t xml:space="preserve">Rosmawati </t>
  </si>
  <si>
    <t>Denpasar</t>
  </si>
  <si>
    <t>Di Denpasar, tantangan paling kerasa itu soal sumber daya. Biaya sertifikasi halal lumayan bikin mikir dua kali, apalagi buat warung kecil. Selain itu, birokrasi juga suka ribet, harus bolak-balik urus dokumen yang kadang bikin waktu habis di jalan daripada di dapur.</t>
  </si>
  <si>
    <t>sumber daya jauh lebih krusial dibanding faktor lain. Soalnya komunikasi bisa dicari lewat komunitas atau internet, disposisi kita ada, tapi kalau uang dan tenaga kurang ya susah juga buat majuin proses JPH.</t>
  </si>
  <si>
    <t>pendampingan khusus UMKM di Denpasar juga penting banget. Kalau ada pihak yang dampingin dari awal sampai sertifikat keluar, pasti lebih banyak UMKM yang mau ikut tanpa merasa ribet.</t>
  </si>
  <si>
    <t>Bali</t>
  </si>
  <si>
    <t>Warung Muslim</t>
  </si>
  <si>
    <t>Ni Ketut Susi Putreni</t>
  </si>
  <si>
    <t>tantangannya ada di komunikasi dan birokrasi. Info soal aturan JPH kadang simpang siur, jadi sering bingung harus urus ke mana dulu. Belum lagi kalau diminta uji lab bahan, ribet banget dan biayanya nggak murah.</t>
  </si>
  <si>
    <t>sumber daya yang paling krusial. Kosmetik itu banyak bahannya, jadi biaya buat uji halal dan sertifikasi jelas lebih tinggi dibanding makanan/minuman. Kalau dana nggak ada, prosesnya bisa mandek di tengah jalan.</t>
  </si>
  <si>
    <t>Denpasar juga perlu dukungan akses bahan baku halal. Kadang kita mau produksi sesuai aturan, tapi supplier lokal belum semua punya sertifikat halal. Jadi agak susah kalau dari hulu aja belum rapi.</t>
  </si>
  <si>
    <t>Ida Bagus Made Sasmana</t>
  </si>
  <si>
    <t>Badung</t>
  </si>
  <si>
    <t>tantangan utama obat herbal itu ada di birokrasi sama uji lab. Prosesnya panjang, sementara bahan herbal itu macam-macam banget. Kadang info soal JPH juga nggak jelas, jadi kita harus cari tahu sendiri.</t>
  </si>
  <si>
    <t>sumber daya tetap yang paling berat. Uji halal buat herbal nggak murah, butuh biaya besar buat cek tiap bahan. Kalau modal pas-pasan, UMKM jadi mikir dua kali mau daftar sertifikasi.</t>
  </si>
  <si>
    <t>di Bali juga masalahnya di konsistensi bahan baku. Banyak herbal didapat dari petani lokal yang belum semua ngerti soal standar halal. Jadi penting ada pendampingan dan edukasi sampai ke petani.</t>
  </si>
  <si>
    <t>Obat Herbali</t>
  </si>
  <si>
    <t>Adiyatnika Geusan Ulun</t>
  </si>
  <si>
    <t>Tantangan paling utama biasanya ada di komunikasi dan birokrasi. Info soal aturan halal seringkali datangnya telat atau nggak jelas. Kita sebagai pemilik rumah makan harus banyak tanya sana-sini supaya ngerti prosedurnya. Birokrasinya juga lumayan panjang, harus siapkan dokumen, upload berkas, bahkan kadang diminta data yang detail banget soal bahan makanan. Belum lagi kalau ada inspeksi atau uji lab, itu bisa makan waktu dan biaya. Padahal di rumah makan, tenaga kita lebih banyak habis untuk melayani pelanggan setiap hari.</t>
  </si>
  <si>
    <t>faktor sumber daya jadi yang paling penting. Rumah makan di Bali itu persaingannya ketat, jadi penghasilan sering habis buat operasional harian, gaji karyawan, dan bahan baku. Kalau harus keluar biaya tambahan untuk sertifikasi halal, apalagi dengan skala usaha masih kecil, tentu jadi beban. Sementara disposisi (niat) dan komunikasi masih bisa kita ikhtiarkan, tapi kalau dana nggak ada, prosesnya mandek.</t>
  </si>
  <si>
    <t>faktor lain yang juga penting: akses bahan baku halal yang terjamin. Di Bali, kadang masih ada supplier daging atau bumbu yang belum jelas status halalnya. Jadi walaupun rumah makan kita niat banget untuk halal, kalau rantai pasokannya nggak mendukung, ya susah juga. Makanya pendampingan dari pemerintah atau lembaga terkait supaya bisa kasih akses supplier halal sangat dibutuhkan.</t>
  </si>
  <si>
    <t>Rumah Makan</t>
  </si>
  <si>
    <t>Maharani Kemala</t>
  </si>
  <si>
    <t>Tabanan</t>
  </si>
  <si>
    <t>Di usaha kosmetik, tantangan JPH paling berasa di uji bahan dan birokrasi. Kosmetik kan bahannya banyak dan campur-campur, mulai dari bahan aktif, pengawet, sampai pewangi. Nah, tiap bahan itu harus jelas asal-usulnya. Proses ngecek satu per satu ribet, apalagi kalau supplier nggak semua bisa kasih bukti halal. Birokrasinya juga lumayan panjang, bikin kita jadi sering bolak-balik urus dokumen.</t>
  </si>
  <si>
    <t>Menurut saya, yang paling penting tetap sumber daya. Soalnya biaya sertifikasi halal untuk kosmetik jauh lebih tinggi dibanding makanan/minuman. Selain itu, butuh tenaga ekstra buat ngurus dokumen, sementara UMKM biasanya cuma punya tim kecil atau bahkan dikerjain sendiri sama pemiliknya.</t>
  </si>
  <si>
    <t>hal lain yang ngaruh: akses informasi yang jelas dan pendampingan teknis. Banyak pelaku kosmetik yang sebenarnya mau ikut JPH, tapi bingung mulai dari mana. Kalau ada tim pendamping yang kasih arahan step by step, pasti lebih banyak UMKM kosmetik yang bisa jalan.</t>
  </si>
  <si>
    <t>Gede Yoga Amerta</t>
  </si>
  <si>
    <t>Buleleng</t>
  </si>
  <si>
    <t>Obat tradisional itu bahan bakunya banyak banget dan sering campuran dari tanaman lokal, rempah, sampai ekstrak. Tantangannya, tiap bahan mesti jelas asal-usulnya dan harus diuji. Nah, uji lab ini biasanya ribet dan mahal, apalagi kalau bahan dipasok dari petani kecil yang belum paham standar halal. Jadi buat UMKM, prosesnya bisa makan tenaga dan biaya yang besar.</t>
  </si>
  <si>
    <t>Menurut saya, faktor sumber daya tetap yang paling berat. Biaya sertifikasi halal untuk obat tradisional jelas lebih tinggi dibanding produk lain, karena prosesnya lebih panjang dan detail. Ditambah lagi, UMKM biasanya modalnya terbatas, jadi nggak semua bisa langsung ikut. Komunikasi atau niat (disposisi) sih ada, tapi kalau uang dan SDM nggak cukup ya mandek juga.</t>
  </si>
  <si>
    <t>akses edukasi dan riset bahan baku. Banyak pelaku obat tradisional yang sebenarnya pengen banget produknya halal, tapi terkendala kurangnya info teknis. Kalau ada pendampingan khusus untuk obat tradisional, termasuk bantu nyambung ke supplier bahan baku halal, pasti lebih lancar jalannya.</t>
  </si>
  <si>
    <t>Obat tradisional</t>
  </si>
  <si>
    <t>Martini Larasati</t>
  </si>
  <si>
    <t>Warung makan biasanya sibuk sama operasional harian, jadi tantangan terbesar ada di birokrasi dan komunikasi. Info soal sertifikasi halal kadang nggak jelas, harus cari-cari sendiri. Prosesnya juga panjang: siapin dokumen, upload berkas, sampai nunggu verifikasi. Itu semua butuh waktu, padahal di warung kerjaannya udah padat melayani pembeli.</t>
  </si>
  <si>
    <t>Warung makan kecil biasanya modalnya pas-pasan. Jadi kalau ada biaya tambahan untuk sertifikasi halal, uji lab bahan, atau sekadar urus dokumen, sering jadi beban. Niat ada, komunikasi bisa diusahakan, tapi kalau uang dan tenaga nggak cukup, ya susah juga.</t>
  </si>
  <si>
    <t>faktor akses bahan baku halal. Kadang supplier daging, bumbu, atau produk olahan belum jelas status halalnya. Jadi meski kita mau jaga warung tetap halal, kalau rantai pasok nggak mendukung ya repot juga. Harus ada pendampingan khusus supaya warung makan gampang dapet bahan yang jelas kehalalannya.</t>
  </si>
  <si>
    <t>Warung Makan</t>
  </si>
  <si>
    <t>Ayu Laksmi</t>
  </si>
  <si>
    <t>Gianyar</t>
  </si>
  <si>
    <t>skincare itu bahannya kompleks banget: ada ekstrak, vitamin, pengawet, sampai fragrance. Tantangannya, tiap bahan harus jelas asal-usulnya. Nah, ngumpulin dokumen halal dari supplier itu nggak gampang, apalagi kalau bahan impor. Uji lab juga ribet dan biaya tinggi. Jadi prosesnya bisa bikin pusing, terutama buat UMKM kecil....</t>
  </si>
  <si>
    <t>Sertifikasi halal skincare itu nggak cuma soal biaya, tapi juga butuh SDM yang paham dokumen teknis. Kalau usaha kecil, biasanya semua di-handle pemilik, jadi kejar-kejaran antara produksi, jualan, dan urus sertifikasi...</t>
  </si>
  <si>
    <t>Konsumen skincare di Indonesia, khususnya Bali, makin kritis soal label halal. Jadi keberhasilan implementasi JPH juga tergantung seberapa paham konsumen menghargai produk bersertifikat. Kalau demand kuat, UMKM lebih semangat ngurus halal karena ada “balik modal” yang jelas.</t>
  </si>
  <si>
    <t>Kosmetik (Skincare)</t>
  </si>
  <si>
    <t>Astriadi</t>
  </si>
  <si>
    <t>Kalau di usaha makanan minuman sih tantangannya ya di info sama birokrasi. Kadang info soal cara daftar halal nggak jelas, beda-beda tiap orang yang jelasin. Trus pas ngurus dokumen, step-nya lumayan panjang, jadi suka bikin capek sendiri. Sementara kita kan udah sibuk tiap hari masak sama jualan</t>
  </si>
  <si>
    <t>paling berat itu soal modal sama tenaga. Mau banget ikut JPH, tapi kalau biaya dan waktu nggak ada ya susah juga. Niat sih ada, tapi ya balik lagi, kalau sumber daya terbatas ya mentok di situ.</t>
  </si>
  <si>
    <t>Supplier kadang belum jelas status halalnya. Jadi meskipun kita niat jaga halal, kalau dari hulunya aja belum beres ya ribet juga. Mungkin kalau ada pendampingan khusus sama akses bahan baku halal yang gampang, UMKM makanan minuman kayak kita bakal lebih semangat ikut JPH.</t>
  </si>
  <si>
    <t>Makanan  &amp; Minuman</t>
  </si>
  <si>
    <t>Ketut Adi Nugraha</t>
  </si>
  <si>
    <t>alau di obat tradisional di Bali, tantangan paling gede tuh di bahan baku. Jamu kan isinya macem-macem, ada akar, daun, rempah. Nah, tiap bahan harus dicek halal. Ribetnya, uji lab mahal, sementara kita di UMKM modalnya tipis. Jadi kadang bingung juga harus mulai dari mana...</t>
  </si>
  <si>
    <t>Menurut tiang sih yang paling penting itu sumber daya. Kita di warung obat tradisional di Bali pengen banget punya sertifikat halal, biar pembeli makin percaya. Tapi kalau biaya gede, tenaga terbatas, ya susah juga jalannya....</t>
  </si>
  <si>
    <t>edukasi buat petani sama pemasok bahan juga penting. Banyak yang belum ngerti standar halal. Jadi meskipun kita di ujung niatnya serius, kalau dari hulunya belum rapi, ya tetap ribet. Kalau ada pendampingan dari pemerintah atau lembaga, pasti lebih gampang jalanin JPH...</t>
  </si>
  <si>
    <t>Obat</t>
  </si>
  <si>
    <t>Gita Rama Shanti</t>
  </si>
  <si>
    <t>Di usaha makanan minuman di Bali, tantangan paling kerasa tuh soal informasi sama birokrasi. Kadang info soal JPH ngalirnya lambat, terus prosedurnya panjang banget, bikin bingung. Sementara kita tiap hari sudah repot di dapur, masak, ngurus pelanggan...</t>
  </si>
  <si>
    <t>sumber daya paling penting. Modal pas-pasan, tenaga juga terbatas. Jadi walaupun niat ada, kalau biaya sertifikasi sama uji bahan mahal, ya sering ketunda. Apalagi UMKM kecil, fokusnya kan lebih banyak ke operasional harian...</t>
  </si>
  <si>
    <t>masalah bahan baku juga jadi kendala. Kadang supplier belum jelas halal atau belum ada sertifikatnya. Jadi meskipun kita niat jaga halal di warung, kalau hulunya belum beres, ya susah juga. Kalau ada pendampingan khusus untuk UMKM makanan minuman di Bali, pasti lebih gampang jalannya..</t>
  </si>
  <si>
    <t>Padmasundari</t>
  </si>
  <si>
    <t>Kalau di Bali, yang bikin susah itu biasanya komunikasi sama aturan yang berubah-ubah. Kita di warung kecil kadang telat dapat info soal apa aja yang harus disiapin buat halal. Begitu mau ngurus, ternyata masih ada syarat lain yang kita nggak tau. Jadi ya sering bingung di tengah jalan...</t>
  </si>
  <si>
    <t>yang paling penting itu tetap uang sama waktu. Mau daftar halal kan butuh biaya, entah buat uji lab, entah buat dokumen. Sementara kita di usaha makanan minuman, tiap hari sudah habis modal buat beli bahan. Jadi kalau dana nggak ada, sertifikasi bisa molor terus.</t>
  </si>
  <si>
    <t>Banyak UMKM kecil di Bali yang pengen jalan sesuai aturan halal, tapi nggak ngerti step-nya. Kalau ada tim atau lembaga yang bisa dampingin dari awal, pasti lebih banyak warung kecil yang berani daftar tanpa takut ribet..</t>
  </si>
  <si>
    <t xml:space="preserve">Putri Indah Cahaya </t>
  </si>
  <si>
    <t>antangan paling berat itu di awal banget. Kita masih sibuk ngurus izin usaha dasar, produksi kecil-kecilan, eh udah harus mikirin sertifikasi halal. Komunikasi soal JPH kadang bikin bingung, apalagi infonya banyak istilah teknis. Ditambah lagi bahan skincare atau kosmetik kan banyak, jadi ngumpulin dokumen asal-usulnya ribet.</t>
  </si>
  <si>
    <t>UMKM perintis biasanya modalnya terbatas, tim juga belum banyak. Jadi kalau harus keluar biaya buat uji lab dan sertifikasi halal, sering kali ketahan. Niat ada, tapi tenaga dan modal kadang nggak sejalan</t>
  </si>
  <si>
    <t>butuh mentor atau lembaga yang bisa kasih arahan step by step. Jadi nggak jalan sendiri sambil nebak-nebak. Kalau ada pendampingan jelas, pasti lebih gampang buat perintis kosmetik ikut aturan halal sejak awal.</t>
  </si>
  <si>
    <t>Putu Andika</t>
  </si>
  <si>
    <t>Di Ubud tantangan utamanya itu soal birokrasi sama info yang kadang simpang siur. Kita di kafe sibuk ngurus menu, barista, sama tamu tiap hari, jadi pas mau urus halal sering bingung dokumen apa dulu yang harus siap. Apalagi banyak bahan impor buat kopi sama dessert, asal-usulnya susah dilacak halal atau nggaknya...</t>
  </si>
  <si>
    <t>Menurut saya yang paling krusial itu sumber daya. Kafe perintis di Ubud biasanya modalnya tipis, udah habis buat sewa tempat sama operasional harian. Jadi pas ditambah biaya sertifikasi halal atau uji bahan, terasa berat banget. Niat ada, tapi dana dan tenaga sering nggak cukup,,</t>
  </si>
  <si>
    <t>edukasi juga penting. Banyak pelaku kafe kecil di Ubud sebenarnya mau ikut JPH, tapi kurang paham step by step-nya. Kalau ada pendampingan khusus, terutama buat usaha kafe yang menunya campur-campur bahan lokal dan impor, pasti lebih gampang jalan...</t>
  </si>
  <si>
    <t>Kafe</t>
  </si>
  <si>
    <t>Ni Made Dwi Ratri</t>
  </si>
  <si>
    <t>Karang Asem</t>
  </si>
  <si>
    <t>tantangan paling berat itu di bahan baku. Skincare atau make up kan banyak banget komponennya, dari ekstrak tanaman, vitamin, sampai fragrance. Nah, tiap bahan harus jelas asal-usulnya. Ribetnya, supplier belum tentu bisa kasih dokumen halal, apalagi kalau impor. Jadi prosesnya panjang dan makan biaya</t>
  </si>
  <si>
    <t>sumber daya paling penting. UMKM kosmetik biasanya masih kecil, modal terbatas, dan tenaga juga minim. Urus produksi aja udah repot, apalagi harus keluar biaya tambahan buat uji lab sama sertifikasi halal. Jadi seringnya ketunda, padahal niatnya ada</t>
  </si>
  <si>
    <t>faktor lain yang juga penting itu edukasi. Banyak pelaku UMKM kosmetik pengen produknya halal, tapi nggak ngerti teknisnya gimana. Kalau ada pendampingan yang jelas dari awal, step by step, pasti lebih banyak UMKM yang bisa jalan</t>
  </si>
  <si>
    <t xml:space="preserve">Made Aryani </t>
  </si>
  <si>
    <t>Bikin kosmetik halal itu tantangannya banyak di bahan. Soalnya satu produk aja bisa ada belasan bahan: dari ekstrak, pengawet, sampai fragrance. Nah, tiap bahan harus ada bukti halal, sedangkan supplier nggak selalu siap. Jadinya kita ribet ngejar dokumen, apalagi kalau ada bahan impor..</t>
  </si>
  <si>
    <t>sumber daya tetap yang paling penting. Biaya sertifikasi halal lumayan, ditambah uji lab nggak murah. UMKM kosmetik kecil biasanya modalnya udah kepotong buat produksi dan marketing, jadi ngurus halal suka ketunda. Padahal semangatnya ada.</t>
  </si>
  <si>
    <t>edukasi konsumen. Di Indonesia, khususnya Bali, tren kosmetik halal mulai naik. Kalau demand makin tinggi, UMKM bakal lebih semangat ngurus halal karena jelas ada pasar yang siap nerima produk kita</t>
  </si>
  <si>
    <t>joko santoso</t>
  </si>
  <si>
    <t>pemilik angkringan</t>
  </si>
  <si>
    <t>Kota surabaya</t>
  </si>
  <si>
    <t xml:space="preserve">Urusan dokumen halal terasa panjang dan sering membingungkan untuk usaha kecil seperti angkringan. </t>
  </si>
  <si>
    <t>Struktur birokrasi jadi penentu, kalau prosedurnya jelas dan sederhana, proses bisa cepat selesai tanpa mengganggu operasional.</t>
  </si>
  <si>
    <t>Dukungan komunitas pedagang angkringan di Surabaya sangat membantu, karena bisa saling berbagi pengalaman dan tips praktis.</t>
  </si>
  <si>
    <t>Jawa Timur</t>
  </si>
  <si>
    <t>kuliner ( makanan)</t>
  </si>
  <si>
    <t xml:space="preserve">Ning Sulastri </t>
  </si>
  <si>
    <t>Produsen Batik</t>
  </si>
  <si>
    <t>Kota Malang</t>
  </si>
  <si>
    <t xml:space="preserve">Sulit mendapatkan informasi detail soal aturan halal untuk batik berbahan alami, karena instansi kadang berbeda penjelasannya. </t>
  </si>
  <si>
    <t xml:space="preserve">Komunikasi dari petugas sangat penting agar tidak salah langkah. </t>
  </si>
  <si>
    <t>Dukungan komunitas batik di Malang juga memberi banyak pengalaman berharga.</t>
  </si>
  <si>
    <t>Prov Jatim</t>
  </si>
  <si>
    <t>Batik Tulis</t>
  </si>
  <si>
    <t>Andi Prasetyo</t>
  </si>
  <si>
    <t>Pemilik Warung Kopi</t>
  </si>
  <si>
    <t>Bandar Lampung</t>
  </si>
  <si>
    <t>Proses ngurus sertifikasi halal itu lumayan ribet dan makan waktu lama, apalagi buat usaha kecil kayak saya yang masih merintis. Kadang harus bolak-balik urus dokumen dan ketemu persyaratan yang bikin bingung sendiri.</t>
  </si>
  <si>
    <t>Menurut saya struktur birokrasi itu yang paling krusial. Kalau alurnya jelas dari awal, pelaku usaha kayak saya jadi nggak bingung langkah apa yang harus ditempuh, jadi bisa fokus ke produksi dan jualan.</t>
  </si>
  <si>
    <t>Untungnya ada komunitas kopi di Lampung yang sering berbagi pengalaman dan tips praktis. Dari mereka saya jadi tahu trik biar proses lebih lancar, sekaligus dapet semangat karena merasa nggak sendirian menghadapi ribetnya aturan.</t>
  </si>
  <si>
    <t>Lampung</t>
  </si>
  <si>
    <t>Minuman (Kopi)</t>
  </si>
  <si>
    <t>Siti Marlina</t>
  </si>
  <si>
    <t>Pengusaha Kue Tradisional</t>
  </si>
  <si>
    <t>Metro</t>
  </si>
  <si>
    <t>Informasi dari dinas itu kadang beda-beda antara satu petugas sama yang lain, jadi bikin bingung banget buat UMKM kecil kayak saya. Rasanya kayak muter-muter aja, padahal yang saya butuhkan cuma penjelasan yang jelas dan konsisten biar nggak salah urus dokumen.</t>
  </si>
  <si>
    <t>Komunikasi dari petugas menurut saya penting banget. Kalau mereka bisa jelasin dengan bahasa yang gampang dipahami dan nggak terlalu formal, kami pelaku usaha jadi lebih tenang dan yakin sama proses yang dijalani.</t>
  </si>
  <si>
    <t>Permintaan dari konsumen juga jadi dorongan besar. Sekarang banyak pembeli yang nanyain label halal, jadi suka atau nggak, saya harus buru-buru urus biar usaha saya dipercaya lebih luas.</t>
  </si>
  <si>
    <t>Kuliner (Kue Basah)</t>
  </si>
  <si>
    <t>Rizky Hidayat</t>
  </si>
  <si>
    <t>Owner Resto Seafood</t>
  </si>
  <si>
    <t>Pesawaran</t>
  </si>
  <si>
    <t>Dokumen yang diminta itu banyak banget, mulai dari berkas usaha, surat-surat pendukung, sampai hal-hal kecil yang kadang saya sendiri kurang ngerti. Jadinya cukup menguras waktu, apalagi kalau harus ninggalin usaha buat ngurusin ke kantor.</t>
  </si>
  <si>
    <t>Menurut saya yang paling berpengaruh itu struktur birokrasi. Kalau alurnya ribet dan berbelit-belit, otomatis proses jadi lama dan bikin capek. Tapi kalau jalurnya jelas dan sederhana, pelaku UMKM seperti saya bisa lebih cepat selesai dan nggak keburu stres.</t>
  </si>
  <si>
    <t>Untungnya ada dukungan dari pemerintah daerah, misalnya lewat sosialisasi atau bantuan teknis, yang sangat membantu kelancaran proses. Rasanya jadi ada yang ngarahin dan nggak berjalan sendirian menghadapi semua persyaratan itu.</t>
  </si>
  <si>
    <t>Restoran</t>
  </si>
  <si>
    <t>Ahmad Fauzi</t>
  </si>
  <si>
    <t>Pemilik depot soto</t>
  </si>
  <si>
    <t>Kota lamongan</t>
  </si>
  <si>
    <t xml:space="preserve">Urusan dokumen halal panjang sekali, sementara usaha kecil butuh cepat untuk tetap jalan. </t>
  </si>
  <si>
    <t xml:space="preserve">Struktur birokrasi berperan besar, kalau berbelit bikin rugi waktu dan biaya. </t>
  </si>
  <si>
    <t>Adanya asosiasi kuliner di Lamongan membantu dalam berbagi informasi solusi praktis.</t>
  </si>
  <si>
    <t>Kuliner solo</t>
  </si>
  <si>
    <t>Nurjanah</t>
  </si>
  <si>
    <t>Produsen Bodycare</t>
  </si>
  <si>
    <t>Pringsewu</t>
  </si>
  <si>
    <t>Aturan itu kadang berubah-ubah, jadi saya harus menyesuaikan terus. Baru aja paham aturan lama, eh keluar lagi aturan baru. Bikin bingung dan kadang terasa buang waktu, apalagi kalau usaha kecil kayak saya yang fokusnya lebih banyak di produksi dan jualan.</t>
  </si>
  <si>
    <t>Menurut saya SDM di kantor sertifikasi itu kuncinya. Kalau mereka paham betul dengan aturan dan bisa jelasin secara jelas, prosesnya bisa cepat beres tanpa bolak-balik. Tapi kalau nggak paham, justru bikin pelaku usaha makin bingung.</t>
  </si>
  <si>
    <t>Promosi digital juga lumayan bantu. Dengan adanya media sosial, banyak konsumen jadi lebih sadar pentingnya label halal, dan itu jadi dorongan juga buat saya biar serius ngurus sertifikasi halal.</t>
  </si>
  <si>
    <t>Bodycare</t>
  </si>
  <si>
    <t>Yohanis Tabuni</t>
  </si>
  <si>
    <t>Pemilik Warung Nasi</t>
  </si>
  <si>
    <t>Jayapura</t>
  </si>
  <si>
    <t>Urusan dokumen halal terasa ribet sekali, banyak persyaratan yang harus dipenuhi sementara saya masih usaha kecil. Kadang informasi dari instansi juga berbeda-beda, bikin bingung dan waktu banyak terbuang.</t>
  </si>
  <si>
    <t>Menurut saya, komunikasi dari petugas itu kunci utama. Kalau mereka jelas kasih arahan, kita pelaku usaha jadi lebih mudah jalanin prosesnya tanpa bolak-balik ngurus ulang.</t>
  </si>
  <si>
    <t>Dukungan keluarga dan komunitas UMKM di Jayapura juga sangat membantu, karena bisa berbagi pengalaman dan kasih semangat biar nggak gampang nyerah di tengah jalan.</t>
  </si>
  <si>
    <t>Papua</t>
  </si>
  <si>
    <t>Kuliner (Nasi dan Lauk)</t>
  </si>
  <si>
    <t>Dedi Saputra</t>
  </si>
  <si>
    <t>Pengrajin Jamu</t>
  </si>
  <si>
    <t>Lampung Tengah</t>
  </si>
  <si>
    <t>Produk jamu tradisional sering diperlakukan sama kayak obat modern, padahal jelas beda banget. Jamu itu kan lebih ke minuman herbal turun-temurun, bukan obat kimia. Kalau disamakan begitu, syaratnya jadi ribet dan bikin usaha kecil kayak saya susah ngikutin aturan.</t>
  </si>
  <si>
    <t>Menurut saya pemahaman teknis pejabat itu jadi kunci. Kalau mereka ngerti perbedaan antara jamu tradisional dan obat modern, aturan bisa lebih pas diterapkan, nggak asal pukul rata. Jadi pelaku usaha juga lebih tenang dan jelas jalannya.</t>
  </si>
  <si>
    <t xml:space="preserve">Untungnya ada asosiasi jamu nasional yang sering kasih arahan. Mereka biasanya bantu jelasin prosedur, kasih info terbaru, </t>
  </si>
  <si>
    <t>Obat Tradisional</t>
  </si>
  <si>
    <t>Yuliana Dewi</t>
  </si>
  <si>
    <t>Pemilik Skincare Lokal</t>
  </si>
  <si>
    <t>Lampung Timur</t>
  </si>
  <si>
    <t>Susah banget buat dapat info detail soal aturan skincare halal. Kadang infonya sepotong-sepotong, beda antara dinas satu sama lain, jadi bikin bingung buat pelaku usaha kecil kayak saya. Padahal kami butuh kepastian biar bisa menyesuaikan produk sejak awal.</t>
  </si>
  <si>
    <t>Disposisi petugas menurut saya sangat penting. Kalau ada petugas yang sabar, mau jelasin pelan-pelan, dan benar-benar niat membantu, urusannya bisa jauh lebih lancar dan nggak bikin pusing. Jadi bukan cuma aturan, tapi orangnya juga berperan.</t>
  </si>
  <si>
    <t>Tren pasar juga ngaruh banget. Sekarang konsumen makin banyak yang nuntut produk halal, apalagi untuk skincare. Itu jadi dorongan tambahan buat saya untuk segera ngurus sertifikasi biar usaha tetap dipercaya dan bisa bersaing.</t>
  </si>
  <si>
    <t>Skincare</t>
  </si>
  <si>
    <t>Fajar Nugroho</t>
  </si>
  <si>
    <t>Pemilik Angkringan</t>
  </si>
  <si>
    <t>Lampung Selatan</t>
  </si>
  <si>
    <t>Ribet banget kalau urusan dokumen halal buat usaha kecil kayak angkringan. Kadang diminta syaratnya banyak banget, jadi makan waktu dan bikin bingung, apalagi kita kan usaha sederhana yang pengen cepat jalan.</t>
  </si>
  <si>
    <t>Menurut saya, birokrasi yang jelas itu paling penting. Kalau alurnya sederhana dan gampang dipahami, urusannya bisa cepat selesai tanpa harus bolak-balik kantor. Jadi nggak ganggu waktu buat jualan juga.</t>
  </si>
  <si>
    <t>Komunitas pedagang angkringan juga bantu banget. Kita bisa saling sharing info, kasih tips, bahkan bareng-bareng belajar soal aturan halal biar nggak salah langkah. Jadi lebih ringan kalau ada teman seperjuangan.</t>
  </si>
  <si>
    <t>Kuliner (Makanan)</t>
  </si>
  <si>
    <t>Rini Handayani</t>
  </si>
  <si>
    <t>owner skincare</t>
  </si>
  <si>
    <t>Kota Kediri</t>
  </si>
  <si>
    <t xml:space="preserve">Sumber daya manusia di instansi jadi kunci, kalau paham bidangnya urusan lebih cepat. </t>
  </si>
  <si>
    <t>Tren pasar juga memengaruhi, karena permintaan konsumen akan label halal jadi dorongan kuat.</t>
  </si>
  <si>
    <t>kosmetik/skincare</t>
  </si>
  <si>
    <t>Martha Wonda</t>
  </si>
  <si>
    <t>Produsen Kue Basah</t>
  </si>
  <si>
    <t>Wamena</t>
  </si>
  <si>
    <t>Susah sekali dapat informasi detail soal cara urus sertifikat halal, apalagi di daerah pegunungan akses ke dinas juga terbatas.</t>
  </si>
  <si>
    <t>Struktur birokrasi menurut saya paling menentukan, kalau prosedurnya sederhana pasti lebih cepat dan nggak bikin capek bolak-balik.</t>
  </si>
  <si>
    <t>Dukungan dari gereja dan komunitas lokal juga berpengaruh, karena mereka sering kasih motivasi dan bantu akses informasi.</t>
  </si>
  <si>
    <t>Kuliner (Kue Tradisional)</t>
  </si>
  <si>
    <t>Lestari Handayani</t>
  </si>
  <si>
    <t>Pengusaha Minuman Herbal</t>
  </si>
  <si>
    <t>Tulang Bawang</t>
  </si>
  <si>
    <t>Produk herbal itu susah banget diakui resmi karena syarat teknisnya banyak. Kadang kita harus ngumpulin dokumen tambahan yang ribet, sementara usaha masih kecil, jadi terasa berat banget.</t>
  </si>
  <si>
    <t>Menurut saya, struktur birokrasi yang sederhana bakal sangat membantu. Kalau alurnya jelas, kita pelaku usaha nggak perlu bolak-balik dan bisa lebih fokus ke produksi.</t>
  </si>
  <si>
    <t>Dukungan dari kampus di Lampung juga bermanfaat banget. Mereka sering kasih riset atau pelatihan yang bisa jadi tambahan ilmu, biar produk herbal kita lebih siap masuk pasar halal.</t>
  </si>
  <si>
    <t>H. Zulkifli</t>
  </si>
  <si>
    <t>Owner Rumah Makan Padang</t>
  </si>
  <si>
    <t>Way Kanan</t>
  </si>
  <si>
    <t>Restoran itu ternyata butuh banyak banget dokumen halal, dan prosesnya lumayan bikin capek. Dari urusan administrasi sampai bukti bahan baku, semua harus detail, jadi makan waktu dan energi.</t>
  </si>
  <si>
    <t>Menurut saya, struktur birokrasi yang rapi dan jelas itu paling menentukan cepat atau lambatnya proses. Kalau alurnya berbelit, usaha jadi ketunda, tapi kalau simpel, semua bisa jalan lancar.</t>
  </si>
  <si>
    <t>Dukungan dari pemerintah lokal juga sangat berperan. Kalau ada fasilitasi atau pendampingan, pengusaha restoran kayak saya jadi lebih semangat dan nggak merasa sendirian dalam proses sertifikasi.</t>
  </si>
  <si>
    <t>Dewi Kartika</t>
  </si>
  <si>
    <t>Produsen Kosmetik Lokal</t>
  </si>
  <si>
    <t>Mesuji</t>
  </si>
  <si>
    <t>Banyak banget aturan teknis soal kosmetik yang harus dipenuhi, dan itu kadang bikin UMKM kecil kayak saya bingung. Syarat-syaratnya detail, dari bahan baku sampai cara produksi, jadi harus ekstra hati-hati biar nggak salah langkah.</t>
  </si>
  <si>
    <t>Sumber daya manusia di instansi yang ngurusin sertifikasi jadi penentu utama. Kalau petugasnya paham dunia kosmetik dan bisa kasih arahan jelas, prosesnya lebih gampang, tapi kalau nggak, malah bikin tambah ribet.</t>
  </si>
  <si>
    <t>Permintaan pasar luar negeri juga bikin saya makin semangat untuk urus halal. Karena kalau produk kosmetik lokal bisa tembus pasar internasional dengan label halal, pasti jadi nilai tambah besar buat usaha kecil kayak saya.</t>
  </si>
  <si>
    <t>Andi Pratama</t>
  </si>
  <si>
    <t>Pemilik Kedai Kopi</t>
  </si>
  <si>
    <t>Proses ngurus sertifikasi halal itu lumayan ribet dan makan waktu lama, apalagi buat usaha kecil kayak saya yang sehari-hari fokus jualan. Kadang harus bolak-balik urus dokumen yang rasanya nggak ada habisnya, jadi lumayan bikin capek dan ngganggu aktivitas usaha</t>
  </si>
  <si>
    <t>Menurut saya, yang paling berpengaruh itu struktur birokrasi. Kalau alurnya jelas, prosedurnya sederhana, dan petugasnya kasih arahan yang mudah dipahami, pasti kami pelaku usaha jadi lebih tenang dan nggak bingung. Jadi bisa sambil jalanin usaha tanpa terlalu banyak waktu terbuang buat urusan administrasi.</t>
  </si>
  <si>
    <t>dukungan komunitas kopi di Lampung juga kerasa banget manfaatnya. Di komunitas, kami bisa saling berbagi pengalaman, tips praktis, sampai solusi kalau ada kendala. Jadi walaupun ribet, ada rasa lebih ringan karena ngerasa nggak sendirian hadapi proses ini.</t>
  </si>
  <si>
    <t>Minuman (kopi)</t>
  </si>
  <si>
    <t>H Zulkifli</t>
  </si>
  <si>
    <t>Pemilik Restoran</t>
  </si>
  <si>
    <t>Kota Banyuwangi</t>
  </si>
  <si>
    <t xml:space="preserve">Restoran butuh banyak dokumen halal, dan proses sertifikasi memakan waktu lama. </t>
  </si>
  <si>
    <t xml:space="preserve">Struktur birokrasi paling berpengaruh, kalau sederhana bisa mempercepat proses. </t>
  </si>
  <si>
    <t>Dukungan pemerintah daerah juga sangat membantu kelancaran</t>
  </si>
  <si>
    <t>Siti Nurjanah</t>
  </si>
  <si>
    <t>Informasi dari dinas kadang beda-beda, bikin bingung banget buat UMKM kecil kayak saya. Sering kali apa yang dikasih tahu di awal nggak sama dengan saat proses jalan, jadi harus nanya ulang dan malah makan waktu lebih lama. Kondisi ini bikin pelaku usaha kecil jadi ragu-ragu dan takut salah langkah.</t>
  </si>
  <si>
    <t>Menurut saya, komunikasi dari petugas itu penting banget biar nggak salah paham. Kalau petugas bisa jelas ngomongin prosedur, syarat, dan langkah-langkahnya, kita pelaku usaha jadi lebih percaya diri. Rasanya lebih tenang kalau ada pendampingan yang ramah dan gampang dimengerti.</t>
  </si>
  <si>
    <t>permintaan konsumen juga jadi dorongan besar buat segera urus halal. Soalnya makin banyak pembeli yang nanya soal label halal sebelum beli produk. Jadi walaupun ribet, akhirnya sertifikasi halal ini jadi penting biar usaha tetap jalan dan dipercaya orang.</t>
  </si>
  <si>
    <t>Kuliner (kue)</t>
  </si>
  <si>
    <t>Rudi Santoso</t>
  </si>
  <si>
    <t>Pemilik Warung Soto</t>
  </si>
  <si>
    <t>Dokumen yang diminta buat urus halal itu banyak banget, kadang sampai bikin pusing sendiri. Rasanya kayak setiap langkah ada aja syarat tambahan, jadi cukup menguras waktu dan tenaga, apalagi buat usaha kecil yang sehari-hari sudah sibuk produksi. Kalau nggak telaten, bisa berhenti di tengah jalan.</t>
  </si>
  <si>
    <t>Menurut saya, struktur birokrasi itu yang paling berpengaruh. Kalau alurnya ribet, pasti proses jadi lama banget dan bikin usaha jalan di tempat. Tapi kalau prosedurnya jelas, sederhana, dan konsisten, pelaku UMKM kayak saya bisa lebih fokus ngejalanin usaha tanpa takut salah langkah.</t>
  </si>
  <si>
    <t>Untungnya dukungan dari pemerintah daerah juga lumayan terasa. Ada program pendampingan dan sosialisasi yang bikin kita lebih paham prosesnya. Jadi meski agak ribet, ada bantuan kayak gini yang bisa memperlancar dan bikin kita lebih semangat ngurusin sertifikasi halal.</t>
  </si>
  <si>
    <t>Makanan tradisional</t>
  </si>
  <si>
    <t>Dewi Lestari</t>
  </si>
  <si>
    <t>Owner Skincare</t>
  </si>
  <si>
    <t>Aturan soal halal ini kadang berubah-ubah, jadi saya sebagai pelaku usaha harus terus menyesuaikan. Rasanya agak melelahkan karena apa yang kemarin berlaku bisa saja hari ini sudah beda lagi. Akhirnya kita mesti sering-sering cari informasi biar nggak salah langkah, padahal waktunya juga terbatas untuk urus produksi.</t>
  </si>
  <si>
    <t>Menurut saya, SDM di kantor sertifikasi itu sangat menentukan. Kalau petugasnya paham betul dengan prosedur dan bidang usaha kita, urusan bisa cepat beres tanpa banyak bolak-balik. Tapi kalau sebaliknya, ya jadinya malah nambah ribet dan makan waktu lebih lama.</t>
  </si>
  <si>
    <t>promosi digital juga lumayan bantu meningkatkan kesadaran soal pentingnya halal. Konsumen sekarang lebih kritis, mereka cari produk yang jelas status halalnya. Jadi buat saya, dorongan dari tren digital ini ikut bikin semangat untuk segera ngurus sertifikasi halal.</t>
  </si>
  <si>
    <t>Hasan Basri</t>
  </si>
  <si>
    <t>Produk jamu ini sering banget diperlakukan sama kayak obat modern, padahal jelas berbeda. Akhirnya banyak aturan yang kurang pas diterapkan ke jamu, dan itu bikin pelaku usaha kecil seperti saya jadi kerepotan. Kadang harus ekstra jelasin ke pihak terkait biar nggak salah persepsi.</t>
  </si>
  <si>
    <t>Pemahaman teknis dari pejabat instansi jadi kunci banget. Kalau mereka ngerti soal perbedaan karakter jamu dan obat modern, prosesnya jauh lebih enak dan nggak bikin kita ribet bolak-balik. Kalau nggak paham, justru aturan jadi makin bikin susah.</t>
  </si>
  <si>
    <t>Untungnya asosiasi jamu nasional sering kasih arahan yang bermanfaat. Dari mereka kita bisa dapat panduan, info update soal aturan terbaru, dan juga dukungan moral supaya tetap semangat urus halal.</t>
  </si>
  <si>
    <t>Budi santoso</t>
  </si>
  <si>
    <t>Pengusaha Herbal</t>
  </si>
  <si>
    <t>Kabupaten Jember</t>
  </si>
  <si>
    <t xml:space="preserve">Susah sekali mendapatkan informasi detail soal aturan produk herbal. </t>
  </si>
  <si>
    <t xml:space="preserve">Disposisi pejabat berperan, kalau niat membantu jadi lebih mudah. </t>
  </si>
  <si>
    <t>Dukungan riset kampus juga memberi solusi praktis.</t>
  </si>
  <si>
    <t>herbal</t>
  </si>
  <si>
    <t>Melati Ayu</t>
  </si>
  <si>
    <t>Owner Kosmetik Lokal</t>
  </si>
  <si>
    <t>Jujur, susah banget dapat info detail soal aturan skincare halal. Kadang kalau tanya ke satu instansi jawabannya beda dengan yang lain, jadi bikin bingung. Padahal sebagai produsen kecil kita butuh arahan yang jelas biar nggak salah jalur.</t>
  </si>
  <si>
    <t>Disposisi petugas itu sangat berpengaruh. Kalau petugasnya ramah, mau jelasin dengan sabar, dan benar-benar niat membantu, urusannya bisa jadi lancar. Tapi kalau sebaliknya, bisa tambah pusing.</t>
  </si>
  <si>
    <t>Tren pasar juga ikut mendorong. Sekarang makin banyak konsumen yang nuntut produk skincare halal, jadi mau nggak mau saya harus kejar sertifikasi ini. Tuntutan pasar bikin semangat sekaligus jadi motivasi ekstra.</t>
  </si>
  <si>
    <t>Joko Setiawan</t>
  </si>
  <si>
    <t>Ribet banget kalau udah masuk ke urusan dokumen halal, apalagi buat usaha kecil kayak angkringan. Kadang berkas yang diminta banyak, terus harus bolak-balik ngurus ke beberapa instansi, bikin waktu kerja jadi kepotong. Buat usaha kecil, ini cukup terasa berat.</t>
  </si>
  <si>
    <t>Menurut saya, birokrasi yang jelas itu sangat menentukan. Kalau alurnya ditata rapi dan sederhana, pelaku usaha jadi lebih gampang ikutin aturan tanpa harus bingung. Prosesnya juga bisa lebih cepat selesai tanpa ganggu aktivitas jualan harian.</t>
  </si>
  <si>
    <t>Untungnya ada komunitas pedagang angkringan di daerah saya. Di sana kita bisa saling berbagi pengalaman, kasih tips praktis soal dokumen apa aja yang harus siap, sampai cara menghadapi petugas kalau ada yang ribet. Dukungan begini bikin beban terasa lebih ringan.</t>
  </si>
  <si>
    <t>Kuliner (angkringan)</t>
  </si>
  <si>
    <t>Samuel Korwa</t>
  </si>
  <si>
    <t>Pemilik Kafe Kopi</t>
  </si>
  <si>
    <t>Biak</t>
  </si>
  <si>
    <t>Ribet sekali di dokumen halal, padahal usaha kopi skala kecil kayak saya butuh proses cepat biar bisa jalan.</t>
  </si>
  <si>
    <t>Menurut saya, disposisi petugas itu penting banget, kalau mereka ramah dan mau bantu urusannya jadi ringan.</t>
  </si>
  <si>
    <t>Komunitas kopi di Biak juga bantu banget, sering saling tukar pengalaman soal urus izin dan promosi.</t>
  </si>
  <si>
    <t>Nur Aini</t>
  </si>
  <si>
    <t>Produsen Herbal</t>
  </si>
  <si>
    <t>Produk herbal itu sering banget susah diakui secara resmi. Banyak banget syarat teknis yang harus dipenuhi, dari mulai uji laboratorium sampai dokumen pendukung. Padahal untuk usaha kecil kayak saya, biaya dan waktunya lumayan berat. Kadang jadi terasa kayak jalan panjang yang nggak ada habisnya.</t>
  </si>
  <si>
    <t>Kalau struktur birokrasi bisa dibuat sederhana, itu bakal sangat membantu. Alur yang jelas, persyaratan yang ringkas, dan nggak terlalu banyak meja yang harus dilewati bikin UMKM bisa lebih fokus ke produksi, bukan cuma ngurusin kertas dan stempel.</t>
  </si>
  <si>
    <t>Dukungan riset dari kampus di Lampung juga berperan besar. Banyak teman UMKM yang terbantu lewat penelitian mahasiswa atau dosen, misalnya soal kualitas produk herbal atau uji dasar. Jadi selain dapat pengetahuan baru, ada rasa lebih percaya diri juga untuk melangkah ke tahap sertifikasi halal.</t>
  </si>
  <si>
    <t>Budi Raharjo</t>
  </si>
  <si>
    <t>Restoran kalau mau ngurus sertifikasi halal biasanya diminta banyak banget dokumen, mulai dari daftar bahan baku, supplier, sampai proses produksi yang detail. Buat usaha yang lagi jalan setiap hari, hal ini cukup melelahkan karena harus meluangkan waktu khusus buat ngurusin persyaratan itu semua. Kadang rasanya energi kebagi dua, antara urus operasional restoran sama tumpukan dokumen halal.</t>
  </si>
  <si>
    <t>Struktur birokrasi jelas jadi penentu utama cepat atau lambatnya proses. Kalau alurnya ruwet, banyak meja yang harus dilewati, otomatis makin lama dan bikin pelaku usaha jadi jenuh. Tapi kalau prosedurnya sederhana, transparan, dan jelas, tentu prosesnya bisa lebih cepat dan nggak terlalu mengganggu aktivitas bisnis harian.</t>
  </si>
  <si>
    <t>Dukungan dari pemerintah lokal juga bisa sangat membantu. Misalnya ada sosialisasi, pendampingan, atau fasilitas khusus untuk UMKM kuliner yang lagi urus halal. Kalau pemerintah daerah aktif bantu, beban pelaku usaha jadi lebih ringan, karena ada panduan dan rasa didukung untuk segera merampungkan sertifikasi.</t>
  </si>
  <si>
    <t>Produsen bodycare</t>
  </si>
  <si>
    <t>Kabupaten sidoarjo</t>
  </si>
  <si>
    <t xml:space="preserve">Bodycare lokal sering dianggap sebelah mata, padahal pasarnya besar. </t>
  </si>
  <si>
    <t xml:space="preserve">Dukungan pemerintah jadi faktor utama untuk memberi kepercayaan pasar. </t>
  </si>
  <si>
    <t>Promosi digital juga membantu memperkuat posisi produk.</t>
  </si>
  <si>
    <t>Fitri Handayani</t>
  </si>
  <si>
    <t>Owner Bodycare</t>
  </si>
  <si>
    <t>Lampung Barat</t>
  </si>
  <si>
    <t>Buat UMKM kecil di bidang kosmetik, aturan teknis soal sertifikasi halal itu banyak banget dan detail. Kadang aturannya juga susah dimengerti karena bahasanya terlalu teknis, jadi bikin bingung. Padahal kita cuma produsen kecil yang modalnya terbatas, tapi harus ngikutin standar yang biasanya dipakai perusahaan besar. Rasanya agak berat, apalagi kalau belum ada pengalaman sebelumnya.</t>
  </si>
  <si>
    <t>Sumber daya manusia di instansi terkait itu benar-benar jadi penentu utama. Kalau petugasnya paham soal industri kosmetik, pasti bisa kasih arahan yang jelas dan gampang dimengerti. Tapi kalau nggak paham, malah bikin prosesnya tambah ribet. Jadi, keberadaan pegawai yang kompeten dan mau membantu itu sangat berharga buat UMKM kayak kami.</t>
  </si>
  <si>
    <t>Permintaan dari pasar luar negeri sekarang makin banyak yang minta produk kosmetik halal. Nah, itu jadi semacam dorongan tambahan buat kami biar semangat mengurus sertifikasi halal. Karena selain untuk memenuhi aturan di dalam negeri, sertifikat halal juga jadi tiket buat bisa bersaing di pasar internasional.</t>
  </si>
  <si>
    <t>Maria Goreti Mofu</t>
  </si>
  <si>
    <t>Owner Skincare Lokal</t>
  </si>
  <si>
    <t>Manokwari</t>
  </si>
  <si>
    <t>Aturan soal kosmetik sering berubah-ubah, bikin bingung pelaku usaha kecil kayak saya yang masih belajar soal regulasi.</t>
  </si>
  <si>
    <t>Sumber daya manusia di kantor terkait itu sangat penting, kalau mereka paham urusan kosmetik pasti lebih gampang.</t>
  </si>
  <si>
    <t>Tren pasar juga berperan, konsumen sekarang banyak minta produk skincare ada label halal, jadi jadi dorongan buat saya serius urus ini.</t>
  </si>
  <si>
    <t>Eko Prsetyo</t>
  </si>
  <si>
    <t>Pemilik warung kopi</t>
  </si>
  <si>
    <t>Kabupaten Tuban</t>
  </si>
  <si>
    <t xml:space="preserve">Ribet sekali dalam proses birokrasi, padahal usaha kopi kecil butuh cepat. </t>
  </si>
  <si>
    <t xml:space="preserve">Struktur birokrasi jelas paling berperan. </t>
  </si>
  <si>
    <t xml:space="preserve"> Komunitas kopi membantu kasih informasi praktis untuk menyiasati.</t>
  </si>
  <si>
    <t>Elisa Mandosir</t>
  </si>
  <si>
    <t>Sorong</t>
  </si>
  <si>
    <t>Restoran butuh banyak dokumen untuk sertifikasi halal, mulai dari bahan baku sampai dapur harus dicek satu-satu, cukup melelahkan.</t>
  </si>
  <si>
    <t>Struktur birokrasi paling berpengaruh, kalau terlalu berbelit prosesnya jadi lama dan menghambat operasional.</t>
  </si>
  <si>
    <t>Dukungan pemerintah kota Sorong juga membantu, mereka sering kasih sosialisasi dan pendampingan UMKM.</t>
  </si>
  <si>
    <t>Ratna Dewi</t>
  </si>
  <si>
    <t>Produsen kue basah</t>
  </si>
  <si>
    <t>Kabupaten mojokerto</t>
  </si>
  <si>
    <t xml:space="preserve">Banyak dokumen harus disiapkan untuk kue basah tradisional, cukup menyita waktu. </t>
  </si>
  <si>
    <t xml:space="preserve">Struktur birokrasi menentukan cepat atau lambat. </t>
  </si>
  <si>
    <t>Dukungan keluarga juga jadi pengaruh besar.</t>
  </si>
  <si>
    <t>ratnadew12@gmail.com</t>
  </si>
  <si>
    <t>Kuliner</t>
  </si>
  <si>
    <t>Debora Mambrasar</t>
  </si>
  <si>
    <t>Pengusaha Bodycare</t>
  </si>
  <si>
    <t>Nabire</t>
  </si>
  <si>
    <t>Produk bodycare lokal sering dianggap sebelah mata, padahal banyak peminatnya.</t>
  </si>
  <si>
    <t>Dukungan pemerintah sangat penting, karena bisa jadi jalan pembuka.</t>
  </si>
  <si>
    <t>Promosi digital sangat mendukung agar produk saya dikenal lebih luas.</t>
  </si>
  <si>
    <t>agus haryanto</t>
  </si>
  <si>
    <t>pemilik rumah makan</t>
  </si>
  <si>
    <t>kabupaten gresik</t>
  </si>
  <si>
    <t xml:space="preserve">Ribet sekali proses verifikasi halal, sering bolak-balik instansi. </t>
  </si>
  <si>
    <t xml:space="preserve">Struktur birokrasi yang jelas bisa sangat membantu. </t>
  </si>
  <si>
    <t>Dukungan komunitas kuliner lokal ikut mempermudah.</t>
  </si>
  <si>
    <t>haryantoagus@gmail.com</t>
  </si>
  <si>
    <t>rumah makan</t>
  </si>
  <si>
    <t>Albert Nawipa</t>
  </si>
  <si>
    <t>Timika</t>
  </si>
  <si>
    <t>Produk jamu sering diperlakukan sama dengan obat modern, padahal beda sekali.</t>
  </si>
  <si>
    <t>Pemahaman teknis pejabat sangat penting biar tidak salah aturan.</t>
  </si>
  <si>
    <t>Dukungan asosiasi jamu nasional sangat membantu beri arahan jelas.</t>
  </si>
  <si>
    <t>siti aminah</t>
  </si>
  <si>
    <t>pengusaha kripik</t>
  </si>
  <si>
    <t>kabupaten blitar</t>
  </si>
  <si>
    <t>Buat produk camilan sederhana aja ternyata banyak banget dokumen yang harus disiapkan kalau mau ngurus sertifikasi halal. Rasanya ribet karena persyaratannya detail dan kadang berubah-ubah. Bagi UMKM kecil, ini cukup berat karena harus bagi waktu antara urusan administrasi sama produksi.</t>
  </si>
  <si>
    <t>Modal usaha juga berperan besar. Kadang biaya tambahan buat ngurus administrasi, uji lab, atau revisi dokumen itu lumayan. Jadi kalau modal terbatas, prosesnya bisa tertunda, padahal peluang usaha bisa lebih besar kalau produk sudah ada label halalnya.</t>
  </si>
  <si>
    <t>kuliner</t>
  </si>
  <si>
    <t>Andi prasetyo</t>
  </si>
  <si>
    <t>produsen kopi</t>
  </si>
  <si>
    <t>kabupaten bondowoso</t>
  </si>
  <si>
    <t>Ribet banget kalau sudah masuk ke urusan pengurusan dokumen halal. Ada banyak tahapan yang harus dilewati dan kadang informasi yang kita terima nggak selalu jelas. Bagi pelaku UMKM, ini bikin waktu tersita lumayan banyak, padahal sehari-hari juga harus fokus ke produksi dan jualan.</t>
  </si>
  <si>
    <t>komunikasi jadi hal yang paling penting. Kalau dari pihak instansi bisa jelasin dengan jelas, detail, dan nggak bertele-tele, proses bisa lebih cepat dan pelaku usaha juga nggak salah langkah. Tapi kalau komunikasinya kurang baik, kita bisa bolak-balik hanya karena salah paham.</t>
  </si>
  <si>
    <t>Dukungan digital marketing juga berpengaruh banget. Sekarang konsumen lebih gampang percaya sama produk yang sudah punya label halal dan tampil profesional di media sosial. Jadi, selain urusan dokumen, promosi online ikut memperkuat kepercayaan pasar.</t>
  </si>
  <si>
    <t>prasetyoandi8@gmail.com</t>
  </si>
  <si>
    <t>kopi bubuk</t>
  </si>
  <si>
    <t>Ruth Mandosir</t>
  </si>
  <si>
    <t>Fakfak</t>
  </si>
  <si>
    <t>Produk herbal susah diakui resmi, prosesnya panjang sekali.</t>
  </si>
  <si>
    <t>Struktur birokrasi sederhana sangat membantu biar tidak terlalu ribet.</t>
  </si>
  <si>
    <t>Dukungan riset dari kampus besar di Papua juga banyak membantu.</t>
  </si>
  <si>
    <t>Nurul aini</t>
  </si>
  <si>
    <t>owner kosmetik</t>
  </si>
  <si>
    <t>kabupaten pasuruan</t>
  </si>
  <si>
    <t>Aturan teknis soal kosmetik itu banyak banget dan detail, kadang bikin UMKM kecil jadi pusing. Mulai dari komposisi bahan, label, sampai syarat keamanan produk harus lengkap. Kalau ada aturan baru keluar, sering kali kita bingung cara menyesuaikannya karena nggak semua pelaku usaha punya tim khusus buat urusan itu.</t>
  </si>
  <si>
    <t>Sumber daya manusia di instansi menurut saya jadi kunci utama. Kalau petugasnya paham soal teknis kosmetik dan mau jelasin dengan bahasa yang gampang dimengerti, proses jadi lebih lancar. Tapi kalau petugasnya kurang ngerti atau nggak niat bantu, bisa-bisa malah tambah berbelit.</t>
  </si>
  <si>
    <t>Permintaan pasar internasional juga menambah tantangan. Konsumen luar negeri biasanya lebih ketat soal standar halal dan keamanan produk, jadi UMKM mau nggak mau harus benar-benar siap. Kalau bisa tembus pasar luar, peluangnya besar, tapi syarat administrasinya memang lebih berat.</t>
  </si>
  <si>
    <t>kosmetik</t>
  </si>
  <si>
    <t>David Yoku</t>
  </si>
  <si>
    <t>Pemilik Kafe</t>
  </si>
  <si>
    <t>Ribet di dokumen halal untuk makanan kecil di kafe.</t>
  </si>
  <si>
    <t>Disposisi petugas sangat berpengaruh, kalau ramah jadi mudah.</t>
  </si>
  <si>
    <t>Permintaan konsumen muda bikin semangat jalanin kafe halal.</t>
  </si>
  <si>
    <t>Ahmad Zainal</t>
  </si>
  <si>
    <t>Pemilik Resto Solo</t>
  </si>
  <si>
    <t>Kabupaten Perbolinggo</t>
  </si>
  <si>
    <t>Proses verifikasi halal itu ribet sekali rasanya. Banyak detail yang harus dipenuhi, mulai dari bahan, proses produksi, sampai dokumen pendukung. Kadang terasa berat buat usaha kecil atau menengah, karena waktunya kepotong banyak buat urusan administratif, padahal produksi dan jualan juga jalan terus.</t>
  </si>
  <si>
    <t>struktur birokrasi jelas penting banget. Kalau alurnya jelas, langkah-langkahnya nggak berbelit, pelaku usaha bisa lebih cepat beradaptasi. Tapi kalau terlalu berlapis dan panjang, yang ada justru bikin pelaku usaha capek di jalan administrasi.</t>
  </si>
  <si>
    <t>Dukungan komunitas kafe juga sangat membantu. Biasanya kita bisa saling berbagi pengalaman, trik, atau bahkan info kontak yang bisa memperlancar urusan. Jadi, meskipun ribet, adanya solidaritas sesama pelaku usaha bikin proses terasa lebih ringan.</t>
  </si>
  <si>
    <t>restoran solo</t>
  </si>
  <si>
    <t>Martha Rumbiak</t>
  </si>
  <si>
    <t>Produsen Kosmetik</t>
  </si>
  <si>
    <t>Kaimana</t>
  </si>
  <si>
    <t>Perubahan aturan kosmetik sering bikin bingung UMKM kecil.</t>
  </si>
  <si>
    <t>Komunikasi dari instansi jadi kunci biar tidak salah langkah.</t>
  </si>
  <si>
    <t>Permintaan pasar luar negeri juga jadi dorongan besar untuk upgrade produk.</t>
  </si>
  <si>
    <t>dian puspitasari</t>
  </si>
  <si>
    <t>produsen batik</t>
  </si>
  <si>
    <t>kabupaten tulungagung</t>
  </si>
  <si>
    <t>Sering banget ada miskomunikasi soal dokumen yang harus disiapin. Kadang di awal dibilang cukup bawa berkas A dan B, eh pas sampai kantor ternyata diminta tambahan lagi. Hal-hal kayak gini bikin bingung dan bikin proses jadi molor, apalagi buat UMKM kecil yang nggak terbiasa sama urusan administrasi yang ribet.</t>
  </si>
  <si>
    <t>Buat saya, komunikasi dari petugas itu sangat membantu. Kalau petugas mau jelasin dengan jelas, step by step, dan bahasa yang sederhana, pelaku usaha jadi lebih paham dan nggak bolak-balik. Jadi faktor komunikasi ini bikin proses lebih lancar, nggak banyak salah paham.</t>
  </si>
  <si>
    <t>Workshop UMKM juga bermanfaat banget. Dari situ kita bisa tahu aturan terbaru, cara ngurus dokumen halal, sampai berbagi pengalaman sama pelaku usaha lain. Jadi selain dapat ilmu, kita juga bisa merasa nggak sendirian menghadapi kerumitan birokrasi.</t>
  </si>
  <si>
    <t>batik</t>
  </si>
  <si>
    <t>Paulus Wakerkwa</t>
  </si>
  <si>
    <t>Urusan dokumen halal panjang bikin lelah.</t>
  </si>
  <si>
    <t>Sumber daya di kantor sertifikasi penting banget.</t>
  </si>
  <si>
    <t>Bantuan modal juga berperan besar buat usaha tetap jalan.</t>
  </si>
  <si>
    <t>Kuliner (Soto)</t>
  </si>
  <si>
    <t>HERI KURNIAWAN</t>
  </si>
  <si>
    <t>PEMILIK ANGKRINGAN</t>
  </si>
  <si>
    <t>KABUPATEN MADIUN</t>
  </si>
  <si>
    <t>Ngurus dokumen halal buat makanan kecil itu rasanya ribet banget. Padahal produk sederhana kayak keripik atau camilan tradisional, tapi persyaratan administrasinya banyak dan detail. Kadang bikin bingung juga, apalagi kalau penjelasan dari instansi nggak konsisten. Jadi waktu yang harusnya dipakai buat produksi malah habis buat urusan kertas.</t>
  </si>
  <si>
    <t>Disposisi atau sikap petugas itu menurut saya pengaruhnya besar sekali. Kalau ketemu petugas yang ramah, sabar, dan mau bantu jelasin, prosesnya jadi jauh lebih gampang. Tapi kalau yang jaga cuek atau kaku banget, kita jadi tambah stres dan ragu-ragu mau nerusin.</t>
  </si>
  <si>
    <t>Permintaan dari konsumen muda justru jadi dorongan besar buat kami. Mereka sekarang makin peduli sama label halal, jadi walaupun proses ribet, kita tetap semangat ngurus. Soalnya kalau nggak ada label halal, bisa-bisa mereka ragu beli produk kita. Jadi tekanan dari pasar juga bikin kita mau nggak mau jalanin proses ini.</t>
  </si>
  <si>
    <t>JAWA TIMUR</t>
  </si>
  <si>
    <t>KULINER</t>
  </si>
  <si>
    <t>Selvi Aninam</t>
  </si>
  <si>
    <t>Produsen Kue Kering</t>
  </si>
  <si>
    <t>Merauke</t>
  </si>
  <si>
    <t>Banyak dokumen harus disiapkan untuk produk camilan sederhana.</t>
  </si>
  <si>
    <t>Struktur birokrasi menentukan cepat atau lambat prosesnya.</t>
  </si>
  <si>
    <t>Dukungan keluarga juga besar perannya.</t>
  </si>
  <si>
    <t>Kuliner (Kue Kering)</t>
  </si>
  <si>
    <t>Sri wahyuni</t>
  </si>
  <si>
    <t>owner bodycare</t>
  </si>
  <si>
    <t>kabupaten magetan</t>
  </si>
  <si>
    <t>Produk herbal itu susah banget diakui resmi. Padahal bahannya jelas-jelas alami dan sudah dipakai turun-temurun sama masyarakat, tapi waktu mau masuk ke jalur sertifikasi halal atau perizinan resmi, prosesnya ribet dan panjang. Kadang bikin pelaku usaha kecil jadi males ngurus karena lebih fokus mikirin produksi sama jualan.</t>
  </si>
  <si>
    <t>Dukungan dari riset kampus besar di Jawa Timur juga penting banget. Misalnya ada universitas yang mau bantu uji produk atau kasih rekomendasi ilmiah, itu bikin posisi produk herbal jadi lebih kuat di mata pemerintah maupun konsumen. Kolaborasi sama kampus juga bikin kita punya kesempatan belajar teknologi baru biar produk herbal bisa bersaing dengan yang modern.</t>
  </si>
  <si>
    <t>bodycare</t>
  </si>
  <si>
    <t>Bambang setiawan</t>
  </si>
  <si>
    <t>pengusaha jamu</t>
  </si>
  <si>
    <t>kabupaten situbondo</t>
  </si>
  <si>
    <t>Produk jamu itu sering banget diperlakukan sama kayak obat modern, padahal jelas beda. Jamu kan lebih ke tradisi turun-temurun, bahannya alami, cara buatnya juga beda. Tapi waktu ngurusin sertifikasi halal, kadang disamakan aturannya dengan obat kimia modern. Nah, ini yang bikin ribet, soalnya dokumennya jadi banyak banget, padahal usaha kecil kayak saya nggak punya tim khusus buat urus administrasi yang panjang.</t>
  </si>
  <si>
    <t>Dukungan asosiasi jamu nasional juga kerasa banget manfaatnya. Kita jadi ada tempat buat sharing pengalaman, dapat info aturan terbaru, bahkan kadang mereka kasih pendampingan langsung. Jadi pelaku jamu kayak saya nggak jalan sendirian, ada teman seperjuangan yang sama-sama pengen produk jamu bisa tetap eksis tapi juga sesuai aturan.</t>
  </si>
  <si>
    <t>obat tradisional</t>
  </si>
  <si>
    <t>Emanuel Fimbay</t>
  </si>
  <si>
    <t>Pemilik Rumah Makan</t>
  </si>
  <si>
    <t>Keerom</t>
  </si>
  <si>
    <t>Ribet di proses verifikasi halal untuk rumah makan.</t>
  </si>
  <si>
    <t>Struktur birokrasi jelas penting sekali.</t>
  </si>
  <si>
    <t>Dukungan komunitas pedagang lokal sangat memudahkan.</t>
  </si>
  <si>
    <t>Yohana Uropmabin</t>
  </si>
  <si>
    <t>Pengusaha Minuman</t>
  </si>
  <si>
    <t>Yapen</t>
  </si>
  <si>
    <t>Ribet di pengurusan dokumen halal.</t>
  </si>
  <si>
    <t>Komunikasi jadi yang paling penting biar tidak salah.</t>
  </si>
  <si>
    <t>Dukungan digital marketing juga berpengaruh.</t>
  </si>
  <si>
    <t>Yuliana Sari</t>
  </si>
  <si>
    <t>Owner skincare</t>
  </si>
  <si>
    <t>kabupaten pamekasan (madura)</t>
  </si>
  <si>
    <t>Perubahan aturan kosmetik sering bikin bingung, terutama bagi pelaku usaha kecil yang tidak selalu punya akses informasi terbaru. Setiap kali ada revisi aturan, perlu penyesuaian dokumen, label, hingga bahan baku, yang kadang membuat proses produksi tertunda.</t>
  </si>
  <si>
    <t>Komunikasi dari instansi sangat penting, karena kalau informasinya jelas dan disampaikan dengan bahasa yang mudah dipahami, pelaku UMKM bisa langsung menyesuaikan tanpa harus bolak-balik mencari penjelasan tambahan.</t>
  </si>
  <si>
    <t>Permintaan pasar luar negeri juga jadi faktor besar, sebab konsumen internasional biasanya lebih ketat soal sertifikasi halal dan keamanan produk, sehingga UMKM harus siap mengikuti aturan dengan baik agar tidak kehilangan peluang ekspor.</t>
  </si>
  <si>
    <t>yulianasari@gmail.com</t>
  </si>
  <si>
    <t>skincare</t>
  </si>
  <si>
    <t>Markus Gobay</t>
  </si>
  <si>
    <t>Jayawijaya</t>
  </si>
  <si>
    <t>Ribet di aturan halal untuk usaha kecil kayak angkringan.</t>
  </si>
  <si>
    <t>Komunikasi instansi jadi kunci biar jelas.</t>
  </si>
  <si>
    <t>Modal usaha juga penting biar bisa upgrade fasilitas.</t>
  </si>
  <si>
    <t>Kuliner (Angkringan)</t>
  </si>
  <si>
    <t>Muhamad Rizwan</t>
  </si>
  <si>
    <t>Pemilik restoran</t>
  </si>
  <si>
    <t>Kabupaten Sumenep (Madura)</t>
  </si>
  <si>
    <t>Restoran butuh banyak dokumen untuk sertifikasi halal, mulai dari legalitas usaha, data bahan baku, sampai laporan proses produksi. Semua itu terasa cukup melelahkan karena memakan waktu dan biaya, apalagi bagi usaha yang aktivitas operasionalnya padat.</t>
  </si>
  <si>
    <t>Struktur birokrasi paling berpengaruh, karena kalau alurnya jelas dan tidak berbelit, proses bisa berjalan lebih cepat dan tidak mengganggu kegiatan usaha sehari-hari. Sebaliknya, jika rumit, pelaku usaha jadi terhambat dan menunda pengurusan.</t>
  </si>
  <si>
    <t>Dukungan pemerintah lokal juga sangat membantu, misalnya dengan adanya pendampingan, sosialisasi, atau subsidi biaya sertifikasi halal, sehingga pelaku usaha tidak merasa sendirian menghadapi prosedur yang panjang.</t>
  </si>
  <si>
    <t>rizwanm77@gmail.com</t>
  </si>
  <si>
    <t>restoran</t>
  </si>
  <si>
    <t>Joko Santoso</t>
  </si>
  <si>
    <t>Pemilik angkringan</t>
  </si>
  <si>
    <t>Kota yogyakarta</t>
  </si>
  <si>
    <t>Saya jualan angkringan, jujur paling ribet itu urusan kertas-kertas sama syarat JPH. Kadang banyak istilah susah saya pahami, apalagi kalau harus bolak-balik kantor. Jadi bikin makan waktu dan tenaga</t>
  </si>
  <si>
    <t>soal biaya. Kadang buat UMKM kecil kayak saya, biaya tambahan bikin berat. Kalau ada bantuan atau subsidi, pasti lebih semangat urus halal</t>
  </si>
  <si>
    <t>jokosantoso@gmail.com</t>
  </si>
  <si>
    <t>Daerah Istimewa Yogyakarta</t>
  </si>
  <si>
    <t>Siti nurhayati</t>
  </si>
  <si>
    <t>Produsen batik</t>
  </si>
  <si>
    <t>Bantul</t>
  </si>
  <si>
    <t>kadang saya merasa bingung karena informasi dari dinas atau instansi terkait sering berbeda-beda. Hari ini bilang syaratnya begini, besok ada tambahan lain. Akhirnya bikin ragu harus ikut yang mana dulu. Situasi ini jadi tantangan besar karena waktu dan tenaga terbuang hanya untuk memastikan informasi yang benar.</t>
  </si>
  <si>
    <t>struktur birokrasi itu kunci. Kalau alurnya jelas dan sederhana, pelaku usaha kecil seperti kami bisa lebih cepat menyelesaikan proses sertifikasi. Sebaliknya, kalau berbelit, kami malah jadi kehilangan semangat dan fokus untuk mengurus usaha sehari-hari.</t>
  </si>
  <si>
    <t>dukungan komunitas batik sangat membantu. Kami sering berbagi pengalaman dan saling mengingatkan tentang dokumen atau prosedur yang harus dipenuhi. Jadi meskipun birokrasi kadang rumit, dengan adanya komunitas, beban terasa lebih ringan karena ada tempat untuk bertanya dan belajar dari pengalaman orang lain.</t>
  </si>
  <si>
    <t>sitiinurr45@gmail.com</t>
  </si>
  <si>
    <t>DIY</t>
  </si>
  <si>
    <t>kerajinan</t>
  </si>
  <si>
    <t>Agus priyanto</t>
  </si>
  <si>
    <t>Pengusaha gudeg</t>
  </si>
  <si>
    <t>Sleman</t>
  </si>
  <si>
    <t>Bagi saya yang usaha gudeg, urusan dokumen halal itu terasa panjang dan makan waktu. Prosesnya berlapis-lapis, mulai dari melengkapi syarat administrasi sampai bolak-balik ke kantor terkait. Kadang jadi mengganggu waktu yang seharusnya dipakai untuk mengurus produksi dan penjualan</t>
  </si>
  <si>
    <t>Saya merasa disposisi petugas sangat menentukan. Kalau mereka ramah, jelas dalam memberikan arahan, dan mau membantu, proses yang rumit itu jadi terasa lebih mudah dijalani. Tapi kalau sebaliknya, biasanya bikin tambah stres dan bingung</t>
  </si>
  <si>
    <t>Adanya asosiasi kuliner sangat membantu. Kami para pelaku usaha bisa saling berbagi solusi, misalnya bagaimana cara melengkapi dokumen atau pengalaman mengatasi kendala tertentu. Dengan adanya wadah seperti itu, proses pengurusan halal tidak terasa sendirian..</t>
  </si>
  <si>
    <t>priyantoagus@gmail.com</t>
  </si>
  <si>
    <t>Yogyakarta</t>
  </si>
  <si>
    <t>Ratna wulandari</t>
  </si>
  <si>
    <t>owner kecantikan</t>
  </si>
  <si>
    <t>Sebagai produsen skincare skala kecil, yang paling sering bikin bingung itu aturan yang sering berubah. Kadang baru saja kami menyesuaikan dengan persyaratan tertentu, ternyata ada aturan tambahan lagi. Hal seperti ini bikin proses sertifikasi jadi terasa berat karena harus menyesuaikan terus</t>
  </si>
  <si>
    <t>sumber daya manusia di instansi sangat menentukan. Kalau petugas yang menangani paham betul soal bidang kosmetik atau skincare, urusan bisa lebih cepat dan jelas. Tapi kalau kurang menguasai, seringkali arahan yang diberikan membingungkan pelaku usaha</t>
  </si>
  <si>
    <t>tren pasar juga berpengaruh. Saat konsumen makin banyak yang menanyakan label halal, kami merasa terdorong untuk segera mengurusnya. Jadi, permintaan pasar juga jadi faktor pendorong keberhasilan implementasi JPH</t>
  </si>
  <si>
    <t>ratnawulan78@gmail.com</t>
  </si>
  <si>
    <t>Suparman</t>
  </si>
  <si>
    <t>pemilik resto</t>
  </si>
  <si>
    <t>kulon progo</t>
  </si>
  <si>
    <t>Untuk usaha restoran, tantangan paling terasa adalah banyaknya dokumen yang harus dipenuhi untuk sertifikasi halal. Proses administrasi yang panjang sering kali memakan waktu cukup lama, sehingga perhatian saya terbagi antara mengurus dokumen dan mengelola operasional restoran sehari-hari</t>
  </si>
  <si>
    <t>Saya melihat struktur birokrasi menjadi faktor yang paling berpengaruh. Jika alurnya jelas dan sederhana, maka pelaku usaha bisa lebih cepat menyelesaikan kewajiban. Sebaliknya, kalau berbelit-belit, justru membuat rugi waktu dan memperlambat langkah kami untuk mendapatkan sertifikasi..</t>
  </si>
  <si>
    <t>dukungan dari pemerintah daerah juga sangat penting. Kalau ada inisiatif lokal untuk mempermudah proses atau memberikan pendampingan, tentu bisa mempercepat proses sertifikasi halal dan meringankan beban pelaku usaha</t>
  </si>
  <si>
    <t>Aisah</t>
  </si>
  <si>
    <t>produsen herbal</t>
  </si>
  <si>
    <t>gunungkidul</t>
  </si>
  <si>
    <t>komunikasi dari pihak terkait tidak jelas. Informasi yang diberikan kadang setengah-setengah atau berbeda antara satu petugas dengan petugas lain. Akibatnya, mudah terjadi salah paham dan kami sebagai UMKM jadi ragu apa yang sebenarnya harus dilakukan</t>
  </si>
  <si>
    <t>komunikasi adalah faktor yang paling penting. Kalau penjelasannya jelas dan konsisten, UMKM langsung bisa paham langkah apa yang harus ditempuh. Tapi kalau komunikasinya lemah, prosesnya jadi terhambat karena pelaku usaha seperti kami hanya menebak-nebak</t>
  </si>
  <si>
    <t>kesadaran konsumen juga punya pengaruh besar. Semakin tinggi permintaan produk halal dari masyarakat, semakin kuat juga dorongan bagi UMKM untuk segera mengurus sertifikasi halal agar produk kami dipercaya dan dipilih</t>
  </si>
  <si>
    <t>obat herbal</t>
  </si>
  <si>
    <t>budi hartono</t>
  </si>
  <si>
    <t>owner cafe</t>
  </si>
  <si>
    <t>kota yogyakarta</t>
  </si>
  <si>
    <t>Buat usaha kopi kecil seperti saya, yang paling ribet itu di proses birokrasi. Dokumen yang diminta banyak dan tahapannya panjang, padahal usaha kami butuh proses cepat biar bisa jalan terus tanpa kebanyakan nungg</t>
  </si>
  <si>
    <t>struktur birokrasi jelas paling berperan. Kalau alurnya jelas dan sederhana, semua jadi lebih gampang. Tapi kalau berbelit-belit, yang rugi ya pelaku usaha kecil karena waktu habis hanya untuk urus dokumen</t>
  </si>
  <si>
    <t>komunitas kopi cukup aktif bantu kasih informasi praktis. Dari teman-teman sesama barista dan pemilik kafe, saya dapat pengalaman langsung tentang cara menyiasati proses halal supaya nggak terlalu bingung</t>
  </si>
  <si>
    <t>budihartono@gmail.com</t>
  </si>
  <si>
    <t>minuman</t>
  </si>
  <si>
    <t>Lina Marlina</t>
  </si>
  <si>
    <t>sleman</t>
  </si>
  <si>
    <t>Susah sekali mendapatkan informasi detail soal aturan produk  karena penjelasan dari instansi kadang berbeda-beda dan bikin bingung.</t>
  </si>
  <si>
    <t>Disposisi pejabat sangat berperan, kalau mereka punya niat membantu, urusan bisa lebih cepat dan terasa ringan</t>
  </si>
  <si>
    <t xml:space="preserve">Dukungan riset dari kampus juga sangat membantu, karena memberi panduan ilmiah dan solusi praktis </t>
  </si>
  <si>
    <t>Rudi setiawan</t>
  </si>
  <si>
    <t>pemilik warung mie tradisional</t>
  </si>
  <si>
    <t>bantul</t>
  </si>
  <si>
    <t>Urusan dokumen halal itu panjang sekali dan bikin lelah, apalagi usaha saya hanya warung mie tradisional.</t>
  </si>
  <si>
    <t>Sumber daya di kantor sertifikasi sangat penting, karena kalau pegawai kurang paham urusan jadi tambah lambat.</t>
  </si>
  <si>
    <t>bantuan modal juga berperan besar supaya usaha kecil seperti kami bisa tetap jalan sambil mengurus sertifikasi.</t>
  </si>
  <si>
    <t>warung makan</t>
  </si>
  <si>
    <t>Pemilik Bakery</t>
  </si>
  <si>
    <t>Kota Yogyakarta</t>
  </si>
  <si>
    <t xml:space="preserve"> Produk jamu sering diperlakukan sama dengan obat modern, padahal seharusnya berbeda dari sisi regulasi</t>
  </si>
  <si>
    <t xml:space="preserve"> Struktur birokrasi dan pemahaman teknis pejabat sangat penting agar kebijakan lebih sesuai dengan kondisi UMKM</t>
  </si>
  <si>
    <t xml:space="preserve"> Dukungan dari asosiasi jamu nasional juga berperan dalam memperjuangkan kepentingan pelaku usaha.</t>
  </si>
  <si>
    <t xml:space="preserve">Kuliner </t>
  </si>
  <si>
    <t>Owner Kosmetik</t>
  </si>
  <si>
    <t>Produk bodycare lokal sering dianggap sebelah mata, padahal sebenarnya banyak diminati konsumen</t>
  </si>
  <si>
    <t xml:space="preserve"> Dukungan pemerintah jadi faktor utama untuk memperkuat posisi kami di pasar</t>
  </si>
  <si>
    <t>promosi digital juga sangat mendukung keberhasilan usaha kosmetik lokal untuk bersaing dengan produk besar</t>
  </si>
  <si>
    <t>nurainiiii@gmail.com</t>
  </si>
  <si>
    <t>Slamet Riyadi</t>
  </si>
  <si>
    <t>Produsen Keripik</t>
  </si>
  <si>
    <t>Kulon Progo</t>
  </si>
  <si>
    <t>Banyak sekali dokumen yang harus disiapkan, rasanya menyita waktu padahal usaha saya hanya skala kecil.</t>
  </si>
  <si>
    <t>Struktur birokrasi menentukan cepat atau lambatnya proses sertifikasi halal</t>
  </si>
  <si>
    <t>dukungan keluarga juga memberi pengaruh besar agar tetap semangat menjalani usaha</t>
  </si>
  <si>
    <t>sriyadi3@gmail.com</t>
  </si>
  <si>
    <t>Sulastri handayani</t>
  </si>
  <si>
    <t>owner usaha minuman</t>
  </si>
  <si>
    <t>Perubahan aturan sering bikin bingung, kadang informasinya berbeda antara instansi.</t>
  </si>
  <si>
    <t>Komunikasi dari instansi jadi kunci agar kami tidak salah langkah dalam produksi maupun pengurusan dokumen</t>
  </si>
  <si>
    <t>permintaan pasar luar negeri juga jadi faktor penting karena mereka lebih ketat soal label halal.</t>
  </si>
  <si>
    <t>Winda Pratiwi</t>
  </si>
  <si>
    <t>Aturan kadang terasa tidak sesuai dengan kondisi UMKM kecil, sehingga menambah beban dalam produksi</t>
  </si>
  <si>
    <t xml:space="preserve"> Komunikasi menjadi hal paling penting supaya tidak salah langkah</t>
  </si>
  <si>
    <t>modal usaha juga harus diperhatikan karena biaya untuk sertifikasi tidak sedikit.</t>
  </si>
  <si>
    <t>Minuman (herbal)</t>
  </si>
  <si>
    <t>Haryanto</t>
  </si>
  <si>
    <t>Owner Resto Soto</t>
  </si>
  <si>
    <t>Proses verifikasi halal terasa sangat ribet dan memakan waktu.</t>
  </si>
  <si>
    <t>Dukungan komunitas kafe dan kuliner juga memudahkan karena kami bisa berbagi pengalaman</t>
  </si>
  <si>
    <t>harr111@gmail.com</t>
  </si>
  <si>
    <t>Dian Puspitasari</t>
  </si>
  <si>
    <t>Produsen Batik Tulis</t>
  </si>
  <si>
    <t>Gunungkidul</t>
  </si>
  <si>
    <t xml:space="preserve"> Sering terjadi miskomunikasi soal dokumen yang harus dipenuhi, sehingga memperlambat proses</t>
  </si>
  <si>
    <t>Komunikasi yang jelas dari petugas sangat membantu pelaku UMKM</t>
  </si>
  <si>
    <t>adanya workshop UMKM terbukti sangat bermanfaat karena memberi pengetahuan langsung</t>
  </si>
  <si>
    <t>Dianpus01@gmail.com</t>
  </si>
  <si>
    <t xml:space="preserve">Kerajinan </t>
  </si>
  <si>
    <t>Ahmad Lihu</t>
  </si>
  <si>
    <t>Kota Gorontalo</t>
  </si>
  <si>
    <t>Ngana tau sendiri, ngurus sertifikasi halal itu sering ribet sekali. Banyak berkas musti disiapkan, bikin usaha kecil kayak saya jadi terhambat. Kadang bukannya fokus jualan, malah sibuk urus kertas-kertas.</t>
  </si>
  <si>
    <t>Kalo struktur birokrasi jelas, torang pelaku usaha jadi enak ji ngikut. Ndak perlu bolak-balik kantor cuma gara-gara dokumen kurang. Semua lebih cepat selesai kalo jalurnya terang dari awal.</t>
  </si>
  <si>
    <t>Untung ada komunitas kopi di Gorontalo. Dorang sering sekali sharing pengalaman, kasih tips biar proses lebih gampang. Jadi torang rasa tidak sendiri hadapi ribetnya urusan halal ini.</t>
  </si>
  <si>
    <t>Gorontalo</t>
  </si>
  <si>
    <t>Nur Aisyah Hulopi</t>
  </si>
  <si>
    <t>Kabupaten Bone Bolango</t>
  </si>
  <si>
    <t>Kalau ngurus sertifikasi halal, yang paling bikin berat itu dokumen. Banyak banget yang harus disiapkan, dari bahan baku, catatan proses produksi, sampai standar kebersihan. Semua minta detail. Jadinya pusing, karena butuh waktu ekstra untuk urus berkas-berkas itu, sementara usaha harian tetap jalan. Buat usaha kecil, hal ini kadang terasa makan waktu dan tenaga yang lumayan besar.</t>
  </si>
  <si>
    <t>Komunikasi petugas benar-benar jadi kunci. Kalau petugas jelas kasih arahan, langkah-langkahnya runtut, kita jadi lebih gampang ngikutin. Proses bisa lebih lancar tanpa banyak salah. Tapi kalau informasinya setengah-setengah atau malah berbeda-beda, malah bikin tambah bingung dan bisa bikin proses jadi molor.</t>
  </si>
  <si>
    <t>Selain itu, dukungan keluarga juga sangat berarti. Mereka yang ikut bantu nyiapin dokumen, kasih semangat ketika capek, dan dukung dari belakang biar kita tetap jalan. Support keluarga ini bikin kita tidak gampang menyerah, walaupun proses sertifikasi halal terasa panjang dan melelahkan.</t>
  </si>
  <si>
    <t>Ismail Polapa</t>
  </si>
  <si>
    <t>Pengrajin Ikan Asap</t>
  </si>
  <si>
    <t>Kabupaten Gorontalo</t>
  </si>
  <si>
    <t>Susah sekali dapat info detail soal aturan halal. Kadang infonya potong-potong, bahkan beda-beda penjelasan dari tiap orang. Akhirnya saya sering bingung, mana yang harus diikuti. Kondisi ini bikin proses terasa lebih lama dari seharusnya.</t>
  </si>
  <si>
    <t>Disposisi petugas itu penting sekali. Kalau mereka ramah, sabar, dan mau bantu jelaskan, urusan jadi gampang. Kita merasa lebih tenang, tidak takut salah langkah.</t>
  </si>
  <si>
    <t>Teman sesama UMKM juga sering jadi tempat curhat dan tukar informasi. Dari ngobrol santai saja bisa dapat tips yang berguna. Jadi walaupun banyak kebingungan, saya merasa tidak sendirian karena ada jaringan teman yang siap bantu.</t>
  </si>
  <si>
    <t>Siti Rahmawati Moputi</t>
  </si>
  <si>
    <t>Pemilik Toko Snack</t>
  </si>
  <si>
    <t>Kabupaten Boalemo</t>
  </si>
  <si>
    <t xml:space="preserve">Kalau mau urus sertifikasi halal, yang paling bikin repot itu cari info detail soal aturan. Susah sekali ji, kadang penjelasan dari satu orang beda dengan orang lain. Akhirnya saya jadi sering bingung, mana yang benar harus diikuti. </t>
  </si>
  <si>
    <t>Disposisi petugas sangat berpengaruh. Kalau mereka ramah, sabar, dan mau bantu menjelaskan dengan jelas, urusan langsung terasa lebih gampang. Kita pun jadi lebih percaya diri untuk lengkapi semua syarat tanpa takut salah. Tapi kalau petugasnya kaku dan tidak komunikatif, proses jadi lebih lama dan bikin tambah pusing.</t>
  </si>
  <si>
    <t xml:space="preserve">Untung ada teman-teman sesama UMKM. Mereka sering jadi tempat curhat dan tukar informasi. Dari obrolan santai saja bisa dapat banyak tips berharga tentang cara urus sertifikasi biar tidak salah langkah. </t>
  </si>
  <si>
    <t>Camilan</t>
  </si>
  <si>
    <t>Rudi Hippy</t>
  </si>
  <si>
    <t>Pengusaha Restoran</t>
  </si>
  <si>
    <t>Untuk restoran, ngurus sertifikasi halal itu benar-benar melelahkan. Dokumen yang diminta banyak sekali, mulai dari bahan baku, cara penyimpanan, proses masak, sampai standar dapur. Semua harus dicatat detail dan lengkap. Buat pemilik restoran yang juga sibuk urus operasional harian, persyaratan sebanyak itu sering bikin kewalahan karena harus bagi waktu antara ngurus usaha dan dokumen.</t>
  </si>
  <si>
    <t>Struktur birokrasi jadi penentu utama. Kalau jalurnya jelas, kita bisa cepat ikuti prosesnya dari awal sampai akhir. Tapi kalau aturan berbelit, informasi berubah-ubah, atau ada tambahan syarat di tengah jalan, proses malah makin panjang. Jadi, kejelasan dan kerapihan birokrasi sangat berpengaruh pada cepat lambatnya sertifikasi halal untuk restoran.</t>
  </si>
  <si>
    <t>Dukungan pemerintah lokal juga tidak kalah penting. Kalau mereka turun langsung memberi pendampingan atau arahan, pengusaha jadi lebih mudah memahami alur pengurusan. Bahkan ada juga bantuan berupa sosialisasi atau pendamping teknis yang bikin proses terasa lebih ringan. Dukungan seperti ini sangat berarti karena membuat pemilik usaha tidak merasa sendirian menghadapi ribetnya sertifikasi.</t>
  </si>
  <si>
    <t>Maryam Olii</t>
  </si>
  <si>
    <t>Produsen Skincare</t>
  </si>
  <si>
    <t>Kabupaten Gorontalo Utara</t>
  </si>
  <si>
    <t>Buat UMKM kecil di bidang kosmetik, aturan teknis sering bikin bingung. Syaratnya detail sekali, dari bahan, proses produksi, sampai pengemasan. Kadang aturannya berubah atau penjelasannya beda-beda antara satu petugas dengan petugas lain. Alhasil, pelaku usaha kecil jadi kewalahan, karena harus terus menyesuaikan sambil tetap menjaga produksi jalan. Bagi yang baru merintis, hal ini bisa terasa sangat berat.</t>
  </si>
  <si>
    <t>Sumber daya di instansi yang ngurus sertifikasi jadi kunci utama. Kalau SDM di sana paham dan bisa kerja cepat, proses jadi lebih lancar, tidak bertele-tele. Arahan yang jelas dari petugas bisa menghemat banyak waktu dan tenaga UMKM. Sebaliknya, kalau petugasnya kurang menguasai teknis, justru bikin makin lama dan ruwet.</t>
  </si>
  <si>
    <t>Permintaan pasar luar negeri sekarang juga jadi motivasi besar. Banyak konsumen dari luar yang lebih percaya pada produk halal. Jadi walaupun ribet ngurusnya, semangat tetap ada karena peluang pasar terbuka lebih luas. Sertifikasi halal bukan cuma kewajiban, tapi juga jalan untuk bikin produk lokal bisa go international.</t>
  </si>
  <si>
    <t>Herman Dali</t>
  </si>
  <si>
    <t>Produk jamu tradisional itu sering sekali dianggap sama dengan obat modern, padahal jelas berbeda. Dari bahan bakunya saja jamu kebanyakan alami, diracik sederhana, dan tidak selalu pakai standar pabrik besar. Tapi waktu ngurus sertifikasi halal, aturannya kadang dipukul rata sama seperti obat modern. Akibatnya, syarat yang harus dipenuhi terasa berat sekali untuk UMKM jamu. Hal inilah yang bikin banyak pelaku usaha merasa prosesnya ribet dan sering bikin patah semangat.</t>
  </si>
  <si>
    <t>Pemahaman teknis pejabat jadi sangat penting di sini. Kalau pejabat paham betul perbedaan jamu dan obat modern, aturan yang diterapkan bisa lebih pas dan tidak membebani pelaku UMKM. Sebaliknya, kalau tidak paham, kebijakan yang keluar bisa salah kaprah dan akhirnya menghambat. Jadi, kualitas dan pemahaman teknis pejabat memang jadi penentu lancarnya proses sertifikasi halal jamu.</t>
  </si>
  <si>
    <t>Untungnya ada asosiasi jamu nasional yang aktif mendampingi. Mereka sering kasih arahan, sosialisasi, sampai pendampingan langsung kepada pelaku UMKM. Lewat asosiasi, kita bisa dapat informasi lebih jelas, belajar dari pengalaman usaha lain, dan merasa lebih percaya diri menghadapi aturan yang rumit. Dukungan ini benar-benar bermanfaat supaya pelaku usaha jamu tidak merasa berjuang sendirian.</t>
  </si>
  <si>
    <t>Yuliana Pontoh</t>
  </si>
  <si>
    <t>Produk bodycare lokal sering sekali dianggap sebelah mata. Padahal kalau dilihat dari kualitas dan peminat, sebenarnya banyak sekali orang yang suka. Hanya saja, karena statusnya UMKM dan belum sekuat brand besar, sering kali produk lokal kurang dipercaya. Waktu ngurus sertifikasi halal, tantangannya makin terasa karena syarat-syaratnya detail dan berat, sementara kapasitas usaha masih terbatas. Hal ini kadang bikin pelaku usaha merasa diperlakukan tidak adil dibanding perusahaan besar.</t>
  </si>
  <si>
    <t>Dukungan pemerintah jadi faktor utama untuk bisa maju. Kalau ada perhatian dan pendampingan dari pemerintah, baik berupa sosialisasi, bantuan teknis, atau kemudahan birokrasi, proses jadi jauh lebih lancar. Dukungan ini bukan cuma mempermudah pengurusan halal, tapi juga memberi semangat bagi UMKM untuk tetap berkembang dan percaya diri bersaing.</t>
  </si>
  <si>
    <t>Selain itu, promosi digital juga sangat membantu. Dengan adanya label halal yang jelas, produk bodycare lokal bisa lebih gampang dipasarkan lewat media sosial, marketplace, atau lewat influencer. Konsumen sekarang lebih percaya kalau ada jaminan halal. Jadi, promosi digital membuat produk lokal bisa dikenal lebih luas dan punya peluang besar untuk bersaing dengan brand besar.</t>
  </si>
  <si>
    <t>La Ode Rahman</t>
  </si>
  <si>
    <t>Pemilik Warung Makan</t>
  </si>
  <si>
    <t>Kendari</t>
  </si>
  <si>
    <t>Ngurus sertifikasi halal ribet sekali ji, syaratnya banyak, kadang info juga simpang siur. Kita usaha kecil jadi capek mi urus sana-sini.</t>
  </si>
  <si>
    <t>Kalau alur birokrasi jelas, torang gampang paham dan cepat selesai.</t>
  </si>
  <si>
    <t>Syukurlah ada komunitas pedagang di Kendari, bisa saling cerita dan bantu, jadi tidak terasa sendiri.</t>
  </si>
  <si>
    <t>Sulawesi Tenggara</t>
  </si>
  <si>
    <t>Siti Rahmah</t>
  </si>
  <si>
    <t>Produsen Kue Tradisional</t>
  </si>
  <si>
    <t>Baubau</t>
  </si>
  <si>
    <t>Dokumen yang diminta itu banyak sekali ji, mulai dari bahan baku sampai proses masak. Kalau tidak terbiasa urus berkas, bisa bikin pusing dan capek karena harus bolak-balik lengkapi syarat.</t>
  </si>
  <si>
    <t>Makanya komunikasi petugas itu penting sekali. Kalau petugasnya jelas kasih arahan, kita pun tidak salah langkah dan proses bisa lebih cepat. Tapi kalau infonya beda-beda, malah bikin bingung.</t>
  </si>
  <si>
    <t>Sekarang juga konsumen makin peduli halal. Banyak yang tanya-tanya soal sertifikasi sebelum beli. Itu jadi dorongan besar buat kita supaya usaha bisa dipercaya dan lebih maju.</t>
  </si>
  <si>
    <t>Kuliner (Kue)</t>
  </si>
  <si>
    <t>Amirudin</t>
  </si>
  <si>
    <t>Pengusaha Kopi</t>
  </si>
  <si>
    <t>Kolaka</t>
  </si>
  <si>
    <t>Ngurus dokumen halal untuk usaha kopi kecil itu ribet sekali ji. Syaratnya banyak, kadang kita harus isi formulir sana-sini, padahal waktu kita habis juga di warung. Jadi sering kali terasa berat, apalagi kalau tidak ada yang kasih arahan jelas.</t>
  </si>
  <si>
    <t>Kalau birokrasi dibuat sederhana, torang pelaku usaha kopi bisa cepat selesaikan urusan. Tidak perlu bolak-balik tanya, tinggal ikut alur yang jelas saja. Itu yang paling membantu sebenarnya.</t>
  </si>
  <si>
    <t>Untungnya ada komunitas kopi di Kolaka. Sering sekali mereka berbagi pengalaman, kasih tips praktis, bahkan info terbaru soal sertifikasi. Jadi meskipun ribet, kita merasa ada teman seperjuangan yang bisa saling dukung.</t>
  </si>
  <si>
    <t>Nurhayati</t>
  </si>
  <si>
    <t>Konawe</t>
  </si>
  <si>
    <t>Ngurus sertifikasi halal buat produk skincare itu susah sekali ji, terutama cari info detail soal aturan-aturannya. Kadang infonya potong-potong, jadi kita bingung harus mulai dari mana dan apa saja yang wajib disiapkan.</t>
  </si>
  <si>
    <t>Disposisi petugas juga sangat berpengaruh. Kalau petugasnya ramah, sabar jelasin, dan mau bantu, torang jadi lebih tenang jalani prosesnya. Tapi kalau dingin dan kaku, tambah susah ji rasanya.</t>
  </si>
  <si>
    <t>Apalagi sekarang tren pasar makin jelas, banyak konsumen lebih pilih produk halal. Itu jadi dorongan besar buat kita usaha kecil, supaya bisa bersaing dan lebih dipercaya orang.</t>
  </si>
  <si>
    <t>Buton</t>
  </si>
  <si>
    <t>Buat restoran, ngurus sertifikasi halal itu lumayan melelahkan karena dokumen yang diminta banyak sekali. Mulai dari data bahan, proses dapur, sampai standar kebersihan harus lengkap semua. Kalau tidak terbiasa, bisa bikin capek urusannya.</t>
  </si>
  <si>
    <t>Struktur birokrasi yang jelas sangat menentukan cepat atau lambatnya proses. Kalau alurnya rapi, kita tinggal ikuti step by step. Tapi kalau berbelit, bisa habis waktu dan tenaga.</t>
  </si>
  <si>
    <t>Untungnya kalau ada dukungan pemerintah lokal, biasanya urusan bisa lebih cepat. Mereka bisa kasih panduan, pendampingan, bahkan dorongan supaya pengusaha nggak jalan sendiri. Itu sangat membantu sekali.</t>
  </si>
  <si>
    <t>Rafika Yanti</t>
  </si>
  <si>
    <t>Muna</t>
  </si>
  <si>
    <t>Produk bodycare lokal sering sekali dianggap sebelah mata. Padahal kualitasnya bagus, tapi waktu ngurus sertifikasi halal suka terasa tidak diprioritaskan. Itu bikin pengusaha kecil kadang minder atau kesulitan bersaing dengan brand besar.</t>
  </si>
  <si>
    <t>Makanya pemahaman teknis dari petugas itu jadi kunci. Kalau petugas paham detail produk dan aturan, urusannya jadi lancar, nggak banyak bolak-balik. Tapi kalau petugasnya bingung, kita pengusahanya tambah bingung juga.</t>
  </si>
  <si>
    <t>Sekarang promosi digital juga banyak membantu. Dengan adanya label halal yang jelas, produk lokal bisa lebih mudah dikenalkan lewat media sosial dan marketplace. Konsumen juga lebih percaya dan tertarik untuk coba.</t>
  </si>
  <si>
    <t>Andi Leman</t>
  </si>
  <si>
    <t>Produk jamu tradisional sering sekali diperlakukan sama kayak obat modern. Padahal jelas beda, baik dari bahan, cara produksi, maupun standar uji yang dipakai. Akibatnya, proses ngurus sertifikasi halal jadi terasa lebih ribet karena harus ikut aturan yang sebenarnya tidak selalu cocok untuk jamu.</t>
  </si>
  <si>
    <t>Di sini pemahaman teknis dari pejabat atau petugas yang ngurus itu penting sekali. Kalau mereka benar-benar paham karakter jamu, aturan bisa diterapkan lebih pas dan tidak salah atur. Jadi proses juga bisa lebih cepat dan adil bagi produsen jamu.</t>
  </si>
  <si>
    <t>Untungnya ada asosiasi jamu nasional yang sering kasih arahan dan pendampingan. Lewat asosiasi, pelaku usaha bisa dapat info yang lebih jelas, tahu trik menghindari kesalahan, dan merasa tidak sendiri menghadapi aturan yang rumit.</t>
  </si>
  <si>
    <t>Sri Wahyuni</t>
  </si>
  <si>
    <t>Kolaka Utara</t>
  </si>
  <si>
    <t>Produk herbal itu susah sekali diakui resmi. Syarat teknisnya banyak, mulai dari uji laboratorium sampai dokumen pendukung yang bikin pusing. Buat pengusaha kecil, kadang rasanya berat karena harus keluar biaya dan tenaga ekstra hanya untuk melengkapi persyaratan.</t>
  </si>
  <si>
    <t>Kalau struktur birokrasi dibuat sederhana, pasti jauh lebih membantu. Dengan alur yang jelas dan tidak berbelit, pelaku usaha bisa cepat selesaikan urusan tanpa harus bolak-balik ke kantor. Itu bisa menghemat waktu sekaligus biaya.</t>
  </si>
  <si>
    <t>Dukungan riset dari kampus di Sulawesi Tenggara juga sangat bermanfaat. Mahasiswa atau dosen bisa bantu dari sisi penelitian, uji bahan, sampai pendampingan teknis. Kolaborasi seperti ini bikin produk herbal lokal punya peluang lebih besar untuk diakui resmi sekaligus naik kelas.</t>
  </si>
  <si>
    <t>Ridwan Syah</t>
  </si>
  <si>
    <t>Ngurus dokumen halal untuk kafe kecil itu ribet sekali ji. Syaratnya macam-macam, dari bahan sampai proses dapur semua harus detail. Kalau kita tidak tahu jalurnya, bisa bikin capek karena bolak-balik urus sana-sini.</t>
  </si>
  <si>
    <t>Makanya komunikasi pejabat itu jadi kunci. Kalau mereka jelas kasih arahan, torang gampang ikuti tahapannya tanpa banyak salah langkah. Tapi kalau infonya setengah-setengah, tambah bingung mi kita.</t>
  </si>
  <si>
    <t>Untung ada komunitas kafe di Baubau. Mereka sering bantu sharing pengalaman, kasih tips, bahkan info terbaru soal sertifikasi. Jadi walau ribet, terasa ringan karena ada teman seperjuangan yang saling dukung.</t>
  </si>
  <si>
    <t>Minuman (Cafe)</t>
  </si>
  <si>
    <t>Murniati</t>
  </si>
  <si>
    <t>Buton Selatan</t>
  </si>
  <si>
    <t>Bikin camilan sederhana sih gampang, tapi pas urus sertifikasi halal malah jadi ribet. Dokumennya banyak banget, dari bahan sampai cara bikin harus dicatat semua. Kadang kita mikir, “ini cuma camilan biasa kok, kenapa harus serumit ini?” Jadinya capek sendiri urus kertasnya, padahal usaha jalan terus tiap hari.</t>
  </si>
  <si>
    <t>Struktur birokrasi tuh ngaruh banget. Kalau alurnya jelas dan step-nya simpel, enak ji tinggal ikuti. Tapi kalau berbelit-belit, bikin bingung, akhirnya makin lama selesai. Jadi kunci sebenarnya ada di aturan yang dibuat gampang dipahami.</t>
  </si>
  <si>
    <t>Nah, dukungan keluarga juga penting sekali. Mereka bisa bantuin kumpul dokumen, kasih semangat pas lagi pusing, bahkan ikut dorong promosi kalau produk sudah halal resmi. Tanpa support keluarga, mungkin kita udah nyerah duluan.</t>
  </si>
  <si>
    <t>Snack</t>
  </si>
  <si>
    <t>Ilhamsyah Rudi</t>
  </si>
  <si>
    <t xml:space="preserve">Ngurus dokumen halal untuk warung makan terasa sangat ribet karena diminta banyak sekali persyaratan, mulai dari bahan baku, proses masak, sampai bukti kebersihan dapur. </t>
  </si>
  <si>
    <t xml:space="preserve">Birokrasi yang jelas dan sederhana akan sangat membantu sehingga tidak perlu bolak-balik tanya ke petugas. </t>
  </si>
  <si>
    <t>Komunitas pedagang di Kendari sering berbagi pengalaman, jadi sangat meringankan beban.</t>
  </si>
  <si>
    <t>Wa Ode Nurmalasari</t>
  </si>
  <si>
    <t>Ngurus halal untuk kafe kecil ini aduhai ribet ji. Banyak sekali dokumen yang diminta, harus lengkap semua baru bisa lanjut. Kadang bikin kita pusing, soalnya selain urus berkas, kafe juga tetap harus jalan tiap hari.</t>
  </si>
  <si>
    <t>Komunikasi pejabat itu memang penentu. Kalau dia jelas kasih arahan, torang tenang ji ikuti prosesnya. Tapi kalau infonya simpang-siur, bikin tambah bingung mi.</t>
  </si>
  <si>
    <t>Untung ada komunitas kafe di Baubau. Mereka sering sharing pengalaman, kasih tau tips-tips, jadi torang tidak jalan sendiri. Rasanya ada teman seperjuangan sama-sama hadapi ribetnya urusan halal ini.</t>
  </si>
  <si>
    <t>Kafe Kopi</t>
  </si>
  <si>
    <t>Rahmat Arsyad</t>
  </si>
  <si>
    <t>Manager</t>
  </si>
  <si>
    <t>Kalau urus sertifikasi halal untuk restoran, yang bikin paling berat itu dokumen. Banyak sekali yang harus dilengkapi, dari data bahan baku, proses masak, sampai standar kebersihan dapur. Semua harus detail. Kadang bikin kepala pening, apalagi kalau kita juga masih harus sibuk ngurus operasional sehari-hari. Akhirnya, pemilik restoran sering kewalahan karena harus bagi waktu antara urus usaha sama berkas-berkas yang numpuk.</t>
  </si>
  <si>
    <t>Struktur birokrasi sebenarnya jadi penentu utama. Kalau alurnya rapi dan jelas, kita bisa ikuti tahapannya satu per satu dengan lancar. Tapi kalau aturannya berbelit, ditambah syarat yang muncul mendadak, ya makin lama selesai. Jadi yang paling dibutuhkan itu aturan yang konsisten, ringkas, dan gampang dipahami.</t>
  </si>
  <si>
    <t>Syukurnya, kalau ada dukungan dari pemerintah daerah, proses bisa jauh lebih cepat. Mereka bisa kasih pendampingan, arahan langkah demi langkah, bahkan bantu menjembatani kalau ada kendala. Dukungan kayak begini bikin pengusaha merasa diperhatikan, dan jadi lebih semangat untuk menyelesaikan sertifikasi halal.</t>
  </si>
  <si>
    <t>Lalas Sulastri</t>
  </si>
  <si>
    <t>Kalau mau urus halal untuk produk skincare, tantangan paling terasa itu cari info detail soal aturan. Susah sekali ji, informasinya kadang sepotong-sepotong, bahkan beda-beda penjelasan dari tiap orang. Jadi kita bingung harus mulai dari mana, dokumen apa dulu yang disiapkan, dan standar apa yang dipakai. Padahal usaha kecil kayak kami butuh kepastian, biar bisa fokus jalanin produksi tanpa takut salah langkah.</t>
  </si>
  <si>
    <t>Di sini disposisi petugas sangat berpengaruh. Kalau petugas ramah, sabar, dan mau jelaskan dengan bahasa sederhana, proses terasa lebih ringan. Kita pun jadi lebih percaya diri ngikutin tahap-tahapnya. Tapi kalau petugasnya kaku, dingin, atau cuma kasih penjelasan setengah, bisa bikin kita tambah stres.</t>
  </si>
  <si>
    <t>Sekarang tren pasar juga bikin semangat bertambah. Konsumen makin peduli soal produk halal, apalagi untuk skincare yang dipakai sehari-hari. Banyak pembeli yang tanya dulu soal sertifikat halal sebelum beli. Jadi walaupun ribet, hal itu jadi motivasi buat kita supaya segera punya label halal resmi, biar produk bisa lebih dipercaya dan makin bersaing.</t>
  </si>
  <si>
    <t>Skincare Lokal</t>
  </si>
  <si>
    <t>Andre Hilman</t>
  </si>
  <si>
    <t>Untuk produk herbal, tantangannya memang berat sekali. Susah sekali diakui resmi karena syarat teknisnya terlalu banyak. Harus ada uji laboratorium, dokumen bahan baku, catatan proses produksi, sampai standar tertentu yang kadang rasanya lebih cocok buat pabrik besar. Bagi UMKM kecil, hal ini bikin ribet karena butuh biaya tambahan dan waktu yang tidak sedikit. Jadi, meskipun niatnya kuat untuk dapat sertifikasi halal, sering kali pengusaha herbal merasa kewalahan dengan persyaratan yang menumpuk.</t>
  </si>
  <si>
    <t>Kalau birokrasi dibuat sederhana, pasti sangat membantu. Dengan alur yang jelas, ringkas, dan tidak berbelit, UMKM herbal bisa lebih cepat menyelesaikan sertifikasi tanpa banyak kebingungan. Birokrasi yang baik itu bukan cuma soal aturan, tapi juga bagaimana prosedur dijalankan konsisten dari awal sampai akhir. Kalau prosesnya mudah dipahami, pelaku usaha jadi lebih fokus mengurus produk daripada sibuk mengurus berkas.</t>
  </si>
  <si>
    <t>Dukungan dari kampus di Sulawesi Tenggara juga sangat bermanfaat. Banyak mahasiswa dan dosen yang mau membantu, entah lewat riset bahan, uji laboratorium, atau pendampingan teknis. Kolaborasi ini bikin pelaku UMKM merasa lebih percaya diri, karena ada pihak akademisi yang bisa jadi penjamin kualitas produk. Selain itu, hasil riset kampus juga bisa dipakai untuk meningkatkan kepercayaan konsumen terhadap produk herbal lokal.</t>
  </si>
  <si>
    <t>Produk Herbal</t>
  </si>
  <si>
    <t>Safitri Patriyani</t>
  </si>
  <si>
    <t>Produk bodycare lokal sering sekali dianggap sebelah mata kalau dibanding dengan brand besar. Padahal kualitasnya tidak kalah, cuma karena label dan pengakuan resminya belum sekuat produk pabrikan besar, akhirnya konsumen ragu untuk mencoba. Nah, waktu mau ngurus sertifikasi halal, tantangannya makin terasa karena persyaratan yang banyak dan detail. Kadang bikin kita merasa seperti diperlakukan sama dengan perusahaan besar, padahal kapasitas UMKM jelas terbatas. Itu yang sering bikin minder sekaligus kewalahan.</t>
  </si>
  <si>
    <t>Pemahaman teknis dari petugas yang menangani sertifikasi jadi kunci utama. Kalau petugas paham karakter produk bodycare lokal dan bisa jelaskan aturan dengan bahasa yang mudah dimengerti, prosesnya lebih lancar. Sebaliknya, kalau petugas tidak paham atau kaku, kita bisa salah langkah dalam menyiapkan dokumen atau uji produk. Jadi kompetensi teknis petugas sangat menentukan sukses tidaknya proses sertifikasi halal untuk UMKM bodycare.</t>
  </si>
  <si>
    <t>Promosi digital sekarang jadi penyelamat besar buat produk lokal. Dengan adanya label halal yang resmi, kita bisa lebih percaya diri memasarkan lewat media sosial, marketplace, atau kolaborasi dengan influencer. Konsumen juga lebih yakin beli karena ada jaminan halal. Jadi, walaupun tantangannya banyak, dukungan promosi digital bikin produk bodycare halal lokal punya peluang besar untuk dikenal lebih luas, bahkan bersaing dengan brand besar.</t>
  </si>
  <si>
    <t>Arfan Syarif</t>
  </si>
  <si>
    <t>Produk jamu tradisional sering sekali diperlakukan sama seperti obat modern, padahal jelas berbeda. Dari bahan sampai proses produksi, jamu punya ciri khas yang lebih alami dan sederhana. Tapi saat urus sertifikasi halal, aturannya kadang disamaratakan dengan obat modern. Akibatnya, syarat yang diminta jadi terlalu berat dan tidak sesuai kondisi usaha jamu kecil. Hal ini bikin pelaku UMKM jamu sering merasa kewalahan, bahkan ada yang mundur karena merasa aturan tidak berpihak.</t>
  </si>
  <si>
    <t>Di sinilah pemahaman teknis pejabat atau petugas jadi sangat penting. Kalau mereka paham perbedaan jamu dengan obat modern, aturan bisa lebih tepat sasaran dan proses sertifikasi berjalan lancar. Tapi kalau tidak, banyak kebijakan yang salah kaprah dan justru mempersulit pelaku usaha. Jadi, kompetensi teknis pejabat menentukan apakah sertifikasi halal untuk jamu bisa cepat selesai atau malah makin rumit.</t>
  </si>
  <si>
    <t>Untungnya ada asosiasi jamu nasional yang aktif memberi arahan. Mereka sering adakan sosialisasi, pelatihan, sampai pendampingan bagi UMKM jamu. Dukungan ini sangat berguna karena membantu pelaku usaha memahami prosedur, menyiapkan dokumen dengan benar, dan mengurangi kesalahan yang bisa bikin proses berulang. Dengan adanya asosiasi, pelaku usaha jamu merasa tidak sendiri, ada wadah untuk berbagi pengalaman sekaligus dapat solusi praktis.</t>
  </si>
  <si>
    <t>Jamu Tradisional</t>
  </si>
  <si>
    <t>Nursyifa Ramadhani</t>
  </si>
  <si>
    <t>Bombana</t>
  </si>
  <si>
    <t>Ngurus dokumen halal itu bikin capek sekali ji, karena jumlahnya banyak dan detail. Kadang bukan cuma satu dua berkas, tapi harus kumpulkan macam-macam data mulai dari bahan baku, proses produksi, sampai standar kebersihan. Yang bikin tambah repot, sering kali kita harus bolak-balik ke kantor hanya untuk melengkapi satu syarat kecil. Buat usaha kecil, ini terasa berat karena waktu habis untuk urus berkas, sementara usaha tetap harus jalan setiap hari.</t>
  </si>
  <si>
    <t>Makanya komunikasi petugas itu sangat penting. Kalau petugasnya jelas kasih arahan, langkah-langkahnya runtut, torang bisa lebih cepat beresin urusan. Tapi kalau infonya simpang siur, kita jadi bingung mau ikut yang mana, akhirnya malah buang waktu. Jadi, komunikasi yang baik dari pejabat atau petugas betul-betul jadi penentu lancarnya proses sertifikasi halal.</t>
  </si>
  <si>
    <t>Sekarang konsumen juga makin peduli soal halal. Banyak yang tanya dulu apakah produk sudah halal resmi sebelum beli. Itu sebenarnya jadi motivasi tambahan buat pelaku usaha kecil. Walaupun capek ngurus dokumen, tapi semangat tetap ada karena kita tahu setelah sertifikasi selesai, produk bakal lebih dipercaya dan peluang pasarnya makin luas.</t>
  </si>
  <si>
    <t xml:space="preserve">Darmawan </t>
  </si>
  <si>
    <t>Wakatobi</t>
  </si>
  <si>
    <t>Kalau ngurus sertifikasi halal, yang paling bikin berat itu dokumen. Jumlahnya banyak sekali, dari bahan baku, alur produksi, sampai standar dapur semuanya harus lengkap. Karena terlalu banyak syarat, proses jadi lama dan kadang bikin kita kewalahan. Apalagi kalau ada dokumen yang dianggap kurang, harus bolak-balik urus lagi, padahal usaha harian tetap harus jalan.</t>
  </si>
  <si>
    <t>Struktur birokrasi yang jelas sebenarnya bisa sangat membantu. Kalau alurnya sudah disusun rapi, kita tinggal ikuti step by step tanpa bingung. Tapi kalau birokrasi berbelit, informasi tidak konsisten, atau tiap tahap minta tambahan baru, justru bikin makin lama selesai. Jadi kejelasan prosedur betul-betul menentukan cepat atau lambatnya sertifikasi halal.</t>
  </si>
  <si>
    <t>Dukungan pemerintah lokal juga terasa penting sekali. Kadang mereka turun langsung kasih pendampingan, menjelaskan syarat yang sering bikin pelaku usaha bingung, bahkan bantu menghubungkan dengan lembaga terkait. Dengan adanya support ini, kita tidak merasa jalan sendiri, dan semangat untuk menyelesaikan sertifikasi jadi lebih besar.</t>
  </si>
  <si>
    <t>Restoran Seafood</t>
  </si>
  <si>
    <t>Wa Ode Hanifa</t>
  </si>
  <si>
    <t>Konawe Selatan</t>
  </si>
  <si>
    <t>Ngurus sertifikasi halal untuk kosmetik lokal itu tantangan utamanya cari info detail soal aturan. Susah sekali ji, kadang informasinya tidak lengkap atau malah beda-beda penjelasan dari satu petugas ke petugas lain. Akhirnya bikin bingung, apa saja dokumen yang sebenarnya wajib disiapkan. Buat pelaku usaha kecil, kondisi ini jelas menyulitkan karena waktu habis untuk mencari kepastian aturan, sementara produksi tetap harus jalan.</t>
  </si>
  <si>
    <t>Petugas yang ramah dan mau menjelaskan itu pengaruhnya besar sekali. Kalau mereka sabar menjawab pertanyaan dan kasih arahan yang jelas, proses jadi terasa lebih ringan. Kita pun lebih percaya diri untuk menyelesaikan semua tahapan sertifikasi. Sebaliknya, kalau petugas dingin atau kurang komunikatif, pelaku usaha malah makin bingung dan bisa salah langkah.</t>
  </si>
  <si>
    <t>Sekarang tren pasar juga mendorong pelaku usaha untuk semakin serius mengurus halal. Konsumen makin peduli, mereka lebih pilih produk kosmetik yang sudah jelas status halalnya. Hal ini jadi motivasi tambahan, karena selain untuk kepatuhan aturan, sertifikasi halal juga bikin produk lokal lebih diminati, dipercaya, dan bisa bersaing dengan brand besar.</t>
  </si>
  <si>
    <t>Kosmetik Lokal</t>
  </si>
  <si>
    <t>Syamsul Hulalata</t>
  </si>
  <si>
    <t>Ngurus sertifikasi halal untuk kafe kecil itu ribet sekali ji, terutama soal dokumen. Banyak yang harus disiapkan, mulai dari bahan baku sampai catatan proses, semua diminta lengkap. Buat usaha kecil, ini bikin repot karena harus bagi waktu antara ngurus berkas dan tetap jalankan kafe setiap hari. Kadang rasanya tenaga habis hanya untuk urusan administrasi, bukan fokus di jualan kopi.</t>
  </si>
  <si>
    <t>Birokrasi yang jelas itu jadi kunci. Kalau alurnya rapi dan step-nya terang dari awal, torang tinggal ikuti saja tanpa harus bolak-balik. Proses jadi cepat selesai dan tidak terlalu bikin pusing. Tapi kalau birokrasi berbelit, biasanya malah bikin tambah lama dan bikin pengusaha kecil cepat capek.</t>
  </si>
  <si>
    <t>Syukurnya, ada komunitas kafe di Gorontalo yang sering bantu tukar info praktis. Dari mereka, torang bisa tahu pengalaman orang lain, tips menghindari kesalahan, sampai info terbaru soal sertifikasi. Jadi walaupun ribet, rasanya lebih ringan karena ada teman seperjuangan yang saling dukung.</t>
  </si>
  <si>
    <t>Dewi Kandao</t>
  </si>
  <si>
    <t>Kabupaten Pohuwato</t>
  </si>
  <si>
    <t>Produk herbal itu susah sekali diakui resmi karena syarat teknisnya banyak dan detail. Harus ada hasil uji laboratorium, catatan bahan, proses produksi, sampai standar-standar tambahan yang kadang terasa berat untuk UMKM kecil. Bagi usaha herbal yang dikelola sederhana, persyaratan ini sering bikin kewalahan karena butuh biaya, waktu, dan tenaga ekstra. Jadi meskipun punya niat kuat untuk dapat sertifikasi halal, sering kali pengusaha herbal merasa jalannya terhambat oleh kerumitan aturan.</t>
  </si>
  <si>
    <t>Kalau struktur birokrasi dibuat sederhana, tentu sangat membantu. Dengan alur yang jelas, ringkas, dan konsisten, pelaku usaha bisa lebih cepat menyiapkan dokumen tanpa harus bolak-balik. Birokrasi yang rapi bikin pelaku UMKM fokus pada kualitas produk, bukan malah tersita energi untuk urusan administratif yang bertele-tele.</t>
  </si>
  <si>
    <t>Dukungan dari kampus di Gorontalo juga bermanfaat sekali. Ada banyak riset dan pendampingan dari mahasiswa maupun dosen yang bisa membantu menguji kualitas bahan, memberi masukan teknis, bahkan mendampingi saat pengurusan sertifikasi. Kolaborasi ini membuat pelaku usaha herbal lebih percaya diri, karena merasa ada support dari akademisi yang bisa memperkuat posisi produk di mata konsumen.</t>
  </si>
  <si>
    <t>Abdul Karim Taha</t>
  </si>
  <si>
    <t>Proses ngurus sertifikasi halal itu lumayan panjang dan melelahkan. Banyak tahap yang harus dilewati, mulai dari kumpul dokumen, cek bahan, sampai verifikasi. Semua itu bikin saya sering capek, karena di satu sisi harus tetap urus usaha sehari-hari, di sisi lain tenaga habis buat ngurusin berkas dan persyaratan. Rasanya kayak energi kebagi dua, jadi jalannya lambat.</t>
  </si>
  <si>
    <t>Yang paling membantu sebenarnya komunikasi petugas. Kalau petugas bisa kasih arahan jelas, step by step, urusan jadi lancar dan cepat selesai. Kita tidak bingung harus mulai dari mana atau takut salah langkah. Tapi kalau komunikasinya setengah-setengah, proses bisa tersendat dan malah bikin tambah capek.</t>
  </si>
  <si>
    <t>Di luar itu, permintaan konsumen juga jadi pendorong utama. Sekarang banyak orang yang lebih percaya sama produk halal, bahkan ada yang tanya dulu sertifikatnya sebelum beli. Itu jadi semacam dorongan tambahan buat saya, walaupun proses ribet, tetap semangat karena tahu hasil akhirnya bikin produk lebih dipercaya dan diminati pasar.</t>
  </si>
  <si>
    <t>Fatimah Bune</t>
  </si>
  <si>
    <t>Dokumen yang diminta terlalu banyak, bikin ribet.</t>
  </si>
  <si>
    <t>Struktur birokrasi menentukan cepat lambatnya.</t>
  </si>
  <si>
    <t>Dukungan keluarga jadi penyemangat utama.</t>
  </si>
  <si>
    <t>M. Rizal Lamusu</t>
  </si>
  <si>
    <t>Barista Kafe</t>
  </si>
  <si>
    <t>Ngurus dokumen halal untuk produk kopi kecil itu ribet banget rasanya. Banyak sekali syarat yang harus dilengkapi, mulai dari asal bahan, cara pengolahan, sampai bukti kebersihan tempat produksi. Buat usaha kecil yang dikerjakan seadanya, persyaratan ini kadang bikin kewalahan. Apalagi kalau harus bolak-balik urus berkas, waktu dan tenaga jadi terpakai banyak, padahal fokus utama mestinya di racik kopi dan melayani pelanggan.</t>
  </si>
  <si>
    <t>Disposisi petugas sangat berpengaruh. Kalau petugas ramah, sabar, dan mau membantu menjelaskan aturan, proses jadi jauh lebih ringan. Kita sebagai pelaku usaha juga merasa lebih tenang dan percaya diri ngikutin prosedur. Sebaliknya, kalau petugas kaku atau kurang komunikatif, malah bikin bingung dan proses jadi makin panjang.</t>
  </si>
  <si>
    <t>Permintaan anak muda sekarang juga jadi pendorong semangat. Tren ngopi makin besar, dan banyak anak muda yang lebih pilih produk halal karena dianggap lebih aman dan bisa dipercaya. Jadi walaupun ribet ngurus dokumen, semangat tetap ada karena tahu ke depan kopi halal bisa lebih diterima dan makin laku di pasaran.</t>
  </si>
  <si>
    <t>Minuman Kopi</t>
  </si>
  <si>
    <t>Nurhayati Diu</t>
  </si>
  <si>
    <t>Pengusaha Kosmetik</t>
  </si>
  <si>
    <t>Ngurus sertifikasi halal untuk kosmetik itu tantangan terbesarnya cari info aturan detail. Susah sekali dapat penjelasan yang lengkap, seringnya infonya sepotong-sepotong atau malah beda-beda antara satu sumber dengan sumber lain. Akhirnya bikin bingung harus mulai dari mana dan dokumen apa yang sebenarnya paling penting. Buat UMKM kecil, ini bikin proses terasa lebih ribet karena selain urus produksi, masih harus habiskan banyak waktu hanya untuk mencari kepastian aturan.</t>
  </si>
  <si>
    <t>Komunikasi dari instansi yang berwenang jadi kunci. Kalau jalur komunikasinya jelas, petugas gampang ditemui, dan arahan yang diberikan runtut, proses bisa lebih cepat dan tidak bikin bingung. Tapi kalau komunikasi tidak transparan atau berbelit-belit, pelaku usaha sering terjebak bolak-balik mengurus dokumen yang sama.</t>
  </si>
  <si>
    <t xml:space="preserve">Tren pasar sekarang juga semakin mendorong pentingnya label halal. Konsumen makin peduli, terutama generasi muda yang lebih selektif memilih kosmetik. Banyak yang hanya mau beli produk kalau sudah ada logo halal. </t>
  </si>
  <si>
    <t>Jamaludin Monoarfa</t>
  </si>
  <si>
    <t>Pemilik Resto Ikan Bakar</t>
  </si>
  <si>
    <t>Buat restoran, ngurus sertifikasi halal itu memang terasa berat. Dokumen yang harus disiapkan banyak sekali, mulai dari bahan baku, catatan proses masak, sampai standar kebersihan dapur. Semua diminta lengkap, jadi sering bikin capek karena harus bolak-balik urus berkas sambil tetap jalankan operasional harian restoran. Rasanya waktu habis untuk administrasi, padahal tenaga juga sudah terkuras untuk melayani pelanggan setiap hari</t>
  </si>
  <si>
    <t>Struktur birokrasi yang jelas jadi hal paling penting. Kalau alurnya rapi dan step-nya terang dari awal, pengusaha tinggal ikuti prosedur tanpa takut salah. Tapi kalau birokrasi berbelit dan aturan tidak konsisten, proses malah jadi lama. Jadi, kejelasan birokrasi memang benar-benar menentukan lancar tidaknya sertifikasi halal.</t>
  </si>
  <si>
    <t>Dukungan dari pemerintah lokal juga sangat membantu. Lewat sosialisasi, pendampingan, atau panduan teknis, pengusaha restoran jadi lebih terbantu dalam melengkapi syarat. Bahkan kadang pemerintah daerah bisa jadi penghubung antara UMKM dan lembaga sertifikasi, jadi proses terasa lebih ringan. Dukungan ini bikin pelaku usaha merasa diperhatikan dan lebih semangat untuk menyelesaikan sertifikasi halal.</t>
  </si>
  <si>
    <t>Siti Hawa Mooduto</t>
  </si>
  <si>
    <t>Produsen Minuman Jahe</t>
  </si>
  <si>
    <t>Buat UMKM kecil, aturan sertifikasi halal sering kali terasa terlalu banyak dan ribet. Kadang aturannya berubah-ubah, penjelasannya pun tidak selalu sama antara satu petugas dengan yang lain. Hal ini bikin kita bingung, mana yang harus lebih dulu dipenuhi, dan mana yang sebenarnya wajib. Alhasil, proses jadi makan waktu dan bikin energi terkuras, padahal usaha sehari-hari juga tetap harus jalan.</t>
  </si>
  <si>
    <t>SDM di kantor sertifikasi betul-betul jadi penentu cepat lambatnya proses. Kalau mereka paham teknis dan bisa kasih arahan jelas, urusan bisa selesai lebih cepat tanpa bikin kita bolak-balik. Tapi kalau petugasnya kurang menguasai detail aturan, justru bikin pengusaha kecil makin bingung. Jadi kompetensi dan pelayanan SDM sangat berpengaruh pada kelancaran sertifikasi.</t>
  </si>
  <si>
    <t>Sekarang promosi digital juga punya peran besar. Dengan makin banyaknya konsumen yang aktif di media sosial, kesadaran soal halal jadi ikut meningkat. Konsumen lebih percaya pada produk yang punya label halal, dan ini bikin UMKM makin semangat untuk urus sertifikasi. Jadi, meskipun prosesnya ribet, adanya peluang promosi digital bikin usaha kecil merasa perjuangan itu sepadan.</t>
  </si>
  <si>
    <t>Ramli Katili</t>
  </si>
  <si>
    <t>Pengrajin Abon Ikan</t>
  </si>
  <si>
    <t>Ngurus dokumen halal itu ribet banget rasanya. Banyak sekali berkas yang harus dilengkapi, mulai dari data bahan sampai proses produksi. Karena terlalu banyak syarat, prosesnya jadi lama dan sering bikin capek. Buat usaha kecil, ini cukup menguras tenaga karena waktu yang seharusnya dipakai untuk jualan malah habis buat urus administrasi.</t>
  </si>
  <si>
    <t>Struktur birokrasi yang jelas jadi sangat penting. Kalau alurnya rapi dan langkah-langkahnya dijelaskan dari awal, kita bisa cepat selesaikan proses tanpa bingung. Tapi kalau birokrasi berbelit, kita malah bolak-balik hanya untuk hal kecil. Jadi, kejelasan aturan benar-benar jadi kunci kelancaran.</t>
  </si>
  <si>
    <t>Untung ada dukungan komunitas lokal. Sesama pelaku usaha sering berbagi pengalaman, kasih tips, dan saling bantu saat ada kesulitan. Dengan adanya support seperti ini, beban terasa lebih ringan. Setidaknya kita tidak merasa berjuang sendirian menghadapi ribetnya sertifikasi halal.</t>
  </si>
  <si>
    <t>Maya Lahay</t>
  </si>
  <si>
    <t>Aturan untuk produk skincare sering berubah-ubah, dan itu bikin bingung sekali. Hari ini ada syarat baru, besok sudah ada tambahan lagi. Buat UMKM kecil yang modalnya terbatas, harus menyesuaikan terus dengan aturan ini rasanya berat. Apalagi informasi detailnya kadang tidak sampai jelas ke pelaku usaha, jadi kita sering ragu apakah langkah yang diambil sudah benar atau belum. Hal ini bikin proses sertifikasi halal jadi lebih lama dan melelahkan.</t>
  </si>
  <si>
    <t>Disposisi petugas sangat berpengaruh. Kalau ada petugas yang ramah, sabar, dan mau membantu menjelaskan aturan dengan bahasa sederhana, proses jadi jauh lebih ringan. Kita tidak takut salah langkah dan bisa lebih cepat melengkapi dokumen. Tapi kalau petugasnya kaku dan kurang komunikatif, justru bikin kita makin bingung di tengah aturan yang sudah rumit.</t>
  </si>
  <si>
    <t>Permintaan pasar luar negeri sekarang juga jadi dorongan semangat yang besar. Konsumen internasional makin peduli soal halal, terutama untuk produk skincare. Jadi meskipun capek urus sertifikasi, ada motivasi tambahan karena tahu kalau produk sudah punya label halal, peluang ekspor dan pasar yang lebih luas akan terbuka.</t>
  </si>
  <si>
    <t>Yusuf Paguci</t>
  </si>
  <si>
    <t>Ngurus sertifikasi halal untuk usaha kecil kayak angkringan itu ribet banget. Banyak dokumen yang harus disiapkan, dari bahan baku, proses masak, sampai standar kebersihan. Padahal usaha angkringan kan jalannya sederhana saja, tapi syaratnya terasa berat. Kadang bikin pusing karena waktunya habis buat urus berkas, sementara angkringan tetap harus buka setiap hari.</t>
  </si>
  <si>
    <t>Birokrasi yang jelas sangat menentukan. Kalau alurnya rapi, kita tinggal ikuti langkah-langkahnya dan urusan bisa cepat selesai. Tapi kalau prosedurnya berbelit atau informasinya simpang siur, malah bikin tambah lama. Jadi kejelasan birokrasi betul-betul jadi kunci supaya pelaku usaha kecil seperti angkringan bisa lancar urus halal.</t>
  </si>
  <si>
    <t>Untungnya ada komunitas pedagang angkringan yang sering berbagi informasi. Dari mereka kita bisa dapat pengalaman, tips, bahkan solusi praktis biar nggak salah langkah. Dengan adanya komunitas, proses yang awalnya terasa berat jadi lebih ringan, karena kita merasa tidak sendirian menghadapi ribetnya pengurusan halal.</t>
  </si>
  <si>
    <t>Rina Hulalata</t>
  </si>
  <si>
    <t>Produk bodycare lokal itu susah sekali diakui resmi. Padahal kualitasnya bagus dan banyak peminat, tapi begitu masuk ke urusan sertifikasi halal, syaratnya ribet dan berat untuk usaha kecil. Mulai dari dokumen bahan, proses produksi, sampai standar teknis yang detail banget. Buat UMKM, hal ini jadi tantangan besar karena keterbatasan biaya dan tenaga. Akhirnya banyak yang merasa jalannya terhambat hanya gara-gara urusan administratif.</t>
  </si>
  <si>
    <t>Kalau struktur birokrasi dibuat sederhana, itu akan sangat membantu. Alur yang jelas dan singkat bisa bikin pelaku usaha cepat melengkapi syarat tanpa harus bolak-balik. Birokrasi yang rapi bukan hanya bikin efisien, tapi juga bikin pengusaha kecil lebih semangat karena tidak terjebak di aturan yang berbelit.</t>
  </si>
  <si>
    <t>Dukungan dari kampus di Gorontalo juga sangat berarti. Banyak dosen dan mahasiswa yang bisa bantu lewat riset, uji laboratorium, atau sekadar pendampingan teknis. Kolaborasi ini bikin pelaku UMKM bodycare merasa lebih percaya diri, karena ada pihak akademisi yang bisa menguatkan kualitas produk di mata konsumen maupun regulator.</t>
  </si>
  <si>
    <t>Fatimah somba</t>
  </si>
  <si>
    <t xml:space="preserve">Produsen </t>
  </si>
  <si>
    <t xml:space="preserve">Mamuju tengah </t>
  </si>
  <si>
    <t>Info aturan halal minim</t>
  </si>
  <si>
    <t>Disposisi petugas ramah</t>
  </si>
  <si>
    <t>Tren pasar halal</t>
  </si>
  <si>
    <t xml:space="preserve">Sulawesi Barat </t>
  </si>
  <si>
    <t>Skincare lokal</t>
  </si>
  <si>
    <t>Syahrul tappalang</t>
  </si>
  <si>
    <t>Produsen</t>
  </si>
  <si>
    <t>Mamasa</t>
  </si>
  <si>
    <t>Ngurus sertifikasi halal itu lumayan makan waktu, kadang bikin usaha jadi ketunda. Kita yang mau fokus jualan malah harus bolak-balik ngurusin administrasi. Rasanya capek juga, apalagi kalau usaha masih kecil yang butuh jalan terus tiap hari.</t>
  </si>
  <si>
    <t>Kalau birokrasi dibuat ringkas dan jelas, pasti lebih gampang. Jadi nggak perlu ribet tanya sana-sini. Kalau alurnya jelas, kita juga bisa hemat waktu dan tenaga, bisa balik lagi fokus ke produksi sama jualan.</t>
  </si>
  <si>
    <t>Untungnya ada teman-teman sesama UMKM yang sering sharing pengalaman. Dari ngobrol santai aja kadang dapat info penting yang bikin urusan jadi lebih ringan. Jadi meski ribet, rasanya nggak sendirian, ada dukungan bareng-bareng</t>
  </si>
  <si>
    <t>Sulawesi barat</t>
  </si>
  <si>
    <t>Produk herbal</t>
  </si>
  <si>
    <t xml:space="preserve">Yuliana pamboang </t>
  </si>
  <si>
    <t xml:space="preserve">Pemilik usaha </t>
  </si>
  <si>
    <t xml:space="preserve">Polewali mandar </t>
  </si>
  <si>
    <t>Sekarang ini permintaan pasar buat produk halal makin tinggi. Jadi sebagai pelaku usaha, kita harus cepat menyesuaikan biar nggak ketinggalan. Kadang rasanya lumayan berat, soalnya bukan cuma fokus produksi aja, tapi juga mikirin gimana caranya produk kita bisa lolos standar halal yang diminta. Kalau nggak segera ikuti, takutnya malah kehilangan konsumen yang sekarang makin peduli sama label halal.</t>
  </si>
  <si>
    <t>Makanya, pendampingan dari instansi itu jadi hal yang sangat penting. Kalau ada arahan yang jelas, step by step, kita nggak gampang bingung. Apalagi kalau ada sosialisasi yang langsung nyentuh UMKM kecil, pasti lebih terasa manfaatnya.</t>
  </si>
  <si>
    <t xml:space="preserve">Produk bodycare </t>
  </si>
  <si>
    <t xml:space="preserve">Abdul Karim Polewali </t>
  </si>
  <si>
    <t xml:space="preserve">Mamuju </t>
  </si>
  <si>
    <t>Selama ini produk jamu sering banget diperlakukan sama kayak obat modern. Padahal jelas beda, baik dari bahan, cara produksi, sampai fungsi utamanya. Akibatnya, aturan yang dipakai kadang bikin ribet dan nggak pas sama kondisi usaha jamu tradisional. Buat pelaku UMKM jamu, hal ini jadi tantangan besar karena malah terasa kayak dipaksa ikut aturan yang bukan tempatnya.</t>
  </si>
  <si>
    <t>Makanya, pemahaman teknis dari pejabat itu penting banget. Kalau mereka benar-benar ngerti perbedaan antara jamu dan obat modern, pasti aturan bisa lebih sesuai. Jadi kita sebagai pelaku usaha nggak perlu bolak-balik atau kebingungan menyesuaikan hal yang sebenarnya nggak relevan.</t>
  </si>
  <si>
    <t>arahan dari asosiasi jamu juga sangat membantu. Biasanya asosiasi punya pengalaman dan informasi lebih lengkap soal cara menghadapi regulasi. Dengan adanya pendampingan dan arahan itu, kita jadi lebih percaya diri menjalani proses halal, sekaligus tetap menjaga identitas jamu sebagai warisan tradisi.</t>
  </si>
  <si>
    <t xml:space="preserve">Jamu tradisional </t>
  </si>
  <si>
    <t xml:space="preserve">Siti Maryam majene </t>
  </si>
  <si>
    <t>Biaya sertifikasi halal lumayan berat buat usaha kecil. Kadang jadi mikir dua kali karena modal usaha juga masih pas-pasan.</t>
  </si>
  <si>
    <t>Kalau ada birokrasi yang jelas dan transparan, setidaknya kita tahu rincian biaya dari awal, jadi bisa disiapkan dengan baik.</t>
  </si>
  <si>
    <t>Komunitas pedagang juga sering bantu kasih info soal subsidi atau program bantuan, jadi lumayan meringankan beban.</t>
  </si>
  <si>
    <t xml:space="preserve">Angkringan </t>
  </si>
  <si>
    <t xml:space="preserve">Jamaluddin Balanipa </t>
  </si>
  <si>
    <t>Majene</t>
  </si>
  <si>
    <t>Persaingan usaha makin ketat, apalagi dengan masuknya produk-produk besar yang sudah punya modal kuat. UMKM kecil sering kesulitan bersaing, baik dari sisi harga maupun kualitas kemasan.</t>
  </si>
  <si>
    <t>Inovasi produk jadi kunci utama. Kalau pelaku UMKM bisa terus berkreasi, misalnya bikin varian rasa baru, memperbaiki kemasan, atau menambahkan nilai unik dari lokalitas daerah, itu bisa jadi daya tarik yang bikin konsumen tetap memilih produk mereka.</t>
  </si>
  <si>
    <t>Dukungan komunitas dan jejaring juga sangat berperan. Dengan adanya kerja sama antar pelaku UMKM, misalnya lewat koperasi atau komunitas usaha, mereka bisa saling promosi, tukar pengalaman, bahkan bantu pemasaran bareng. Hal ini bikin UMKM lebih kuat menghadapi tantangan pasar.</t>
  </si>
  <si>
    <t xml:space="preserve">Restoran ikan </t>
  </si>
  <si>
    <t>Andi Rahmat Setiawan</t>
  </si>
  <si>
    <t>Mamuju</t>
  </si>
  <si>
    <t>Proses ngurus sertifikasi halal itu memang terasa cukup ribet dan makan waktu lama. Banyak dokumen yang harus disiapkan, sementara kita juga harus tetap fokus jalankan usaha sehari-hari. Buat pelaku usaha kecil, ini sering jadi beban tambahan karena tenaga dan waktu harus terbagi dua.</t>
  </si>
  <si>
    <t>Struktur birokrasi yang jelas sangat membantu supaya urusan tidak makin panjang. Kalau alurnya rapi dan langkah-langkahnya terang dari awal, kita bisa langsung ikuti tanpa bingung. Dengan begitu, proses jadi lebih cepat dan tidak terlalu melelahkan.</t>
  </si>
  <si>
    <t>Dukungan komunitas kopi lokal juga jadi penyemangat besar. Dari komunitas, kita bisa saling berbagi pengalaman, tukar informasi soal syarat atau prosedur, bahkan saling motivasi. Jadi walaupun prosesnya lama, terasa lebih ringan karena ada teman seperjuangan.</t>
  </si>
  <si>
    <t>Sulawesi Barat</t>
  </si>
  <si>
    <t>Nur Aisyah</t>
  </si>
  <si>
    <t>Produsen Kue</t>
  </si>
  <si>
    <t>Polewali Mandar</t>
  </si>
  <si>
    <t>Buat usaha kecil, ini lumayan berat karena harus meluangkan waktu khusus hanya untuk berkas, padahal kegiatan usaha jalan terus tiap hari.</t>
  </si>
  <si>
    <t xml:space="preserve">Komunikasi dari instansi sangat dibutuhkan. Kalau pihak yang berwenang bisa kasih arahan jelas dan konsisten, proses jadi lebih lancar. </t>
  </si>
  <si>
    <t>Support keluarga ini bikin kita lebih kuat dan nggak gampang menyerah di tengah ribetnya proses sertifikasi halal.</t>
  </si>
  <si>
    <t>Kue Basah</t>
  </si>
  <si>
    <t>Muhammad Taufik</t>
  </si>
  <si>
    <t>Pemilik Resto</t>
  </si>
  <si>
    <t>Aturan soal sertifikasi halal sering berubah-ubah, dan itu bikin repot sekali untuk usaha kecil. Baru saja menyesuaikan dengan aturan lama, tiba-tiba ada syarat baru lagi. Akhirnya pelaku usaha harus bolak-balik menyesuaikan, padahal waktu dan tenaga sudah banyak habis untuk urusan harian. Kondisi ini sering bikin proses sertifikasi terasa lebih berat dari yang dibayangkan.</t>
  </si>
  <si>
    <t>Pemahaman teknis petugas jadi kunci utama. Kalau petugas benar-benar paham dan bisa jelaskan dengan jelas, kita lebih gampang ikuti prosedur tanpa salah langkah. Tapi kalau penjelasan petugas setengah-setengah, justru bikin bingung dan memperlambat proses.</t>
  </si>
  <si>
    <t>Untungnya ada asosiasi kuliner yang aktif kasih arahan dan pendampingan. Dari mereka, kita bisa dapat informasi lebih jelas, tips praktis, bahkan motivasi untuk tetap jalanin proses. Dukungan ini sangat membantu supaya pelaku usaha tidak merasa sendirian menghadapi keribetan aturan.</t>
  </si>
  <si>
    <t>Makanan Tradisional</t>
  </si>
  <si>
    <t>Febriantika</t>
  </si>
  <si>
    <t>Info soal aturan halal untuk skincare masih sangat minim. Kadang penjelasannya tidak lengkap, bahkan berbeda-beda antara satu sumber dengan sumber lain. Buat UMKM kecil, ini jelas bikin bingung karena tidak tahu dokumen apa saja yang sebenarnya harus disiapkan lebih dulu. Akibatnya, proses sering terhambat dan terasa lebih lama dari seharusnya.</t>
  </si>
  <si>
    <t>Disposisi petugas sangat menentukan kelancaran. Kalau petugas ramah, sabar, dan mau menjelaskan dengan jelas, urusan jadi lebih gampang. Kita bisa lebih percaya diri melangkah karena paham prosedur yang harus dijalani. Tapi kalau petugas kaku dan tidak komunikatif, justru bikin kita makin bingung.</t>
  </si>
  <si>
    <t>Tren pasar sekarang juga jadi pendorong kuat. Konsumen makin peduli soal halal, terutama untuk produk skincare yang dipakai setiap hari. Banyak pembeli yang hanya mau produk dengan label halal. Jadi meski ribet urusannya, motivasi tetap tinggi karena sertifikasi halal bikin produk lebih dipercaya dan lebih laku di pasaran.</t>
  </si>
  <si>
    <t>Rudi Hartono</t>
  </si>
  <si>
    <t>Mamuju Tengah</t>
  </si>
  <si>
    <t>Produk jamu tradisional sering sekali dianggap sama kayak obat modern, padahal jelas berbeda. Dari bahan, cara pembuatan, sampai penggunaannya, jamu itu lebih alami dan sederhana. Tapi saat ngurus sertifikasi halal, aturan yang dipakai kadang sama persis dengan obat modern. Itu yang bikin ribet, karena syaratnya jadi terlalu berat untuk UMKM jamu yang masih dikelola kecil-kecilan.</t>
  </si>
  <si>
    <t>Struktur birokrasi yang jelas bisa sangat membantu. Kalau alurnya rapi, dokumen yang dibutuhkan jelas dari awal, dan prosesnya tidak berbelit, pelaku usaha bisa lebih cepat menyelesaikan pengurusan halal. Tapi kalau prosedurnya tidak konsisten, justru bikin pelaku UMKM kebingungan dan kehilangan banyak waktu.</t>
  </si>
  <si>
    <t>Untungnya ada asosiasi jamu nasional yang aktif mendampingi. Mereka sering kasih arahan, edukasi, bahkan motivasi untuk para pelaku UMKM. Dukungan ini bikin pengusaha jamu jadi lebih percaya diri, karena merasa tidak sendirian menghadapi aturan yang rumit.</t>
  </si>
  <si>
    <t>Ngurus pengakuan resmi untuk produk herbal itu susah sekali. Banyak syarat teknis yang harus dipenuhi, sementara kemampuan UMKM kecil sering terbatas. Mulai dari uji laboratorium, dokumen bahan baku, sampai standar produksi yang detail banget. Padahal produk herbal biasanya dibuat lebih sederhana. Hal inilah yang bikin proses pengakuan terasa berat dan sering menguras waktu maupun biaya.</t>
  </si>
  <si>
    <t>Pemahaman pejabat soal teknis jadi sangat penting. Kalau pejabat paham karakter produk herbal, mereka bisa kasih arahan yang lebih tepat dan tidak memberatkan. Tapi kalau kurang paham, aturan yang keluar bisa salah kaprah, dan justru bikin proses makin lama. Jadi, kualitas pemahaman teknis dari petugas memang jadi penentu utama.</t>
  </si>
  <si>
    <t>Selain itu, dukungan dari kampus juga sangat membantu. Melalui riset dan pendampingan, pihak akademisi bisa membantu uji bahan, memberi masukan teknis, bahkan jadi partner kolaborasi untuk meningkatkan kualitas produk. Dengan adanya dukungan ini, pelaku usaha herbal merasa lebih percaya diri, karena ada pihak yang bisa memperkuat posisi produk di mata konsumen maupun regulator.</t>
  </si>
  <si>
    <t>Syamsul Bahri</t>
  </si>
  <si>
    <t>Urusan dokumen halal itu ribet sekali ji. Banyak berkas yang harus dilengkapi, mulai dari bahan baku, alur penyajian, sampai catatan kebersihan. Buat kafe kecil, ini cukup bikin repot karena waktu habis untuk urusan administrasi, padahal usaha tetap harus jalan. Jadi sering kali terasa melelahkan karena harus bagi tenaga antara melayani pelanggan dan ngurus dokumen.</t>
  </si>
  <si>
    <t>Birokrasi yang jelas sangat membantu supaya urusan cepat selesai. Kalau alurnya rapi, langkah-langkahnya jelas dari awal, dan tidak ada aturan yang tiba-tiba berubah, kita sebagai pelaku usaha bisa lebih mudah mengikuti. Dengan begitu, proses jadi lancar tanpa harus bolak</t>
  </si>
  <si>
    <t>Komunitas kafe juga jadi tempat sharing yang bermanfaat. Dari sana kita bisa tukar pengalaman, dapat tips praktis, sampai saling memberi semangat. Jadi walaupun ribet, rasanya lebih ringan karena ada dukungan dari sesama pelaku usaha.</t>
  </si>
  <si>
    <t>Fitriani Puspita</t>
  </si>
  <si>
    <t>Aturan soal sertifikasi halal sering bikin bingung UMKM kecil. Banyak istilah teknis yang susah dipahami, ditambah lagi syaratnya tidak selalu dijelaskan dengan jelas. Kadang kita harus bolak-balik cari tahu dulu sebelum bisa lengkapi dokumen. Buat usaha kecil, ini jelas bikin repot karena waktu dan tenaga yang terbatas malah habis di urusan administrasi.</t>
  </si>
  <si>
    <t>Sumber daya di instansi yang ngurus sertifikasi jadi kunci utama. Kalau petugasnya paham dan kompeten, urusan bisa lebih cepat selesai. Mereka bisa kasih arahan yang jelas sehingga UMKM tidak tersesat di tengah prosedur yang panjang. Tapi kalau SDM-nya kurang menguasai teknis, justru bikin proses makin lama.</t>
  </si>
  <si>
    <t>Permintaan konsumen luar negeri sekarang juga jadi motivasi tambahan. Banyak pasar internasional yang lebih percaya pada produk dengan label halal. Jadi meski ribet urusannya, pelaku UMKM tetap semangat, karena tahu ada peluang besar untuk menembus pasar yang lebih luas setelah sertifikasi halal selesai</t>
  </si>
  <si>
    <t>Herman Yusuf</t>
  </si>
  <si>
    <t>Proses ngurus halal itu lumayan panjang. Banyak langkah yang harus dijalani, mulai dari kumpulin dokumen, cek bahan, sampai verifikasi. Buat usaha kecil, ini sering terasa berat karena harus bagi waktu antara urus usaha sehari-hari dan ngurus sertifikasi. Kadang rasanya tenaga habis hanya untuk administrasi.</t>
  </si>
  <si>
    <t>Komunikasi dari petugas instansi itu sangat penting. Kalau petugas bisa jelasin dengan jelas dan gampang dimengerti, proses jadi lebih lancar. Kita tidak bingung harus mulai dari mana dan apa saja yang perlu disiapkan. Tapi kalau infonya setengah-setengah, malah bikin tambah ribet.</t>
  </si>
  <si>
    <t>Dukungan dari komunitas pedagang juga sangat membantu. Dengan saling berbagi info, tips, dan pengalaman, beban jadi terasa lebih ringan. Kita jadi tahu cara yang lebih praktis dan merasa tidak sendirian menghadapi ribetnya urusan halal.</t>
  </si>
  <si>
    <t>Olivia Handayani</t>
  </si>
  <si>
    <t>Ngurus sertifikasi halal butuh banyak sekali dokumen yang harus disiapkan. Mulai dari daftar bahan baku, proses produksi, sampai catatan kebersihan. Buat usaha kecil, ini sering terasa berat karena waktu yang seharusnya dipakai untuk jualan malah habis di urusan kertas dan administrasi.</t>
  </si>
  <si>
    <t>Struktur birokrasi jadi penentu cepat atau lambatnya proses. Kalau alurnya jelas dan langkah-langkahnya rapi, pelaku usaha bisa lebih mudah ngikutin. Tapi kalau berbelit-belit, proses bisa molor dan bikin capek.</t>
  </si>
  <si>
    <t>Promosi digital juga ikut membantu. Dengan tren sekarang, konsumen jadi lebih sadar pentingnya produk halal. Label halal yang jelas bisa bikin promosi di media sosial atau marketplace lebih efektif, karena orang lebih percaya dan tertarik membeli.</t>
  </si>
  <si>
    <t>Rahmat Tandean</t>
  </si>
  <si>
    <t>Sulbar</t>
  </si>
  <si>
    <t>Proses administrasi untuk ngurus sertifikasi halal masih cukup berat. Banyak syarat yang harus dipenuhi dan dokumen yang mesti lengkap. Bagi UMKM kecil, ini jadi tantangan besar karena butuh waktu dan tenaga ekstra. Sering kali pelaku usaha jadi kewalahan, apalagi kalau harus bolak-balik hanya untuk melengkapi persyaratan.</t>
  </si>
  <si>
    <t>Struktur birokrasi yang sederhana sangat dibutuhkan. Kalau alurnya jelas dan tidak berbelit, pelaku UMKM bisa lebih cepat mengikuti prosesnya. Dengan begitu, waktu yang dipakai tidak terlalu banyak habis hanya untuk urusan administrasi.</t>
  </si>
  <si>
    <t>Dukungan komunitas UMKM lokal juga sangat membantu. Sesama pelaku usaha bisa saling berbagi pengalaman, kasih tips, bahkan jadi tempat curhat saat menghadapi kesulitan. Adanya dukungan ini bikin beban terasa lebih ringan dan pelaku usaha lebih semangat untuk menyelesaikan sertifikasi halal.</t>
  </si>
  <si>
    <t>Kuliner kue basah</t>
  </si>
  <si>
    <t>Hasan Kalibbo</t>
  </si>
  <si>
    <t>Kalo mo jujur, biaya sertifikasi halal itu terasa berat sekali bagi usaha kecil kayak torang di sini. Modal usaha saja sudah pas-pasan, jadi pas ditambah biaya sertifikasi, rasanya jadi beban tambahan yang bikin pusing. Kadang torang berpikir, usaha masih kecil, tapi kenapa aturannya sama beratnya kayak usaha besar. Itu yang bikin banyak teman-teman UMKM agak mundur-mundur untuk ngurus halal.</t>
  </si>
  <si>
    <t>Makanya, kalo ada subsidi biaya dari pemerintah, itu torang rasa sangat membantu. Dengan subsidi, torang bisa lebih lega karena pengeluaran jadi berkurang. Bukan cuma soal uang, tapi juga bikin semangat torang tambah kuat untuk ikut aturan halal. Pemerintah yang turun tangan langsung kasih bantuan ini, artinya mereka benar-benar perhatikan nasib UMKM kecil di daerah.</t>
  </si>
  <si>
    <t>Dukungan dari koperasi lokal juga sangat meringankan. Biasanya koperasi bantu torang dengan cara urunan informasi, ada juga yang bantu urus bareng-bareng, jadi prosesnya lebih ringan. Bahkan kadang koperasi kasih pinjaman kecil-kecilan khusus untuk biaya sertifikasi, jadi torang bisa bayar dulu tanpa harus tunggu usaha besar. Jadi memang kebersamaan di tingkat lokal itu terasa sekali bantuannya, bukan cuma soal uang, tapi juga rasa saling topang antar sesama pelaku usaha.</t>
  </si>
  <si>
    <t>Nuraini Mandar</t>
  </si>
  <si>
    <t>Manajer</t>
  </si>
  <si>
    <t>Proses ngurus sertifikasi halal itu sering kali makan waktu lama. Mulai dari persyaratan yang harus dipenuhi, jadwal pemeriksaan, sampai tahap verifikasi, semuanya bikin usaha kecil jadi agak tertahan. Buat pelaku UMKM yang sehari-harinya sibuk produksi dan jualan, urusan panjang begini terasa berat karena menyita waktu dan energi.</t>
  </si>
  <si>
    <t>Efisiensi birokrasi itu jadi kunci utama. Kalau alurnya jelas, tidak terlalu berbelit, dan setiap tahapan bisa dilakukan dengan cepat, tentu pelaku usaha bisa lebih fokus ke pengembangan produk. Apalagi kalau ada sistem online yang benar-benar efektif, tentu jauh lebih membantu daripada harus bolak-balik ke kantor instansi.</t>
  </si>
  <si>
    <t>Pendampingan dari komunitas UMKM juga sangat terasa manfaatnya. Lewat komunitas, pelaku usaha bisa saling berbagi pengalaman, tukar informasi, bahkan sama-sama belajar tentang cara memenuhi standar halal. Dengan dukungan semacam ini, perjalanan mengurus sertifikasi halal jadi tidak terasa sendirian, lebih ringan, dan lebih lancar.</t>
  </si>
  <si>
    <t>Ridwan Sattaloppo</t>
  </si>
  <si>
    <t>Sosialisasi aturan halal sampai sekarang masih terasa minim. Banyak pelaku UMKM yang belum benar-benar paham langkah apa saja yang harus ditempuh, dokumen apa yang penting, dan prosedur seperti apa yang berlaku. Akibatnya, banyak yang bingung dan ragu untuk mulai mengurus, karena takut salah langkah atau merasa prosesnya ribet.</t>
  </si>
  <si>
    <t>Edukasi yang jelas dari instansi terkait sangat menentukan. Kalau pihak berwenang bisa rutin turun langsung ke daerah, bikin sosialisasi sederhana, atau kasih panduan praktis yang gampang dipahami, tentu pelaku UMKM akan lebih percaya diri. Bukan hanya soal aturan teknis, tapi juga penjelasan kenapa sertifikasi halal itu penting buat usaha kecil.</t>
  </si>
  <si>
    <t>Informasi dari media sosial ternyata juga sangat membantu. Banyak UMKM belajar dari postingan, webinar online, atau sharing pengalaman dari pelaku usaha lain. Media sosial jadi sarana cepat untuk berbagi info, apalagi buat pelaku usaha di daerah yang jarang ketemu langsung dengan pejabat atau instansi. Dari situ, mereka bisa dapat gambaran lebih jelas tanpa harus nunggu sosialisasi resmi. pemerintah daerah.</t>
  </si>
  <si>
    <t>Yosefina Tefa</t>
  </si>
  <si>
    <t>Kota Kupang</t>
  </si>
  <si>
    <t>Susah sekali dapat informasi yang jelas soal aturan halal, apalagi untuk usaha warung makan kecil. Kadang infonya simpang siur, dari satu petugas beda penjelasan, bikin bingung dan akhirnya proses jadi molor. Padahal usaha jalan terus, jadi kalau urusan halal lama beresnya, itu cukup mengganggu aktivitas harian.</t>
  </si>
  <si>
    <t>Menurut saya, yang paling menentukan itu struktur birokrasi yang sederhana dan jelas. Kalau alurnya ditata rapi, step by step-nya transparan, saya bisa urus sertifikasi halal tanpa harus bolak-balik kantor. Jadi tidak terlalu mengganggu usaha dan lebih hemat tenaga juga.</t>
  </si>
  <si>
    <t>Dukungan teman-teman sesama pedagang di Kupang juga sangat membantu. Kami sering saling berbagi pengalaman, kasih tahu cara paling praktis, bahkan kadang ada yang bantu cek dokumen. Rasa kebersamaan itu bikin proses terasa lebih ringan, meskipun aturannya kadang bikin pusing.</t>
  </si>
  <si>
    <t>Nusa Tenggara Timur</t>
  </si>
  <si>
    <t>Dominggus Bere</t>
  </si>
  <si>
    <t>Kab. Belu</t>
  </si>
  <si>
    <t>Ngurus sertifikasi halal untuk kafe itu lumayan ribet, karena dokumen yang diminta banyak banget. Kadang harus bolak-balik urus ke instansi, bikin waktu untuk ngurus usaha jadi kepotong.</t>
  </si>
  <si>
    <t>Bagi saya, disposisi petugas jadi kunci. Kalau petugasnya ramah dan mau jelasin dengan bahasa yang gampang, proses terasa jauh lebih ringan dan jelas arahnya.</t>
  </si>
  <si>
    <t>Komunitas kafe di Kupang juga bantu banget, karena sering ada sharing pengalaman dan trik praktis biar nggak terlalu repot.</t>
  </si>
  <si>
    <t>Maria Nona</t>
  </si>
  <si>
    <t>Pengusaha Kue Basah</t>
  </si>
  <si>
    <t>Kab. Sikka</t>
  </si>
  <si>
    <t>Restoran mungkin ribet, tapi toko kue tradisional juga nggak kalah pusing. Dokumen halal yang diminta lumayan banyak, apalagi kalau usaha kecil kayak kami. Rasanya prosesnya panjang dan melelahkan.</t>
  </si>
  <si>
    <t>Buat saya, yang paling penting itu edukasi jelas dari instansi. Kalau sosialisasi lebih sering dilakukan, pasti pelaku usaha nggak terlalu bingung.</t>
  </si>
  <si>
    <t>Dukungan keluarga juga besar sekali artinya, karena mereka yang bantu tenaga maupun semangat selama proses pengurusan halal.</t>
  </si>
  <si>
    <t>Kuliner/Kue</t>
  </si>
  <si>
    <t>Markus Talo</t>
  </si>
  <si>
    <t>Barista &amp; Pemilik Kafe</t>
  </si>
  <si>
    <t>Urus sertifikasi halal untuk usaha kopi kecil ini aduh ribet sekali, jalurnya panjang betul. Kita pelaku usaha jadi sering bolak-balik kantor, padahal waktu itu harusnya bisa dipakai urus usaha. Kadang sampai rasa malas datang karena prosedurnya bikin kepala pusing.</t>
  </si>
  <si>
    <t>Struktur birokrasi itu penentu utama. Kalau alurnya jelas dan nggak berbelit, kita bisa cepat selesai. Tapi kalau berliku-liku, waktu dan tenaga banyak terbuang. Bagi usaha kecil seperti kami, setiap jam itu berharga.</t>
  </si>
  <si>
    <t>Untungnya ada komunitas kopi di Kupang. Sesama barista sering saling bantu kasih informasi praktis, misalnya cara isi formulir atau pengalaman mereka urus dokumen. Itu jadi penyemangat, jadi tidak merasa sendirian dalam proses yang ribet ini.</t>
  </si>
  <si>
    <t>Theresia Talan</t>
  </si>
  <si>
    <t>Kab. Ende</t>
  </si>
  <si>
    <t>Produksi skincare skala kecil di Kab. Ende ini jujur bikin bingung sekali. Aturan soal halal sering berubah-ubah, dan penjelasannya juga tidak selalu terang. Jadi kita pelaku usaha harus pintar-pintar cari informasi sendiri, kadang tanya ke teman atau cari di internet, tapi tetap saja masih banyak yang kabur.</t>
  </si>
  <si>
    <t>Menurut saya, sumber daya manusia di instansi itu kunci. Kalau petugasnya betul-betul paham soal produk kosmetik, terutama skincare, urusan bisa jauh lebih cepat. Tapi kalau mereka sendiri masih ragu, kita yang di bawah ini tambah bingung.</t>
  </si>
  <si>
    <t>Sekarang tren pasar luar negeri bikin tantangan makin besar. Konsumen di luar negeri makin kritis soal label halal, jadi kita juga dituntut lebih siap. Tapi itu juga jadi motivasi, karena kalau berhasil, produk lokal Kupang bisa punya nilai lebih dan bisa bersaing.</t>
  </si>
  <si>
    <t>Veronika Siki</t>
  </si>
  <si>
    <t>Kab. Flores Timur</t>
  </si>
  <si>
    <t>Produk bodycare lokal dari Flores Timur ini sering dianggap sebelah mata, padahal peminatnya banyak. Tantangan terbesar memang masih di pengakuan resmi dan proses halal yang kadang bikin usaha kecil merasa kurang diperhatikan. Jadi butuh kesabaran ekstra buat jalanin usaha.</t>
  </si>
  <si>
    <t>Menurut saya, dukungan pemerintah itu sangat penting. Kalau ada pelatihan atau pendampingan khusus untuk UMKM, apalagi yang lagi urus sertifikasi halal, pasti terasa banyak membantu. Kita jadi lebih paham aturan dan bisa jalan lebih cepat.</t>
  </si>
  <si>
    <t>Promosi digital juga jadi penolong besar. Walaupun status halal masih dalam proses, lewat media sosial produk saya bisa lebih dikenal banyak orang, bahkan sampai luar daerah. Itu bikin saya tetap semangat untuk terus berusaha sampai sertifikasi halal keluar.</t>
  </si>
  <si>
    <t>Adrianus Lopo</t>
  </si>
  <si>
    <t>Kab. Malaka</t>
  </si>
  <si>
    <t>Produk jamu yang saya buat sering diperlakukan sama seperti obat modern, padahal jelas berbeda dari segi bahan, cara produksi, dan juga pemakaiannya. Hal ini bikin proses pengurusan halal jadi lebih rumit, karena aturan yang dipakai seolah-olah sama dengan obat kimia. Padahal jamu itu berbasis tradisional dan punya ciri khas tersendiri.</t>
  </si>
  <si>
    <t>Menurut saya, pemahaman teknis pejabat itu benar-benar kunci. Kalau petugas sudah paham karakter produk jamu, maka penilaian bisa lebih tepat dan proses sertifikasi halal berjalan lancar. Jadi bukan hanya sekadar ikut aturan umum, tapi juga mengerti konteks lokal.</t>
  </si>
  <si>
    <t>Dukungan asosiasi jamu nasional juga besar sekali manfaatnya. Kami para pelaku usaha bisa saling belajar, berbagi pengalaman, dan saling menguatkan. Lewat asosiasi ini, banyak informasi praktis yang bisa membantu kami melangkah lebih percaya diri dalam urusan halal.</t>
  </si>
  <si>
    <t>Fransiska Nggada</t>
  </si>
  <si>
    <t>Kab. Nagekeo</t>
  </si>
  <si>
    <t>Susah sekali saya dapat informasi jelas soal aturan halal untuk produk herbal. Kebanyakan informasi yang sampai hanya potongan-potongan, jadi tidak menyeluruh.</t>
  </si>
  <si>
    <t>Menurut saya, disposisi pejabat itu sangat penting. Kalau mereka benar-benar niat membantu dan mau menjelaskan dengan bahasa sederhana, semua urusan bisa jadi lebih lancar. Beda sekali kalau petugas hanya sekadar formalitas, tentu proses jadi berbelit.</t>
  </si>
  <si>
    <t>Selain itu, dukungan dari kampus lokal lewat riset herbal juga sangat membantu usaha kecil seperti saya. Kadang mereka datang memberi penyuluhan, membawa hasil penelitian, atau sekadar berbagi wawasan tentang bagaimana produk herbal bisa ditingkatkan mutunya. Itu membuat kami pelaku usaha lebih percaya diri menghadapi proses halal.</t>
  </si>
  <si>
    <t>Melki Ndolu</t>
  </si>
  <si>
    <t>Kab. Manggarai</t>
  </si>
  <si>
    <t>Tantangan paling besar buat kafe kecil seperti saya itu soal biaya. Sertifikasi halal butuh modal tambahan, sementara pemasukan kafe kadang naik turun. Jadi, biaya tambahan ini terasa berat.</t>
  </si>
  <si>
    <t>Dukungan subsidi atau keringanan biaya dari pemerintah sangat membantu. Kalau ada potongan biaya atau bantuan khusus untuk UMKM, rasanya proses jadi lebih ringan dan saya bisa lebih fokus mengurus kualitas produk.</t>
  </si>
  <si>
    <t>Komunitas kafe di Manggarai juga punya peran penting. Kami saling berbagi informasi, ada yang kasih tips cara menghemat, bahkan ada yang sama-sama mengajukan bantuan. Jadi, meski biaya terasa berat, ada semangat bareng-bareng untuk jalan terus.</t>
  </si>
  <si>
    <t>Kornelius Laga</t>
  </si>
  <si>
    <t>Pemilik Warung</t>
  </si>
  <si>
    <t>Kab. Sumba Barat</t>
  </si>
  <si>
    <t>Buat saya, tantangan paling terasa itu biaya sertifikasi halal. Usaha kecil kayak makanan tradisional di kampung, keuntungannya nggak seberapa, jadi kalau ada biaya tambahan terasa berat sekali.</t>
  </si>
  <si>
    <t>Menurut saya, yang paling penting itu ada subsidi atau bantuan biaya dari pemerintah. Kalau ada keringanan, UMKM kecil seperti kami bisa lebih semangat urus halal tanpa takut tekor.</t>
  </si>
  <si>
    <t>Dukungan komunitas UMKM lokal juga penting. Biasanya kalau ada teman-teman sesama pelaku usaha saling berbagi pengalaman, jadi kita bisa tahu cara lebih gampang dan nggak jalan sendiri.</t>
  </si>
  <si>
    <t>Agustina Kewa</t>
  </si>
  <si>
    <t>Pengusaha Kue Kering</t>
  </si>
  <si>
    <t>Kab. Alor</t>
  </si>
  <si>
    <t>Bagi saya, tantangan terbesar justru di biaya sertifikasi halal. Untuk usaha kecil kayak kue kering, modalnya terbatas, jadi biaya tambahan kadang terasa berat.</t>
  </si>
  <si>
    <t>Kalau ada subsidi biaya dari pemerintah atau dinas terkait, pasti lebih meringankan dan bikin pelaku usaha kecil lebih berani urus halal.</t>
  </si>
  <si>
    <t>Dukungan keluarga jadi penguat, karena proses ini tidak sebentar.</t>
  </si>
  <si>
    <t>Lukas Bani</t>
  </si>
  <si>
    <t>Masalah yang saya hadapi lebih ke soal sosialisasi aturan halal. Kadang informasinya tidak lengkap atau simpang siur, jadi bikin bingung harus mulai dari mana. Buat usaha kecil, waktu itu sangat berharga, jadi kalau bolak-balik mencari info rasanya capek sekali.</t>
  </si>
  <si>
    <t>Faktor paling penting adalah edukasi yang jelas dari instansi terkait. Kalau ada petugas datang langsung atau ada pelatihan khusus, pasti lebih gampang dipahami.</t>
  </si>
  <si>
    <t>Media sosial juga jadi penolong. Meskipun tidak resmi, banyak teman sesama pelaku usaha berbagi pengalaman di grup WhatsApp atau Facebook, jadi saya bisa ikut belajar.</t>
  </si>
  <si>
    <t>Serafina Lede</t>
  </si>
  <si>
    <t>Kab. Sumba Timur</t>
  </si>
  <si>
    <t>Aturan mengenai produk skincare sering sekali berubah, dan kadang penjelasannya tidak langsung sampai dengan jelas ke pelaku UMKM. Hal ini membuat banyak pengusaha kecil merasa bingung, apalagi kalau tidak punya akses informasi resmi yang cepat. Akibatnya, proses menyesuaikan dengan aturan baru jadi lambat dan bisa menghambat jalannya usaha.</t>
  </si>
  <si>
    <t>Menurut saya, komunikasi dari petugas instansi sangat menentukan. Kalau informasi disampaikan dengan bahasa yang jelas dan mudah dimengerti, maka pelaku UMKM tidak akan salah langkah. Selain itu, komunikasi yang baik juga bikin kami merasa lebih diperhatikan dan didukung dalam menjalankan usaha.</t>
  </si>
  <si>
    <t>Workshop UMKM juga sangat membantu, karena biasanya ada sesi berbagi pengalaman dan penjelasan praktis yang jarang kami dapatkan dari aturan tertulis. Dengan adanya workshop, kami bisa belajar langsung dari ahli maupun pelaku usaha lain, sehingga pengetahuan bertambah dan lebih siap menghadapi perubahan aturan.</t>
  </si>
  <si>
    <t>Antonius Falo</t>
  </si>
  <si>
    <t>Saya merasa proses sertifikasi halal itu cukup lama dan memakan waktu, sehingga usaha kadang tertunda. Misalnya, ada rencana mau ekspansi menu atau promosi, tapi harus menunggu kelengkapan sertifikasi dulu. Buat usaha kecil, waktu sama dengan uang, jadi kalau terlalu lama, dampaknya terasa besar.</t>
  </si>
  <si>
    <t>Bagi saya, birokrasi yang sederhana adalah kunci utama. Kalau alurnya jelas, ringkas, dan tidak berbelit, tentu akan lebih mudah bagi kami.</t>
  </si>
  <si>
    <t>Saya banyak terbantu dari sharing dengan teman-teman UMKM lain. Ada yang sudah selesai sertifikasi lebih dulu, jadi saya bisa tahu jalannya tanpa harus coba-coba sendiri. Itu membuat saya sedikit lebih percaya diri untuk jalan terus.</t>
  </si>
  <si>
    <t>Kristina Bete</t>
  </si>
  <si>
    <t>Kab. Rote Ndao</t>
  </si>
  <si>
    <t>Produk bodycare lokal di sini memang sering susah sekali dapat pengakuan resmi. Kadang aturan terasa ribet dan bikin kami pelaku usaha kecil jadi mundur duluan. Padahal peminatnya banyak, tapi kalau urusan legalitas belum jelas, kadang ragu juga untuk pasarkan lebih luas.</t>
  </si>
  <si>
    <t>Kalau struktur birokrasi dibuat sederhana, pasti urusan jadi lebih cepat. Kami di NTT ini kebanyakan UMKM kecil, jadi butuh alur yang jelas dan gampang diikuti. Jangan sampai bolak-balik kantor hanya untuk satu berkas, itu yang bikin tenaga habis.</t>
  </si>
  <si>
    <t>Dukungan riset dari kampus di NTT juga sangat membantu. Misalnya ada penelitian soal bahan alami dari daerah sini, itu bisa jadi dasar ilmiah yang kuat untuk memperkuat posisi produk lokal. Dengan begitu, usaha kecil seperti kami bisa lebih percaya diri saat mengurus sertifikasi halal maupun izin edar.</t>
  </si>
  <si>
    <t>Yohanes Sanga</t>
  </si>
  <si>
    <t>Kab. Manggarai Barat</t>
  </si>
  <si>
    <t>Jujur saja, pemasaran digital itu masih jadi PR besar. Tidak semua pelaku usaha di NTT terbiasa main media sosial, apalagi kalau harus iklan berbayar. Jadinya produk kadang hanya dikenal di lingkup lokal, sulit tembus pasar lebih luas.</t>
  </si>
  <si>
    <t>Pendampingan dari instansi atau komunitas soal strategi digital marketing sangat membantu. Kalau ada pelatihan yang jelas, kita jadi lebih percaya diri buat promosi online.</t>
  </si>
  <si>
    <t>Anak-anak muda di sekitar juga jadi pendorong besar. Mereka lebih melek teknologi, sering kasih masukan dan bantu bikin konten kreatif buat produk UMKM.</t>
  </si>
  <si>
    <t>Monika Neno</t>
  </si>
  <si>
    <t>Ribet sekali kalau urus sertifikasi halal untuk produk herbal. Syaratnya banyak, prosesnya panjang, dan kadang bikin pelaku usaha kecil seperti saya jadi lelah sendiri. Apalagi kalau harus bolak-balik antar dokumen, kerjaan produksi jadi terbengkalai.</t>
  </si>
  <si>
    <t>Makanya struktur birokrasi yang sederhana itu sangat penting. Kalau alurnya jelas dan nggak berbelit-belit, kita bisa hemat waktu dan tenaga. Jadi usaha tetap bisa jalan, sambil urusan halal juga bisa selesai tanpa terlalu banyak drama.</t>
  </si>
  <si>
    <t>Untungnya sekarang ada digital marketing. Meski sertifikasi masih proses, saya bisa tetap kenalkan produk herbal ke pasar lewat media sosial. Banyak konsumen sudah peduli soal halal, jadi promosi online jadi dorongan semangat supaya usaha ini terus maju.</t>
  </si>
  <si>
    <t>Benediktus Leki</t>
  </si>
  <si>
    <t>Sebagai pelaku UMKM di NTT, tantangan terbesar justru ada di biaya produksi yang makin tinggi. Bahan baku kadang harus didatangkan dari luar daerah, jadi ongkosnya lumayan bikin pusing. Belum lagi akses distribusi ke kota besar yang jalannya jauh dan transportasinya mahal.</t>
  </si>
  <si>
    <t>Kalau ada dukungan pemerintah lewat subsidi ongkos kirim atau bantuan logistik, itu sangat membantu sekali. Birokrasi yang sederhana juga bikin kita nggak banyak buang waktu, jadi bisa lebih fokus mengurus usaha.</t>
  </si>
  <si>
    <t>Komunitas UMKM di NTT juga jadi penguat. Kita sering kumpul, tukar pengalaman, sampai saling bantu promosi lewat media sosial. Dukungan dari keluarga dan teman juga bikin semangat tetap jalan meskipun tantangan banyak.</t>
  </si>
  <si>
    <t>Rajudan</t>
  </si>
  <si>
    <t>pelaku usaha yais</t>
  </si>
  <si>
    <t>KAB. ACEH BARAT</t>
  </si>
  <si>
    <t>sosiaisasi terkadang tidak sampai</t>
  </si>
  <si>
    <t>no komen</t>
  </si>
  <si>
    <t>cukup</t>
  </si>
  <si>
    <t>rajudanmbo.2018@gmail.com</t>
  </si>
  <si>
    <t>USI CAKE</t>
  </si>
  <si>
    <t>ERLIANI</t>
  </si>
  <si>
    <t>pu yais</t>
  </si>
  <si>
    <t>aceh barat</t>
  </si>
  <si>
    <t>Tantangan terbesar dalam implementasi JPH di Indonesia terletak pada kurangnya pemahaman pelaku usaha tentang pentingnya sertifikasi halal, keterbatasan auditor dan fasilitas pendukung, belum meratanya komitmen para pihak, serta proses birokrasi yang masih panjang dan berbelit.</t>
  </si>
  <si>
    <t>Ya, faktor komunikasi bisa dikatakan lebih penting karena pemahaman dan kesadaran pelaku usaha menjadi kunci awal keberhasilan implementasi JPH. Tanpa komunikasi yang efektif, sumber daya yang memadai dan struktur birokrasi yang baik pun tidak akan optimal, sebab pelaku usaha mungkin tetap enggan atau ragu untuk mengurus sertifikasi halal.</t>
  </si>
  <si>
    <t>Ya, selain komunikasi, sumber daya, disposisi, dan struktur birokrasi, faktor lain yang berpengaruh adalah dukungan teknologi dan digitalisasi sistem. Pemanfaatan teknologi informasi dalam pendaftaran, verifikasi, dan pengawasan akan sangat mempermudah proses, meningkatkan transparansi, serta memperluas jangkauan layanan JPH, sehingga implementasinya bisa lebih cepat dan efisien.</t>
  </si>
  <si>
    <t>alissa0@overnted.com</t>
  </si>
  <si>
    <t>aceh</t>
  </si>
  <si>
    <t>HIJRAH KEUKARAH</t>
  </si>
  <si>
    <t>SYTA FELLA ROZA</t>
  </si>
  <si>
    <t>PU yais</t>
  </si>
  <si>
    <t>tantangan terbesar terletak pada ketidaksiapan sumber daya dan komunikasi kebijakan yang belum sepenuhnya efektif. Dua aspek ini kemudian diperparah dengan struktur birokrasi yang kompleks dan komitmen pelaksana yang tidak merata, sehingga implementasi JPH berjalan lambat.</t>
  </si>
  <si>
    <t>sumber daya dan struktur birokrasi lebih penting karena keduanya adalah fondasi: tanpa mereka, komunikasi tidak efektif dan disposisi tidak bisa diwujudkan dengan optimal.</t>
  </si>
  <si>
    <t>Selain empat faktor utama, keberhasilan implementasi JPH juga dipengaruhi oleh kesadaran budaya dan sosial masyarakat terhadap pentingnya produk halal, kemampuan ekonomi pelaku usaha khususnya UMKM dalam menanggung biaya sertifikasi, serta dukungan insentif dari pemerintah. Faktor teknologi juga berperan, misalnya melalui sistem digital yang sederhana dan integrasi data antar lembaga. Konsistensi regulasi dan dukungan politik menjadi penopang penting agar kebijakan berjalan stabil. Di sisi lain, tingkat kepercayaan publik terhadap transparansi dan objektivitas proses sertifikasi sangat menentukan, karena tanpa kepercayaan, implementasi cenderung lambat dan kurang efektif.</t>
  </si>
  <si>
    <t>vellarauza@gmail.com</t>
  </si>
  <si>
    <t>KERIPIK PISANG GURIH</t>
  </si>
  <si>
    <t>IBNU HAJAR</t>
  </si>
  <si>
    <t>PU-YAIS</t>
  </si>
  <si>
    <t>Samatiga</t>
  </si>
  <si>
    <t>Komunikasi  Kurangnya pemahaman pelaku usaha: Banyak UMK/IKM masih belum paham prosedur sertifikasi halal, manfaatnya, atau kewajiban hukumnya. Sosialisasi kadang belum menyeluruh ke daerah-daerah pelosok.  Pesan yang tidak konsisten: Terkadang regulasi teknis dari BPJPH, MUI, dan kementerian terkait berbeda penafsiran, sehingga pelaku usaha bingung.</t>
  </si>
  <si>
    <t xml:space="preserve">kurangnya pemahaman pelaku usaha mengenai prosedur, manfaat, dan kewajiban hukum sertifikasi halal, serta ketidakkonsistenan pesan dari berbagai pihak terkait. Sosialisasi yang belum menyeluruh, terutama ke daerah terpencil, dan perbedaan interpretasi regulasi teknis dari BPJPH, MUI, dan kementerian terkait, memperparah kebingungan pelaku usaha. </t>
  </si>
  <si>
    <t>Faktor Sosial-Budaya dan Persepsi Masyarakat  Tingkat kesadaran masyarakat tentang pentingnya produk halal.  Adanya resistensi budaya atau kebiasaan konsumsi produk yang belum sepenuhnya memperhatikan aspek halal.</t>
  </si>
  <si>
    <t>marbella2@inddweg.com</t>
  </si>
  <si>
    <t>HIJRAH PLIK UE</t>
  </si>
  <si>
    <t xml:space="preserve">Nurhayati </t>
  </si>
  <si>
    <t>Pelaku Usaha - YAIS</t>
  </si>
  <si>
    <t xml:space="preserve">Aceh Barat </t>
  </si>
  <si>
    <t>kurangnya pemahaman dan sosialisasi efektif,keterbatasan sumber daya manusia,Birokrasi yang kompleks dan tumpang tindih.</t>
  </si>
  <si>
    <t xml:space="preserve">1. Regulasi dan Penegakan Hukum
2. Ketersediaan Lembaga Pemeriksa Halal (LPH) dan Auditor Halal
3. Sosialisasi dan Edukasi kepada Pelaku Usaha
4. Infrastruktur dan Sistem Teknologi Informasi
5. Dukungan Anggaran dan Kebijakan Pemerintah
</t>
  </si>
  <si>
    <t>Budaya organisasi dan komitmen internal pelaku usaha  Kolaborasi antar lembaga  Kesadaran dan tuntutan konsumen  Ketimpangan akses dan kapasitas wilayah  Biaya sertifikasi dan beban administratif  Perubahan kebijakan dan ketidakpastian regulasi  Kualitas pelatihan dan sertifikasi auditor halal  Dukungan lembaga keagamaan lokal  Peran media dalam edukasi halal  Keberlanjutan program pendampingan UMKM</t>
  </si>
  <si>
    <t>ritasari2023mbo@gmail.com</t>
  </si>
  <si>
    <t>Jagung Bakar</t>
  </si>
  <si>
    <t>SITI HUSNA</t>
  </si>
  <si>
    <t>aceh besar</t>
  </si>
  <si>
    <t>implementasi JPH di Indonesia menghadapi tantangan besar dalam komunikasi yang efektif, keterbatasan sumber daya, resistensi terhadap perubahan (disposisi), dan struktur birokrasi yang kompleks. Mengatasi tantangan ini memerlukan kolaborasi, investasi sumber daya, perubahan pola pikir, dan integrasi sistem birokrasi.</t>
  </si>
  <si>
    <t>Disposisi (kemauan berubah) dan komunikasi efektif adalah faktor terpenting dalam implementasi JPH di Indonesia. Keduanya memengaruhi keberhasilan program lebih signifikan daripada sumber daya dan struktur birokrasi, karena memfasilitasi adaptasi, partisipasi, dan efisiensi.</t>
  </si>
  <si>
    <t>Selain komunikasi, sumber daya, disposisi, dan struktur birokrasi, faktor lain yang memengaruhi keberhasilan implementasi JPH adalah keterlibatan aktif semua pemangku kepentingan, kesadaran masyarakat, dan pengawasan yang efektif. Keterlibatan semua pihak memastikan program berjalan sesuai tujuan dan mendapat dukungan luas</t>
  </si>
  <si>
    <t>ipanmaulana415@gmail.com</t>
  </si>
  <si>
    <t>FARILA KUE</t>
  </si>
  <si>
    <t>JASNITA</t>
  </si>
  <si>
    <t>KAB. ACEH BARAT DAYA</t>
  </si>
  <si>
    <t>1. Komunikasi  Tantangan terbesar: Kurangnya koordinasi dan sinkronisasi antar lembaga terkait (BPJPH, LPH, MUI, kementerian, pemda).  2. Sumber Daya  Tantangan terbesar: Keterbatasan jumlah auditor halal dan LPH, terutama di daerah luar Jawa.  3. Disposisi (Komitmen dan Sikap Pelaksana Kebijakan)  Tantangan terbesar: Rendahnya pemahaman dan komitmen aparat pelaksana di tingkat daerah terhadap pentingnya JPH.  4. Struktur Birokrasi  Tantangan terbesar: Proses birokrasi yang berbelit dan tumpang tindih kewenangan antar lembaga.</t>
  </si>
  <si>
    <t>1. Regulasi dan Penegakan Hukum
Mengapa lebih penting:
Regulasi adalah landasan hukum pelaksanaan JPH. Tanpa regulasi yang kuat dan penegakan yang konsisten, seluruh sistem tidak akan memiliki kekuatan mengikat. Peran regulasi juga menciptakan standar nasional dan kepastian hukum bagi pelaku usaha.
2. Ketersediaan Lembaga Pemeriksa Halal (LPH) dan Auditor Halal
Mengapa lebih penting:
Proses sertifikasi halal sangat bergantung pada ketersediaan auditor dan LPH yang kompeten dan merata secara geografis. Tanpa mereka, proses verifikasi dan pengawasan tidak dapat dilakukan, terutama di luar wilayah perkotaan atau di daerah terpencil.
3. Edukasi dan Kesadaran Pelaku Usaha (terutama UMKM)
Mengapa lebih penting:
Sebagian besar pelaku usaha di Indonesia adalah UMKM yang belum sepenuhnya memahami pentingnya sertifikasi halal. Tanpa kesadaran dan pengetahuan yang cukup, mereka tidak akan tergerak untuk ikut serta, meskipun sistem sudah tersedia.</t>
  </si>
  <si>
    <t>Kesadaran dan tuntutan konsumen terhadap produk halal  Komitmen internal pelaku usaha terhadap prinsip halal, bukan sekadar formalitas sertifikasi  Peran dan dukungan lembaga keagamaan lokal  Ketersediaan teknologi informasi yang andal dan mudah diakses (misalnya SIHALAL)  Konsistensi kebijakan antar periode pemerintahan atau antar daerah  Dukungan pembiayaan bagi UMKM untuk proses sertifikasi halal  Pengaruh globalisasi dan pasar ekspor terhadap dorongan sertifikasi halal  Peran media dalam membentuk opini publik dan menyebarkan informasi halal  Infrastruktur pendukung distribusi produk halal yang aman dari kontaminasi  Adanya sistem pengawasan dan evaluasi pasca-sertifikasi</t>
  </si>
  <si>
    <t>jasnita154@gmail.com</t>
  </si>
  <si>
    <t>Air Tebu dan Minuman Serbuk Instan Adek Abang</t>
  </si>
  <si>
    <t>Alwi</t>
  </si>
  <si>
    <t>Pelaku Usaha - Yais</t>
  </si>
  <si>
    <t>Lhang Setia</t>
  </si>
  <si>
    <t>1. *Komunikasi*: Kurangnya kesadaran dan pemahaman masyarakat tentang pentingnya produk halal dan bagaimana memilih produk yang halal. Selain itu, komunikasi antara pemerintah, industri, dan masyarakat masih perlu ditingkatkan untuk memastikan bahwa semua pemangku kepentingan memiliki pemahaman yang sama tentang regulasi dan implementasinya.  2. *Sumber Daya*: Keterbatasan sumber daya, seperti dana dan tenaga ahli, dapat menghambat implementasi JPH. Selain itu, kurangnya fasilitas dan infrastruktur yang memadai juga dapat mempengaruhi efektivitas implementasi JPH.  3. *Disposisi*: Kurangnya komitmen dan kesadaran dari beberapa pemangku kepentingan, terutama industri, dapat mempengaruhi implementasi JPH. Beberapa industri mungkin belum memahami pentingnya produk halal atau belum memiliki komitmen untuk mematuhi regulasi JPH.  4. *Struktur Birokrasi*: Struktur birokrasi yang kompleks dan birokrasi yang lambat dapat mempengaruhi efektivitas implementasi JPH. Selain itu, kurangnya koordinasi antara lembaga pemerintah juga dapat mempengaruhi implementasi JPH.</t>
  </si>
  <si>
    <t>Ya, saya merasa bahwa faktor-faktor tertentu lebih penting daripada yang lain dalam konteks implementasi JPH di Indonesia. Berdasarkan analisis saya, faktor *komunikasi* dan *disposisi* merupakan faktor yang paling penting dalam implementasi JPH di Indonesia.  *Komunikasi* yang efektif antara pemerintah, industri, dan masyarakat sangat penting untuk memastikan bahwa semua pemangku kepentingan memiliki pemahaman yang sama tentang regulasi dan implementasinya. Komunikasi yang baik dapat meningkatkan kesadaran dan pemahaman masyarakat tentang produk halal, serta dapat memfasilitasi kolaborasi dan kerja sama antara lembaga pemerintah, industri, dan masyarakat.  *Disposisi* yang baik dari pemangku kepentingan, terutama pemerintah dan industri, juga sangat penting untuk memastikan bahwa implementasi JPH berjalan dengan efektif. Disposisi yang baik dapat meningkatkan komitmen dan kesadaran dari pemangku kepentingan untuk mematuhi regulasi JPH dan memastikan bahwa produk halal memenuhi standar yang tinggi.  Faktor *sumber daya* dan *struktur birokrasi* juga penting, tetapi dapat dianggap sebagai faktor pendukung untuk implementasi JPH. Sumber daya yang memadai dapat mendukung implementasi JPH dengan menyediakan dana, tenaga ahli, dan fasilitas yang dibutuhkan. Struktur birokrasi yang efisien dan efektif dapat memastikan bahwa implementasi JPH berjalan dengan lancar dan efektif.  Dengan demikian, faktor komunikasi dan disposisi merupakan faktor yang paling penting dalam implementasi JPH di Indonesia, karena dapat mempengaruhi kesadaran dan pemahaman masyarakat, serta komitmen dan kesadaran dari pemangku kepentingan untuk mematuhi regulasi JPH.</t>
  </si>
  <si>
    <t>ernaalwi314@gmail.com</t>
  </si>
  <si>
    <t>Gorengan kak Erna</t>
  </si>
  <si>
    <t>MAILINA</t>
  </si>
  <si>
    <t>Tantangan terbesar yang saya hadapi dalam implementasi JPH adalah kurangnya komunikasi yang jelas antara pelaku usaha dengan pihak terkait, keterbatasan sumber daya terutama dari sisi biaya dan tenaga yang memahami prosesnya, disposisi yang kadang belum konsisten dalam memberi arahan, serta struktur birokrasi yang masih terkesan rumit sehingga membuat prosesnya cukup lama.</t>
  </si>
  <si>
    <t>Menurut saya, faktor komunikasi dan struktur birokrasi lebih berpengaruh karena jika alurnya jelas dan prosedurnya sederhana, pelaku usaha bisa lebih mudah menyesuaikan, sementara faktor sumber daya dan disposisi biasanya bisa mengikuti seiring dengan pemahaman dan pengalaman yang bertambah.</t>
  </si>
  <si>
    <t>Ya, saya merasa komunikasi yang jelas lebih penting karena tanpa itu pelaku usaha sering bingung menjalani proses, sedangkan faktor lain biasanya bisa diatasi jika arahan dan informasi yang diberikan sudah tepat.</t>
  </si>
  <si>
    <t>mailina0471@gmail.com</t>
  </si>
  <si>
    <t>MY BHOI ACEHNESE KUE KHAS ACEH</t>
  </si>
  <si>
    <t>Sumber Daya  Terbatasnya auditor halal (Lembaga Pemeriksa Halal / LPH): Jumlah auditor halal masih sangat kurang dibanding kebutuhan nasional.  Anggaran dan fasilitas: Dukungan dana dari pemerintah untuk UMK masih terbatas, sehingga proses sertifikasi bisa terasa mahal.  SDM di daerah: Tidak semua daerah punya SDM ahli halal, laboratorium uji halal juga masih terbatas.</t>
  </si>
  <si>
    <t>Faktor Ekonomi dan Biaya
Biaya sertifikasi halal yang dirasa berat oleh UMKM.
Akses terhadap insentif, subsidi, atau dukungan pembiayaan dari pemerintah/ lembaga keuangan.</t>
  </si>
  <si>
    <t>Keterlibatan Pemangku Kepentingan (Stakeholder Engagement) Dukungan dari berbagai pihak seperti ulama, organisasi masyarakat, asosiasi pelaku usaha, perguruan tinggi, hingga lembaga swadaya masyarakat dapat memperkuat implementasi JPH.</t>
  </si>
  <si>
    <t>HERI CHANDRA</t>
  </si>
  <si>
    <t>KAB. BIREUEN</t>
  </si>
  <si>
    <t>kisixed462@scorebog.com</t>
  </si>
  <si>
    <t>ACEH</t>
  </si>
  <si>
    <t>KERUPUK IKAN TENGGIRI HERI</t>
  </si>
  <si>
    <t>EKA JULIANA</t>
  </si>
  <si>
    <t>Lhokga</t>
  </si>
  <si>
    <t>Tantangan terbesar yang dihadapi dalam implementasi JPH di Indonesia terkait dengan komunikasi, sumber daya, disposisi, dan struktur birokrasi adalah:  1. *Komunikasi*: Kurangnya kesadaran dan pemahaman masyarakat tentang pentingnya produk halal dan bagaimana memilih produk yang halal. Selain itu, komunikasi antara pemerintah, industri, dan masyarakat masih perlu ditingkatkan untuk memastikan bahwa semua pemangku kepentingan memiliki pemahaman yang sama tentang regulasi dan implementasinya.  2. *Sumber Daya*: Keterbatasan sumber daya, seperti dana dan tenaga ahli, dapat menghambat implementasi JPH. Selain itu, kurangnya fasilitas dan infrastruktur yang memadai juga dapat mempengaruhi efektivitas implementasi JPH.  3. *Disposisi*: Kurangnya komitmen dan kesadaran dari beberapa pemangku kepentingan, terutama industri, dapat mempengaruhi implementasi JPH. Beberapa industri mungkin belum memahami pentingnya produk halal atau belum memiliki komitmen untuk mematuhi regulasi JPH.  4. *Struktur Birokrasi*: Struktur birokrasi yang kompleks dan birokrasi yang lambat dapat mempengaruhi efektivitas implementasi JPH. Selain itu, kurangnya koordinasi antara lembaga pemerintah juga dapat mempengaruhi implementasi JPH.  Untuk mengatasi tantangan-tantangan tersebut, perlu dilakukan upaya-upaya seperti: - Meningkatkan kesadaran dan pemahaman masyarakat tentang produk halal melalui kampanye dan edukasi. - Meningkatkan sumber daya yang tersedia untuk implementasi JPH, seperti dana dan tenaga ahli. - Meningkatkan komitmen dan kesadaran dari pemangku kepentingan, terutama industri, melalui pelatihan dan edukasi. - Meningkatkan struktur birokrasi yang efisien dan efektif melalui penyederhanaan proses dan peningkatan koordinasi antara lembaga pemerintah.  Dengan demikian, implementasi JPH di Indonesia dapat berjalan lebih efektif dan efisien, serta dapat meningkatkan kesadaran dan pemahaman masyarakat tentang pentingnya produk halal.</t>
  </si>
  <si>
    <t>Ya, saya merasa bahwa faktor-faktor tertentu lebih penting daripada yang lain dalam konteks implementasi JPH di Indonesia. Berdasarkan analisis saya, faktor *komunikasi* dan *disposisi* merupakan faktor yang paling penting dalam implementasi JPH di Indonesia.
*Komunikasi* yang efektif antara pemerintah, industri, dan masyarakat sangat penting untuk memastikan bahwa semua pemangku kepentingan memiliki pemahaman yang sama tentang regulasi dan implementasinya. Komunikasi yang baik dapat meningkatkan kesadaran dan pemahaman masyarakat tentang produk halal, serta dapat memfasilitasi kolaborasi dan kerja sama antara lembaga pemerintah, industri, dan masyarakat.
*Disposisi* yang baik dari pemangku kepentingan, terutama pemerintah dan industri, juga sangat penting untuk memastikan bahwa implementasi JPH berjalan dengan efektif. Disposisi yang baik dapat meningkatkan komitmen dan kesadaran dari pemangku kepentingan untuk mematuhi regulasi JPH dan memastikan bahwa produk halal memenuhi standar yang tinggi.
Faktor *sumber daya* dan *struktur birokrasi* juga penting, tetapi dapat dianggap sebagai faktor pendukung untuk implementasi JPH. Sumber daya yang memadai dapat mendukung implementasi JPH dengan menyediakan dana, tenaga ahli, dan fasilitas yang dibutuhkan. Struktur birokrasi yang efisien dan efektif dapat memastikan bahwa implementasi JPH berjalan dengan lancar dan efektif.
Dengan demikian, faktor komunikasi dan disposisi merupakan faktor yang paling penting dalam implementasi JPH di Indonesia, karena dapat mempengaruhi kesadaran dan pemahaman masyarakat, serta komitmen dan kesadaran dari pemangku kepentingan untuk mematuhi regulasi JPH.</t>
  </si>
  <si>
    <t>[17/8 14.07] Meta AI: Ya, ada beberapa faktor lain yang juga mempengaruhi keberhasilan implementasi JPH di Indonesia, antara lain:  1. *Kualitas regulasi*: Kualitas regulasi JPH yang jelas, efektif, dan dapat diimplementasikan dengan baik sangat penting untuk keberhasilan implementasi JPH. 2. *Pengawasan dan penegakan hukum*: Pengawasan dan penegakan hukum yang efektif sangat penting untuk memastikan bahwa produk halal memenuhi standar yang tinggi dan industri mematuhi regulasi JPH. 3. *Kerja sama antar lembaga*: Kerja sama antar lembaga pemerintah, industri, dan masyarakat sangat penting untuk memastikan bahwa implementasi JPH berjalan dengan efektif dan efisien. 4. *Teknologi dan inovasi*: Penggunaan teknologi dan inovasi dapat membantu meningkatkan efisiensi dan efektivitas implementasi JPH, seperti penggunaan sistem informasi dan teknologi pengujian produk halal. 5. *Partisipasi masyarakat*: Partisipasi masyarakat dalam implementasi JPH sangat penting untuk memastikan bahwa produk halal memenuhi kebutuhan dan harapan masyarakat. 6. *Kapasitas dan kompetensi SDM*: Kapasitas dan kompetensi sumber daya manusia (SDM) yang terlibat dalam implementasi JPH sangat penting untuk memastikan bahwa implementasi JPH berjalan dengan efektif dan efisien.  Dengan demikian, faktor-faktor tersebut juga perlu dipertimbangkan dalam implementasi JPH di Indonesia untuk [17/8 14.07] Meta AI: Ya, ada beberapa faktor lain yang juga mempengaruhi keberhasilan implementasi JPH di Indonesia, antara lain:  1. *Kualitas regulasi*: Kualitas regulasi JPH yang jelas, efektif, dan dapat diimplementasikan dengan baik sangat penting untuk keberhasilan implementasi JPH. 2. *Pengawasan dan penegakan hukum*: Pengawasan dan penegakan hukum yang efektif sangat penting untuk memastikan bahwa produk halal memenuhi standar yang tinggi dan industri mematuhi regulasi JPH. 3. *Kerja sama antar lembaga*: Kerja sama antar lembaga pemerintah, industri, dan masyarakat sangat penting untuk memastikan bahwa implementasi JPH berjalan dengan efektif dan efisien. 4. *Teknologi dan inovasi*: Penggunaan teknologi dan inovasi dapat membantu meningkatkan efisiensi dan efektivitas implementasi JPH, seperti penggunaan sistem informasi dan teknologi pengujian produk halal. 5. *Partisipasi masyarakat*: Partisipasi masyarakat dalam implementasi JPH sangat penting untuk memastikan bahwa produk halal memenuhi kebutuhan dan harapan masyarakat. 6. *Kapasitas dan kompetensi SDM*: Kapasitas dan kompetensi sumber daya manusia (SDM) yang terlibat dalam implementasi JPH sangat penting untuk memastikan bahwa implementasi JPH berjalan dengan efektif dan efisien.  Dengan demikian, faktor-faktor tersebut juga perlu dipertimbangkan dalam implementasi JPH di Indonesia untuk memastikan bahwa implementasi JPH berjalan dengan efektif dan efisien.</t>
  </si>
  <si>
    <t>amoy3040@gmail.com</t>
  </si>
  <si>
    <t>AMOY COOKIES</t>
  </si>
  <si>
    <t>MARTAWIAH</t>
  </si>
  <si>
    <t>gohem90744@veoos.com</t>
  </si>
  <si>
    <t>kacang kedelai goreng MARTAWIAH</t>
  </si>
  <si>
    <t>WARDIAH</t>
  </si>
  <si>
    <t>pu YAIS</t>
  </si>
  <si>
    <t>bireuen</t>
  </si>
  <si>
    <t xml:space="preserve">Ya, faktor komunikasi bisa dikatakan lebih penting karena pemahaman dan kesadaran pelaku usaha menjadi kunci awal keberhasilan implementasi JPH. Tanpa komunikasi yang efektif, sumber daya yang memadai dan struktur birokrasi yang baik pun tidak akan optimal, sebab pelaku usaha mungkin tetap enggan atau ragu untuk mengurus sertifikasi halal.
</t>
  </si>
  <si>
    <t>cixadis448@unitsade.com</t>
  </si>
  <si>
    <t>kentang ulir</t>
  </si>
  <si>
    <t>JAMALIAH</t>
  </si>
  <si>
    <t>KAB. PIDIE JAYA</t>
  </si>
  <si>
    <t>. Komunikasi  Tantangan terbesar: Kurangnya koordinasi dan sinkronisasi antar lembaga terkait (BPJPH, LPH, MUI, kementerian, pemda).  2. Sumber Daya  Tantangan terbesar: Keterbatasan jumlah auditor halal dan LPH, terutama di daerah luar Jawa.  3. Disposisi (Komitmen dan Sikap Pelaksana Kebijakan)  Tantangan terbesar: Rendahnya pemahaman dan komitmen aparat pelaksana di tingkat daerah terhadap pentingnya JPH.  4. Struktur Birokrasi  Tantangan terbesar: Proses birokrasi yang berbelit dan tumpang tindih kewenangan antar lembaga.</t>
  </si>
  <si>
    <t>jama1978liah@gmail.com</t>
  </si>
  <si>
    <t>PEYEK KAK YAH</t>
  </si>
  <si>
    <t>RAINI KOMBIH</t>
  </si>
  <si>
    <t>KOTA SUBULUSSALAM</t>
  </si>
  <si>
    <t>uusahakuusaha+002raini@gmail.com</t>
  </si>
  <si>
    <t>Warung Devi</t>
  </si>
  <si>
    <t>SRI DEWANA S</t>
  </si>
  <si>
    <t>Bireuen</t>
  </si>
  <si>
    <t>Ya, ada beberapa faktor lain yang juga mempengaruhi keberhasilan implementasi JPH di Indonesia, antara lain:  1. *Kualitas regulasi*: Kualitas regulasi JPH yang jelas, efektif, dan dapat diimplementasikan dengan baik sangat penting untuk keberhasilan implementasi JPH. 2. *Pengawasan dan penegakan hukum*: Pengawasan dan penegakan hukum yang efektif sangat penting untuk memastikan bahwa produk halal memenuhi standar yang tinggi dan industri mematuhi regulasi JPH. 3. *Kerja sama antar lembaga*: Kerja sama antar lembaga pemerintah, industri, dan masyarakat sangat penting untuk memastikan bahwa implementasi JPH berjalan dengan efektif dan efisien. 4. *Teknologi dan inovasi*: Penggunaan teknologi dan inovasi dapat membantu meningkatkan efisiensi dan efektivitas implementasi JPH, seperti penggunaan sistem informasi dan teknologi pengujian produk halal. 5. *Partisipasi masyarakat*: Partisipasi masyarakat dalam implementasi JPH sangat penting untuk memastikan bahwa produk halal memenuhi kebutuhan dan harapan masyarakat. 6. *Kapasitas dan kompetensi SDM*: Kapasitas dan kompetensi sumber daya manusia (SDM) yang terlibat dalam implementasi JPH sangat penting untuk memastikan bahwa implementasi JPH berjalan dengan efektif dan efisien.  Dengan demikian, faktor-faktor tersebut juga perlu dipertimbangkan dalam implementasi JPH di Indonesia untuk memastikan bahwa implementasi JPH berjalan dengan efektif dan efisien.</t>
  </si>
  <si>
    <t>takemi2684@scorebog.com</t>
  </si>
  <si>
    <t>KUE BAKPIA SRI DEWANA S</t>
  </si>
  <si>
    <t>ISMAIL</t>
  </si>
  <si>
    <t>Menurut saya, tantangan terbesar dalam implementasi JPH adalah komunikasi yang kadang kurang jelas sehingga menimbulkan kebingungan, keterbatasan sumber daya baik dari sisi tenaga maupun biaya, disposisi pelaksana yang tidak selalu konsisten, serta struktur birokrasi yang masih terasa berbelit dan memakan waktu lama.</t>
  </si>
  <si>
    <t xml:space="preserve">Menurut saya, memang ada faktor-faktor yang lebih penting dibandingkan yang lain dalam implementasi JPH di Indonesia. Komunikasi menjadi kunci karena tanpa informasi yang jelas dan seragam, pelaku usaha sering salah memahami prosedur yang harus dijalani. Hal ini berpengaruh langsung pada efektivitas penerapan aturan. Selain itu, struktur birokrasi juga sangat menentukan, karena jika proses administrasi masih panjang dan berbelit, usaha kecil maupun menengah bisa kesulitan memenuhi persyaratan tepat waktu. Sumber daya tentu juga penting, baik dari segi biaya maupun tenaga, namun biasanya bisa diusahakan jika alurnya jelas dan dukungan pemerintah lebih terbuka. Sedangkan disposisi para pelaksana juga tidak kalah penting, karena komitmen dan konsistensi aparat akan sangat mempengaruhi kepercayaan pelaku usaha terhadap sistem JPH. Jadi, meskipun semua faktor saling terkait, saya melihat komunikasi yang efektif dan birokrasi yang efisien menjadi hal paling mendasar agar implementasi bisa berjalan lebih lancar.
</t>
  </si>
  <si>
    <t>Tantangan terbesar yang saya rasakan adalah kurangnya kejelasan komunikasi mengenai aturan dan prosedur, keterbatasan sumber daya terutama biaya dan waktu untuk memenuhi persyaratan, sikap pelaksana yang kadang kurang konsisten, serta birokrasi yang masih panjang dan rumit sehingga memperlambat proses.</t>
  </si>
  <si>
    <t>gahoko4264@unitsade.com</t>
  </si>
  <si>
    <t xml:space="preserve">aceh </t>
  </si>
  <si>
    <t>telur gulung ISMAIL</t>
  </si>
  <si>
    <t>NURUL KHOLIS FADHILA</t>
  </si>
  <si>
    <t>xajimen223@veoos.com</t>
  </si>
  <si>
    <t>gorengan jagung</t>
  </si>
  <si>
    <t>HANIFAH. ALAMSYAH</t>
  </si>
  <si>
    <t>Pidie Jaya</t>
  </si>
  <si>
    <t>halalp.20@gmail.com</t>
  </si>
  <si>
    <t>Mie Kak PAH</t>
  </si>
  <si>
    <t>SUSUN</t>
  </si>
  <si>
    <t>susun.susun66@gmail.com</t>
  </si>
  <si>
    <t>Warung Kasiran</t>
  </si>
  <si>
    <t>MAISARAH</t>
  </si>
  <si>
    <t>ChatGPT Anda bilang: Apa tantangan terbesar yang Anda hadapi dalam implementasi JPH di Indonesia terkait dengan komunikasi, sumber daya, disposisi, dan struktur birokrasi? ChatGPT bilang: Pertanyaan ini menarik sekali 👍 karena implementasi Jaminan Produk Halal (JPH) di Indonesia memang melibatkan banyak aktor dan kompleksitas birokrasi. Kalau kita bedah berdasarkan empat aspek utama dalam teori implementasi kebijakan (Edward III: komunikasi, sumber daya, disposisi, dan struktur birokrasi), tantangan terbesarnya dapat dijelaskan sebagai berikut:  1. Komunikasi Kurangnya pemahaman pelaku usaha: Banyak UMK/IKM masih belum paham prosedur sertifikasi halal, manfaatnya, atau kewajiban hukumnya. Sosialisasi kadang belum menyeluruh ke daerah-daerah pelosok.  Pesan yang tidak konsisten: Terkadang regulasi teknis dari BPJPH, MUI, dan kementerian terkait berbeda penafsiran, sehingga pelaku usaha bingung.  Akses informasi: Belum semua daerah punya pusat informasi atau pendamping halal yang mudah dijangkau.  2. Sumber Daya Terbatasnya auditor halal (Lembaga Pemeriksa Halal / LPH): Jumlah auditor halal masih sangat kurang dibanding kebutuhan nasional.  Anggaran dan fasilitas: Dukungan dana dari pemerintah untuk UMK masih terbatas, sehingga proses sertifikasi bisa terasa mahal.  SDM di daerah: Tidak semua daerah punya SDM ahli halal, laboratorium uji halal juga masih terbatas.  3. Disposisi (Komitmen Pelaksana) Resistensi birokrat &amp; pelaku usaha: Ada yang masih melihat sertifikasi halal sebagai beban administratif, bukan kebutuhan strategis.  Motivasi yang berbeda-beda: Ada daerah/instansi yang sangat proaktif, tapi ada juga yang lamban karena merasa JPH bukan prioritas utama.  Kepentingan politik &amp; ekonomi: Kadang sertifikasi halal dipengaruhi tarik-menarik kepentingan (misalnya untuk melindungi pelaku usaha kecil, atau mempertimbangkan kepentingan industri besar).  4. Struktur Birokrasi Koordinasi lintas lembaga: Implementasi JPH melibatkan BPJPH, MUI, Kemenag, LPH, pemerintah daerah, dan asosiasi. Koordinasi yang rumit bisa menyebabkan tumpang tindih.  Prosedur panjang &amp; berlapis: Walaupun sudah ada digitalisasi (SIHALAL), praktik di lapangan masih banyak tahapan manual yang bikin lambat.  Desentralisasi: Tidak semua pemerintah daerah punya kelembagaan halal center yang kuat untuk mendukung kebijakan pusat.  👉 Jadi, tantangan terbesar adalah keterbatasan sumber daya (SDM auditor &amp; infrastruktur halal) dan komunikasi kebijakan yang belum efektif. Dua hal ini saling terkait, karena tanpa komunikasi yang jelas, pelaku usaha tidak termotivasi untuk sertifikasi, sementara keterbatasan auditor membuat proses sertifikasi jadi lama dan mahal.</t>
  </si>
  <si>
    <t>Ya, dalam konteks implementasi Jaminan Produk Halal (JPH) di Indonesia, beberapa faktor memang terasa lebih krusial dibandingkan yang lain. Faktor-faktor tersebut adalah: 
1. Pemahaman yang Mendalam tentang JPH:
Penting untuk memiliki pemahaman yang komprehensif tentang JPH, tidak hanya dari sisi regulasi, tetapi juga dari sisi konsep dan implikasinya. Masyarakat, pelaku usaha, dan lembaga terkait harus benar-benar memahami apa itu JPH, bagaimana prosesnya, dan apa manfaatnya.</t>
  </si>
  <si>
    <t>Kesadaran dan Pemahaman Masyarakat: Masyarakat yang memiliki pemahaman yang baik tentang JPH akan lebih selektif dalam memilih produk dan cenderung menuntut produk halal. Hal ini akan mendorong pelaku usaha untuk lebih serius dalam memenuhi standar kehalalan. Sosialisasi yang masif dan edukasi yang efektif sangat penting untuk meningkatkan kesadaran ini.</t>
  </si>
  <si>
    <t>rinajas85@gmail.com</t>
  </si>
  <si>
    <t>Kue kak Jas</t>
  </si>
  <si>
    <t>SARIBAH</t>
  </si>
  <si>
    <t>1. Komunikasi  Tantangan terbesar: Kurangnya koordinasi dan sinkronisasi antar lembaga terkait (BPJPH, LPH, MUI, kementerian, pemda).  2. Sumber Daya  Tantangan terbesar: Keterbatasan jumlah auditor halal dan LPH, terutama di daerah luar Jawa.3. Disposisi (Komitmen dan Sikap Pelaksana Kebijakan)  Tantangan terbesar: Rendahnya pemahaman dan komitmen aparat pelaksana di tingkat daerah terhadap pentingnya JPH.  4. Struktur Birokrasi  Tantangan terbesar: Proses birokrasi yang berbelit dan tumpang tindih kewenangan antar lembaga.</t>
  </si>
  <si>
    <t>saribahribah61@gmail.com</t>
  </si>
  <si>
    <t>Warung Mak Ciut</t>
  </si>
  <si>
    <t>RABUMAH TUMORANG</t>
  </si>
  <si>
    <t>rabumahtumorang@gmail.com</t>
  </si>
  <si>
    <t>Warung Karim</t>
  </si>
  <si>
    <t>NURSIYAH</t>
  </si>
  <si>
    <t>subulussalam</t>
  </si>
  <si>
    <t xml:space="preserve">Ya, faktor komunikasi bisa dikatakan lebih penting karena pemahaman dan kesadaran pelaku usaha menjadi kunci awal keberhasilan implementasi JPH. Tanpa komunikasi yang efektif, sumber daya yang memadai dan struktur birokrasi yang baik pun tidak akan optimal, sebab pelaku usaha mungkin tetap enggan atau ragu untuk mengurus sertifikasi halal.
</t>
  </si>
  <si>
    <t>uusahakuusaha+nursiyah@gmail.com</t>
  </si>
  <si>
    <t>warung</t>
  </si>
  <si>
    <t>JUNAIDI</t>
  </si>
  <si>
    <t>Pu _yais</t>
  </si>
  <si>
    <t>lapaci3228@snoodi.com</t>
  </si>
  <si>
    <t>KERUPUK IKAN JUNAEDI</t>
  </si>
  <si>
    <t>ZAMZAMI LINGGA</t>
  </si>
  <si>
    <t>Pu _ yais</t>
  </si>
  <si>
    <t>Dukungan Pemerintah Daerah:
Pemerintah daerah memiliki peran penting dalam memfasilitasi dan mendukung implementasi JPH. Dukungan ini bisa berupa penyediaan informasi, bantuan teknis, pelatihan, dan insentif bagi pelaku usaha yang telah tersertifikasi halal. Dukungan yang kuat dari pemerintah daerah akan mendorong percepatan implementasi JPH di wilayahnya.</t>
  </si>
  <si>
    <t>Pemahaman yang Mendalam tentang JPH: Penting untuk memiliki pemahaman yang komprehensif tentang JPH, tidak hanya dari sisi regulasi, tetapi juga dari sisi konsep dan implikasinya. Masyarakat, pelaku usaha, dan lembaga terkait harus benar-benar memahami apa itu JPH, bagaimana prosesnya, dan apa manfaatnya.</t>
  </si>
  <si>
    <t>limebex854@uproyals.com</t>
  </si>
  <si>
    <t>KUE BAWANG ZAMZAMI</t>
  </si>
  <si>
    <t>ROSDIANA MARBUN</t>
  </si>
  <si>
    <t>rosdianam035@gmail.com</t>
  </si>
  <si>
    <t>warung safriadi</t>
  </si>
  <si>
    <t>JAJANG NURDIANSYAH</t>
  </si>
  <si>
    <t>KAB. TANGERANG</t>
  </si>
  <si>
    <t>jajangnurdiansyah@gmail.com</t>
  </si>
  <si>
    <t>BANTEN</t>
  </si>
  <si>
    <t>ES KELAPA PUTRA GALUNGGUANG</t>
  </si>
  <si>
    <t>KHUSNUL KHOTIMAH</t>
  </si>
  <si>
    <t xml:space="preserve">pelaku usaha yais </t>
  </si>
  <si>
    <t>Tantangan terbesar yang saya hadapi dalam implementasi JPH di Indonesia sebenarnya cukup kompleks. Dari sisi komunikasi, sering kali informasi yang disampaikan tidak konsisten atau berubah-ubah, sehingga membingungkan pelaku usaha dalam menyesuaikan langkah. Untuk sumber daya, keterbatasan tenaga ahli yang benar-benar memahami standar dan prosedur membuat proses menjadi lambat dan membutuhkan biaya tambahan untuk pelatihan. Dari segi disposisi, tidak semua pihak yang terlibat menunjukkan komitmen penuh, ada yang masih melihat proses ini sebagai beban administratif sehingga tidak maksimal dalam mendukung kelancaran. Sedangkan dalam struktur birokrasi, alur perizinan yang panjang dan berlapis membuat proses sertifikasi terasa berbelit-belit, apalagi ketika harus berhadapan dengan instansi yang berbeda-beda dan tidak selalu terkoordinasi dengan baik. Semua hal ini pada akhirnya menambah waktu, biaya, dan energi yang harus dikeluarkan pelaku usaha untuk memenuhi kewajiban JPH.</t>
  </si>
  <si>
    <t xml:space="preserve">Ya, menurut saya faktor komunikasi lebih penting karena tanpa informasi yang jelas dan konsisten, pelaku usaha akan kesulitan memahami apa yang harus dipenuhi. Setelah itu, sumber daya juga sangat berpengaruh karena meskipun regulasi sudah dipahami, jika tidak ada tenaga atau kemampuan yang cukup maka implementasinya tetap tersendat. Struktur birokrasi memang penting, tetapi bisa lebih mudah dijalani kalau komunikasi dan sumber daya sudah terkelola dengan baik.
</t>
  </si>
  <si>
    <t>Menurut saya ada faktor lain yang juga cukup berpengaruh, yaitu kesadaran dan kesiapan dari para pelaku usaha sendiri. Banyak usaha kecil maupun menengah yang masih belum memahami pentingnya JPH atau bahkan belum menjadikannya sebagai prioritas, sehingga proses penerapan sering tertunda. Selain itu, kondisi pasar juga memegang peranan besar karena permintaan konsumen yang semakin kritis terhadap produk halal mendorong pelaku usaha untuk bergerak lebih cepat. Dukungan teknologi juga menjadi faktor penting, misalnya ketersediaan sistem digital yang memudahkan pendaftaran, pelacakan, dan verifikasi, karena tanpa itu prosesnya bisa terasa sangat rumit. Faktor eksternal seperti dukungan pemerintah daerah dan asosiasi usaha juga menentukan, sebab dengan adanya pendampingan dan fasilitasi, pelaku usaha merasa lebih terbantu dan termotivasi untuk menyelesaikan proses implementasi JPH dengan baik.</t>
  </si>
  <si>
    <t>khusnulkhotimah@yogirt.com</t>
  </si>
  <si>
    <t>CILOK KHUSNUL</t>
  </si>
  <si>
    <t>FERRY JOHANSYAH</t>
  </si>
  <si>
    <t>KAB. PANDEGLANG</t>
  </si>
  <si>
    <t>ayam.unkepferry@mail.com</t>
  </si>
  <si>
    <t>Banten</t>
  </si>
  <si>
    <t>Ayam Ungkep Ferry</t>
  </si>
  <si>
    <t>NURAINIL SIMAMORA</t>
  </si>
  <si>
    <t xml:space="preserve">Pelaku usaha </t>
  </si>
  <si>
    <t>Desentralisasi layanan halal di daerah belum seragam, padahal Indonesia sangat luas dan beragam.</t>
  </si>
  <si>
    <t>Banyak pelaku usaha, terutama UMKM, belum memahami prosedur, manfaat, dan kewajiban sertifikasi halal.</t>
  </si>
  <si>
    <t>Banyak UMKM mengira bahwa sertifikasi halal itu mahal dan rumit, padahal ada program Sertifikasi Halal Gratis (SEHATI) dari pemerintah. Hal ini terjadi karena informasi tidak tersampaikan dengan baik.</t>
  </si>
  <si>
    <t>nurainilsimamora1996@gmail.com</t>
  </si>
  <si>
    <t>warung zahra</t>
  </si>
  <si>
    <t>NURI DWIYANTI</t>
  </si>
  <si>
    <t>nuridwiyanti84@gmail.com</t>
  </si>
  <si>
    <t>MAMAH NAURA</t>
  </si>
  <si>
    <t>MASDIANA</t>
  </si>
  <si>
    <t>Pu YAIS</t>
  </si>
  <si>
    <t>SUBULUSSALAM</t>
  </si>
  <si>
    <t>masdianamasdiana1983@gmail.com</t>
  </si>
  <si>
    <t>NAZARIAH</t>
  </si>
  <si>
    <t>PU _yais</t>
  </si>
  <si>
    <t>Dukungan dari industri terkait, seperti industri makanan, minuman, kosmetik, dan farmasi, juga sangat penting. Industri yang memiliki komitmen yang kuat terhadap kehalalan akan mendorong pelaku usaha di bawahnya untuk mengikuti standar yang sama.</t>
  </si>
  <si>
    <t>Mie aceh siang malam</t>
  </si>
  <si>
    <t>SUPIA HERAWATI</t>
  </si>
  <si>
    <t>KAB. BENGKULU TENGAH</t>
  </si>
  <si>
    <t>herawatisupia68@gmail.com</t>
  </si>
  <si>
    <t>BENGKULU</t>
  </si>
  <si>
    <t>SUPIAH KUE KOJA</t>
  </si>
  <si>
    <t>MUHAMAD ABDUL KARIM</t>
  </si>
  <si>
    <t>Kab. Tanggerang</t>
  </si>
  <si>
    <t>muhamadabdulkarimkarim12@gmail.com</t>
  </si>
  <si>
    <t>AMAT ERWIN</t>
  </si>
  <si>
    <t>KAB. REJANG LEBONG</t>
  </si>
  <si>
    <t>1. Budaya Organisasi dan Komitmen Internal Pelaku Usaha  Mengapa penting? Jika manajemen dan karyawan di perusahaan (terutama UMKM) tidak memiliki kesadaran atau komitmen internal terhadap pentingnya kehalalan produk, maka sertifikasi hanya akan menjadi formalitas.  Dampaknya: Banyak produk yang bersertifikat halal di atas kertas, tetapi tidak ada pengawasan atau kepatuhan yang nyata terhadap prinsip halal di proses produksinya.  2. Kolaborasi Antar Lembaga  Mengapa penting? Implementasi JPH melibatkan banyak pihak: BPJPH, MUI, LPH, kementerian lain (Perdagangan, UMKM, Kesehatan, dll). Jika koordinasi buruk, proses jadi lambat dan membingungkan bagi pelaku usaha.  Dampaknya: Tumpang tindih wewenang, ketidaksinkronan regulasi, serta proses sertifikasi yang tidak efisien.  3. Kesadaran dan Tuntutan Konsumen  Mengapa penting? Permintaan pasar sangat menentukan. Jika konsumen aktif menuntut produk halal, pelaku usaha akan lebih terdorong untuk mendapatkan sertifikasi.  Dampaknya: Di daerah atau segmen pasar yang kesadaran halalnya rendah, pelaku usaha cenderung tidak memprioritaskan sertifikasi halal.  4. Ketimpangan Akses dan Kapasitas di Wilayah Tertentu  Mengapa penting? Daerah terpencil atau luar Jawa sering kekurangan LPH, auditor, bahkan informasi dasar soal JPH.  Dampaknya: Implementasi JPH jadi terpusat di kota besar, menciptakan kesenjangan akses sertifikasi antara pusat dan daerah.  5. Biaya Sertifikasi dan Beban Administratif  Mengapa penting? Meski ada program sertifikasi halal gratis (sehati) bagi UMKM, tidak semua tahu atau mampu memenuhi persyaratan administrasinya.  Dampaknya: UMKM enggan mengurus sertifikasi karena menganggapnya mahal, rumit, atau tidak berdampak langsung pada penjualan.  6. Perubahan Kebijakan dan Ketidakpastian Regulasi  Mengapa penting? Ketika kebijakan sering berubah atau ada perbedaan interpretasi antar pejabat daerah, pelaku usaha menjadi bingung dan kehilangan kepercayaan.  Dampaknya: Kepatuhan menurun karena pelaku usaha menunggu kepastian atau menunda sampai aturan stabil.</t>
  </si>
  <si>
    <t>candrawijayaade8@gmail.com</t>
  </si>
  <si>
    <t>Tempe Dua Saudara</t>
  </si>
  <si>
    <t>MARISA LAPANIA</t>
  </si>
  <si>
    <t>marisalapania3@gmail.com</t>
  </si>
  <si>
    <t>Bengkulu</t>
  </si>
  <si>
    <t>DANISH SIOMAY</t>
  </si>
  <si>
    <t>I WAYAN YOGI ARTHA</t>
  </si>
  <si>
    <t>karangasem</t>
  </si>
  <si>
    <t xml:space="preserve">
Disposisi (kemauan berubah) dan komunikasi efektif adalah faktor terpenting dalam implementasi JPH di Indonesia. Keduanya memengaruhi keberhasilan program lebih signifikan daripada sumber daya dan struktur birokrasi, karena memfasilitasi adaptasi, partisipasi, dan efisiensi.
</t>
  </si>
  <si>
    <t>wayanyogiartha54@gmail.com</t>
  </si>
  <si>
    <t>bali</t>
  </si>
  <si>
    <t>Tantangan terbesar ada pada komunikasi yang kurang jelas antar pihak, keterbatasan sumber daya untuk memenuhi standar, sikap pelaku usaha yang masih beragam, serta birokrasi yang cukup rumit sehingga memperlambat proses.</t>
  </si>
  <si>
    <t xml:space="preserve">Menurut saya, faktor komunikasi dan struktur birokrasi lebih penting karena keduanya sangat menentukan kelancaran proses. Tanpa informasi yang jelas dan alur birokrasi yang sederhana, pelaku usaha akan kesulitan meski sumber daya dan disposisi sudah cukup baik.
</t>
  </si>
  <si>
    <t>Menurut saya faktor biaya juga sangat berpengaruh, karena beban tambahan ini sering kali menjadi kendala utama bagi pelaku usaha dalam menjalankan JPH.</t>
  </si>
  <si>
    <t>DWI PUTRA WICAKSONO</t>
  </si>
  <si>
    <t>KAB. SELUMA</t>
  </si>
  <si>
    <t>1. Regulasi dan Penegakan Hukum
Mengapa penting?
Keberadaan regulasi yang jelas dan tegas (misalnya UU No. 33 Tahun 2014 tentang JPH) adalah fondasi utama pelaksanaan JPH. Tanpa regulasi yang kuat, tidak ada kerangka hukum yang mengikat pelaku usaha untuk mematuhi kewajiban sertifikasi halal.
Contoh dampak:
Jika tidak ditegakkan secara konsisten, banyak pelaku usaha akan mengabaikan kewajiban sertifikasi karena tidak ada sanksi nyata.
2. Ketersediaan Lembaga Pemeriksa Halal (LPH) dan Auditor Halal
Mengapa penting?
LPH dan auditor halal adalah ujung tombak dalam proses verifikasi halal. Tanpa jumlah auditor yang mencukupi, terutama di daerah-daerah, proses sertifikasi akan terhambat.
Contoh dampak:
Keterlambatan dalam proses sertifikasi halal atau backlog permohonan yang menumpuk.
3. Sosialisasi dan Edukasi kepada Pelaku Usaha
Mengapa penting?
Banyak pelaku UMKM belum memahami pentingnya sertifikasi halal atau bahkan prosedur yang harus diikuti. Edukasi menjadi kunci agar mereka mau dan mampu berpartisipasi.
Contoh dampak:
Rendahnya tingkat partisipasi UMKM dalam program sertifikasi halal karena merasa prosesnya rumit atau tidak relevan.
4. Infrastruktur dan Sistem Teknologi Informasi
Mengapa penting?
Sistem informasi yang andal, seperti SIHALAL (Sistem Informasi Halal), dibutuhkan untuk mempercepat dan mempermudah proses pengajuan dan pemantauan sertifikasi.
Contoh dampak:
Jika sistem sering bermasalah atau tidak ramah pengguna, proses akan melambat dan menurunkan kepercayaan terhadap BPJPH (Badan Penyelenggara Jaminan Produk Halal).
5. Dukungan Anggaran dan Kebijakan Pemerintah
Mengapa penting?
Implementasi JPH yang efektif memerlukan anggaran untuk pelatihan auditor, pengembangan sistem, subsidi bagi UMKM, dan lainnya.
Contoh dampak:
Tanpa dukungan anggaran, program ini hanya akan berjalan baik di atas kertas namun minim realisasi di lapangan.</t>
  </si>
  <si>
    <t>nickytannabe@gmail.com</t>
  </si>
  <si>
    <t>Tempe mas dwi</t>
  </si>
  <si>
    <t>ABDUL SOMAD</t>
  </si>
  <si>
    <t>Tangerang</t>
  </si>
  <si>
    <t>Tantangan terbesar dalam implementasi JPH di Indonesia terlihat pada komunikasi, sumber daya, disposisi, dan struktur birokrasi. Dari sisi komunikasi, sosialisasi belum merata sehingga banyak pelaku usaha kecil kurang memahami prosedur sertifikasi halal. Keterbatasan sumber daya, seperti tenaga pemeriksa dan laboratorium, juga membuat proses berjalan lambat. Disposisi pelaksana di lapangan tidak selalu konsisten, ada yang serius namun ada pula yang kurang berkomitmen sehingga terkesan rumit. Sementara itu, struktur birokrasi masih berbelit dan koordinasi antar lembaga belum optimal, sehingga alur sertifikasi menjadi panjang dan lamban.</t>
  </si>
  <si>
    <t>Ya, dalam konteks implementasi JPH di Indonesia, ada faktor yang lebih penting dibandingkan lainnya, yaitu komunikasi dan sumber daya. Komunikasi menjadi kunci karena tanpa sosialisasi yang jelas dan merata, terutama kepada pelaku UMKM, sertifikasi halal akan sulit dipahami dan dianggap beban. Jika informasi disampaikan dengan baik, pelaku usaha akan lebih siap dan mau terlibat.
Selain itu, sumber daya juga sangat krusial karena meskipun komunikasi berjalan baik, tanpa tenaga auditor halal, laboratorium uji yang memadai, dan dukungan anggaran, proses sertifikasi tetap lambat. Disposisi dan struktur birokrasi memang penting, tetapi keduanya bisa berjalan lebih efektif jika komunikasi lancar dan sumber daya tersedia. Dengan kata lain, komunikasi dan sumber daya adalah pondasi utama yang menentukan berhasil atau tidaknya implementasi JPH di Indonesia.</t>
  </si>
  <si>
    <t>Ya, ada faktor lain yang juga berpengaruh terhadap keberhasilan implementasi JPH di Indonesia, yaitu aspek budaya dan kesadaran masyarakat. Tingkat kesadaran konsumen terhadap pentingnya produk halal sangat memengaruhi permintaan pasar, yang pada akhirnya mendorong pelaku usaha untuk serius mengurus sertifikasi. Jika masyarakat kurang peduli, maka pelaku usaha pun cenderung mengabaikannya.  Selain itu, faktor dukungan teknologi juga penting. Digitalisasi dalam proses pendaftaran, pengawasan, dan pelacakan produk halal akan sangat membantu mempercepat dan mempermudah alur sertifikasi, sehingga birokrasi menjadi lebih efisien. Faktor lain yang tidak kalah berpengaruh adalah dukungan politik dan kebijakan pemerintah, karena tanpa komitmen kuat dari pembuat kebijakan, pelaksanaan JPH akan terhambat meskipun sistem dan sumber daya sudah tersedia</t>
  </si>
  <si>
    <t>abdulsomadyais@gmail.com</t>
  </si>
  <si>
    <t>Pu yais</t>
  </si>
  <si>
    <t>ChatGPT Anda bilang: Apa tantangan terbesar yang Anda hadapi dalam implementasi JPH di Indonesia terkait dengan komunikasi, sumber daya, disposisi, dan struktur birokrasi? ChatGPT bilang: Tantangan terbesar dalam implementasi Jaminan Produk Halal (JPH) di Indonesia jika dilihat dari aspek komunikasi, sumber daya, disposisi, dan struktur birokrasi dapat dijelaskan sebagai berikut:  Komunikasi  Kurangnya pemahaman dan sosialisasi kepada pelaku usaha, khususnya UMKM, mengenai kewajiban sertifikasi halal.  Informasi yang disampaikan seringkali tidak konsisten antar lembaga, sehingga menimbulkan kebingungan di kalangan masyarakat dan produsen.  Akses komunikasi di daerah terpencil masih terbatas sehingga menyebabkan kesenjangan informasi.</t>
  </si>
  <si>
    <t>MUI memiliki peran sentral dalam sertifikasi halal, terutama dalam memberikan fatwa halal. Keterlibatan aktif dan kredibel dari MUI dalam proses sertifikasi sangat penting untuk menjaga kepercayaan masyarakat terhadap produk halal.</t>
  </si>
  <si>
    <t>JUNER LAILI</t>
  </si>
  <si>
    <t>c01227055@gmail.com</t>
  </si>
  <si>
    <t>Es campur yuk ner</t>
  </si>
  <si>
    <t>ADE CANDRA WIJAYA</t>
  </si>
  <si>
    <t xml:space="preserve">Pelaku Usaha - Yais </t>
  </si>
  <si>
    <t>esketandurianade@gmail.com</t>
  </si>
  <si>
    <t>Bangkulu</t>
  </si>
  <si>
    <t>Es Ketan Durian Ade</t>
  </si>
  <si>
    <t>ASMARA DEWI</t>
  </si>
  <si>
    <t>KOTA BENGKULU</t>
  </si>
  <si>
    <t>asmaradewi151288@gmail.com</t>
  </si>
  <si>
    <t>Gorengan Key &amp; Aim</t>
  </si>
  <si>
    <t>Tantangan terbesar yang saya hadapi dalam implementasi JPH di Indonesia adalah bagaimana menyampaikan informasi secara jelas dan konsisten kepada berbagai pihak, karena seringkali ada perbedaan pemahaman antara pelaku usaha, konsumen, dan lembaga terkait. Dari sisi sumber daya, keterbatasan tenaga ahli dan biaya yang cukup besar membuat proses ini terasa berat, terutama bagi usaha kecil yang belum memiliki dukungan finansial maupun SDM yang memadai. Selain itu, disposisi atau sikap dari pihak-pihak yang terlibat kadang tidak sejalan, ada yang responsif tetapi ada juga yang kurang peduli sehingga memperlambat proses. Sementara itu, struktur birokrasi yang masih panjang dan berlapis menambah hambatan, karena setiap tahap membutuhkan waktu yang lama dan seringkali berbelit, sehingga membuat implementasi JPH menjadi tidak efisien dan menimbulkan ketidakpastian bagi pelaku usaha.</t>
  </si>
  <si>
    <t xml:space="preserve">Ya, saya merasa faktor komunikasi lebih penting dibandingkan yang lain, karena jika informasi dan arahan tidak jelas sejak awal, maka sumber daya yang sudah dikeluarkan bisa terbuang sia-sia dan proses birokrasi semakin terasa rumit. Dengan komunikasi yang baik, hambatan lain seperti keterbatasan SDM maupun panjangnya prosedur birokrasi bisa lebih mudah diantisipasi dan dijalani.
</t>
  </si>
  <si>
    <t>Menurut saya, faktor teknologi juga berpengaruh, karena sistem digital yang belum sepenuhnya terintegrasi sering membuat proses menjadi lambat dan membingungkan, padahal jika berjalan dengan baik bisa sangat membantu kelancaran implementasi JPH.</t>
  </si>
  <si>
    <t>PUTRI NUR IMAN NATULLOH</t>
  </si>
  <si>
    <t>rosemayar23@gmail.com</t>
  </si>
  <si>
    <t>ANDRI FIRMANSYAH</t>
  </si>
  <si>
    <t>pelaku usaha</t>
  </si>
  <si>
    <t>Potensi Inkonsistensi Pelaksanaan: Dengan banyaknya lembaga dan daerah yang terlibat, ada potensi inkonsistensi dalam pelaksanaan regulasi dan prosedur JPH di lapangan, yang dapat merugikan pelaku usaha dan mengurangi kepercayaan publik.</t>
  </si>
  <si>
    <t>Peran Ulama dan Organisasi Keagamaan: Fatwa dan panduan dari ulama dan organisasi keagamaan memiliki pengaruh besar terhadap persepsi masyarakat tentang produk halal. Keterlibatan aktif dan dukungan dari tokoh-tokoh ini sangat krusial untuk memastikan JPH berjalan sesuai dengan prinsip syariah.</t>
  </si>
  <si>
    <t>anita.sihalal@mail.com</t>
  </si>
  <si>
    <t>Asinan Sayur Betawi Anita Liauw</t>
  </si>
  <si>
    <t>YENI MARYANI</t>
  </si>
  <si>
    <t>Sosialisasi yang Tidak Merata: Masih banyak pelaku usaha, terutama UMKM dan produsen di daerah terpencil, yang kurang memahami prosedur sertifikasi halal karena kurangnya sosialisasi efektif.</t>
  </si>
  <si>
    <t>Prosedur birokrasi yang kompleks (misal: verifikasi berlapis) memperpanjang waktu sertifikasi, bahkan bisa mematikan motivasi UMKM.</t>
  </si>
  <si>
    <t>Masyarakat Indonesia memiliki tingkat pemahaman yang berbeda tentang standar halal, tergantung latar belakang pendidikan agama dan kearifan lokal.</t>
  </si>
  <si>
    <t>yenimaryani430@gmail.com</t>
  </si>
  <si>
    <t>BASO ACI DAN SEBLAK IBU YENI GARUT</t>
  </si>
  <si>
    <t>ASRAL</t>
  </si>
  <si>
    <t>asralkedurang56@gmail.com</t>
  </si>
  <si>
    <t>bengkulu</t>
  </si>
  <si>
    <t>tapai ketan</t>
  </si>
  <si>
    <t>KARTINI EFRIANTI</t>
  </si>
  <si>
    <t>Platform digital seperti SiHalal BPJPH belum sepenuhnya user-friendly bagi pelaku usaha tradisional.</t>
  </si>
  <si>
    <t>pendiskartini@gmail.com</t>
  </si>
  <si>
    <t>DWIKA JAYA KUE</t>
  </si>
  <si>
    <t>LAIDY MAULIDYA</t>
  </si>
  <si>
    <t>KAB. KARANGASEM</t>
  </si>
  <si>
    <t>Tantangan terbesar adalah komunikasi yang sering kurang jelas, keterbatasan sumber daya, disposisi pelaksana yang belum seragam, serta birokrasi yang masih rumit.</t>
  </si>
  <si>
    <t xml:space="preserve">Menurut saya ada faktor-faktor yang lebih penting dibanding yang lain, terutama soal komunikasi dan struktur birokrasi. Komunikasi menjadi kunci karena tanpa pemahaman yang sama antara pelaku usaha, konsumen, dan lembaga terkait, proses implementasi JPH bisa menimbulkan kebingungan dan ketidakpercayaan. Struktur birokrasi juga sangat berpengaruh, karena kalau alurnya jelas, ringkas, dan transparan, maka pelaku usaha bisa lebih cepat menyesuaikan diri dan menjalankan kewajiban. Sementara sumber daya seperti biaya dan tenaga ahli memang penting, tetapi jika komunikasi dan birokrasi sudah baik, beban tersebut masih bisa diatasi secara bertahap. Disposisi juga punya peran, namun dampaknya lebih terasa kalau sudah ada sistem yang solid, sehingga menurut saya yang paling krusial tetap bagaimana komunikasi berjalan lancar dan birokrasi lebih sederhana.
</t>
  </si>
  <si>
    <t>Menurut saya ada faktor lain yang juga mempengaruhi keberhasilan implementasi JPH, yaitu tingkat kesadaran dan pemahaman konsumen serta pelaku usaha itu sendiri. Banyak pelaku usaha yang masih melihat JPH hanya sebagai kewajiban administratif, bukan sebagai bagian dari komitmen untuk memberikan jaminan kehalalan produk secara menyeluruh. Di sisi lain, konsumen juga berperan penting karena jika permintaan dan kesadaran masyarakat terhadap produk halal semakin tinggi, maka pelaku usaha akan lebih termotivasi untuk berkomitmen menjalankan JPH dengan baik. Selain itu, dukungan teknologi juga sangat berpengaruh, karena sistem yang terintegrasi dan mudah diakses akan mempercepat proses sertifikasi dan meminimalisasi potensi hambatan dalam birokrasi.</t>
  </si>
  <si>
    <t>laidymaulidya@gmail.com</t>
  </si>
  <si>
    <t>Lula Bakery Bali</t>
  </si>
  <si>
    <t>WAHYU SOPANDI</t>
  </si>
  <si>
    <t>Tantangan terbesar dalam implementasi JPH di Indonesia terasa pada komunikasi yang masih sering tidak merata, sehingga pelaku usaha, terutama yang kecil, kadang belum benar-benar paham alur dan kewajibannya. Dari sisi sumber daya, jumlah auditor halal dan fasilitas pendukung masih terbatas dibandingkan dengan banyaknya produk yang harus diawasi. Disposisi juga menjadi kendala karena tidak semua pihak memiliki komitmen dan keseriusan yang sama dalam menjalankan aturan, ada yang hanya sekadar formalitas. Sementara itu, struktur birokrasi yang panjang dan berlapis membuat proses sertifikasi terasa lambat dan berbelit, sehingga menyulitkan pelaku usaha untuk segera mendapatkan kepastian.</t>
  </si>
  <si>
    <t xml:space="preserve">Ya, menurut saya faktor komunikasi lebih penting dibandingkan yang lain, karena tanpa pemahaman yang jelas dari pelaku usaha tentang apa itu JPH dan bagaimana prosesnya, sumber daya yang ada pun tidak akan termanfaatkan maksimal. Jika komunikasi efektif, pelaku usaha bisa lebih siap menyesuaikan diri, birokrasi lebih mudah dijalani, dan komitmen dari berbagai pihak pun lebih mudah terbentuk. Jadi, kunci awalnya ada pada bagaimana pesan dan informasi tentang JPH bisa sampai dengan tepat dan mudah dipahami.
</t>
  </si>
  <si>
    <t>Selain faktor-faktor tadi, menurut saya aspek budaya dan kesadaran masyarakat juga sangat berpengaruh. Jika konsumen semakin peduli pada kehalalan produk, pelaku usaha akan lebih terdorong untuk serius mengurus sertifikasi. Jadi keberhasilan implementasi JPH tidak hanya bergantung pada aturan dan birokrasi, tetapi juga pada tuntutan serta kebiasaan masyarakat yang membentuk iklim usaha lebih patuh terhadap standar halal.</t>
  </si>
  <si>
    <t>wahyusopandi10@gmail.com</t>
  </si>
  <si>
    <t xml:space="preserve">Banten </t>
  </si>
  <si>
    <t>JUS SOP BUAH SI LEGITE</t>
  </si>
  <si>
    <t xml:space="preserve"> Komunikasi Kurangnya sosialisasi merata → Banyak pelaku UMKM, terutama di daerah, belum paham kewajiban sertifikasi halal.  Informasi sering tidak konsisten → Ada perbedaan informasi antara pemerintah pusat, daerah, dan lembaga pendamping.  Bahasa teknis yang rumit → Istilah dalam proses sertifikasi sulit dipahami oleh pelaku usaha kecil.</t>
  </si>
  <si>
    <t>Sumber Daya (utama)
Tanpa SDM auditor halal, laboratorium, dan fasilitas pemeriksaan yang memadai, proses sertifikasi akan macet meskipun komunikasi dan regulasi sudah bagus.
Fakta: Jumlah UMKM di Indonesia ±65 juta, sementara auditor halal dan LPH masih terbatas → terjadi backlog sertifikasi.
Jadi, ketersediaan sumber daya adalah pondasi: kalau tidak ada kapasitas teknis, kebijakan hanya jadi aturan di atas kertas.</t>
  </si>
  <si>
    <t>Budaya dan Kesadaran Masyarakat  Di beberapa daerah, tingkat kesadaran masyarakat untuk mengonsumsi produk halal masih rendah, sehingga tekanan pasar kepada pelaku usaha juga kecil.  Di sisi lain, ada pelaku usaha yang menganggap sertifikasi halal “sekadar formalitas”, bukan kebutuhan utama. 👉 Jadi, keberhasilan JPH sangat dipengaruhi oleh demand masyarakat.</t>
  </si>
  <si>
    <t>PU YAIS</t>
  </si>
  <si>
    <t>SDM auditor halal terbatas → Jumlah auditor halal dan Lembaga Pemeriksa Halal (LPH) masih sedikit dibandingkan jumlah produk/UMKM yang harus disertifikasi.  Fasilitas laboratorium belum merata → Banyak daerah belum punya lab halal, sehingga pengujian harus ke kota besar.  Biaya sertifikasi → Walau ada subsidi untuk UMK, banyak usaha menengah dan besar menganggap biayanya masih mahal.  📌 Dampak: Proses sertifikasi lambat, antrean panjang, dan banyak pelaku usaha menunda.</t>
  </si>
  <si>
    <t>Ya, saya merasa memang ada faktor tertentu yang lebih krusial daripada yang lain dalam konteks implementasi Jaminan Produk Halal (JPH) di Indonesia. Sumber Daya (utama)
Implementasi JPH sangat bergantung pada ketersediaan auditor halal, laboratorium uji, dan Lembaga Pemeriksa Halal (LPH).
Jumlah UMKM di Indonesia mencapai ±65 juta, tapi jumlah auditor halal dan fasilitas uji masih sangat terbatas → ini menimbulkan antrean sertifikasi panjang.
Tanpa kapasitas teknis, aturan dan sosialisasi tidak akan berjalan efektif.
👉 Karena itu, sumber daya adalah fondasi utama. Tanpa SDM dan infrastruktur, sertifikasi halal akan terhambat meskipun komunikasi dan regulasi sudah baik.</t>
  </si>
  <si>
    <t>Budaya dan Kesadaran Masyarakat  Kesadaran konsumen untuk mencari produk halal berbeda-beda antar daerah.  Jika demand masyarakat rendah, pelaku usaha juga tidak merasa perlu segera mengurus sertifikasi.</t>
  </si>
  <si>
    <t>SAMAWATI</t>
  </si>
  <si>
    <t>4.	Struktur Birokrasi o	Tumpang tindih kewenangan antara BPJPH, MUI, LPH, dan pemerintah daerah menimbulkan kerumitan. o	Proses sertifikasi masih dianggap panjang (pendaftaran → pemeriksaan → fatwa halal → penerbitan sertifikat).</t>
  </si>
  <si>
    <t xml:space="preserve">Struktur Birokrasi (penting kedua)
•	Proses sertifikasi melibatkan banyak lembaga (BPJPH, MUI, LPH, Kemenag, Pemda), yang sering menimbulkan kerumitan administrasi.
•	Prosedur berlapis dan koordinasi yang belum lancar menyebabkan proses lambat, terutama bagi UMKM.
👉 Alasan: Birokrasi yang sederhana dan efisien akan mempercepat implementasi, meskipun sumber daya terbatas
</t>
  </si>
  <si>
    <t>2.	Kondisi Ekonomi dan Biaya Sertifikasi o	Bagi UMKM, biaya sertifikasi masih dianggap mahal, meskipun ada program sertifikasi gratis (SEHATI). o	Usaha kecil sering menunda pengurusan sertifikat karena modal terbatas, lebih fokus ke operasional sehari-hari.</t>
  </si>
  <si>
    <t>samawatisamawati144@gmail.com</t>
  </si>
  <si>
    <t>Warung Rizky</t>
  </si>
  <si>
    <t>ADE SURYA GUMELAR</t>
  </si>
  <si>
    <t>KOTA TANGERANG SELATAN</t>
  </si>
  <si>
    <t>Tantangan terbesar dalam implementasi JPH di Indonesia adalah komunikasi yang belum merata hingga ke pelaku usaha kecil, keterbatasan sumber daya manusia dan fasilitas pendukung, disposisi yang berbeda-beda antar pemangku kepentingan, serta struktur birokrasi yang masih panjang dan sering memperlambat proses sertifikasi.</t>
  </si>
  <si>
    <t xml:space="preserve">Ya, faktor komunikasi menjadi yang paling penting karena tanpa pemahaman yang jelas dan menyeluruh, pelaku usaha sulit menyesuaikan diri dengan aturan JPH meskipun sumber daya, disposisi, dan struktur birokrasi tersedia. Komunikasi yang efektif dapat mempercepat adaptasi, mengurangi kesalahpahaman, serta mendorong sinergi antar pihak sehingga faktor lain dapat berjalan lebih optimal.
</t>
  </si>
  <si>
    <t>Ada, salah satunya adalah faktor budaya dan kesadaran masyarakat. Tingkat pemahaman dan kepedulian konsumen terhadap pentingnya JPH sangat mempengaruhi keberhasilan implementasi, karena semakin tinggi tuntutan pasar terhadap produk halal, semakin besar pula dorongan bagi pelaku usaha untuk patuh. Selain itu, dukungan teknologi juga berperan penting dalam mempercepat proses sertifikasi dan transparansi informasi.</t>
  </si>
  <si>
    <t>suryagumelar10@gmail.com</t>
  </si>
  <si>
    <t>ES TEH MANIS SOLO JUMBO</t>
  </si>
  <si>
    <t>ZAHRATUL WIRDIYAH</t>
  </si>
  <si>
    <t>2.	Sumber Daya o	Jumlah auditor halal dan Lembaga Pemeriksa Halal (LPH) masih terbatas dibanding jumlah pelaku usaha (±65 juta UMKM). o	Fasilitas laboratorium uji halal belum merata di semua provinsi. o	Pendamping Proses Produk Halal (PPH) masih sedikit, padahal sangat dibutuhkan untuk UMK.</t>
  </si>
  <si>
    <t xml:space="preserve">Sumber Daya (paling penting)
•	Jumlah auditor halal, LPH (Lembaga Pemeriksa Halal), dan laboratorium uji sangat terbatas dibanding jumlah UMKM.
•	Tanpa SDM dan infrastruktur yang cukup, proses sertifikasi halal pasti terhambat meskipun komunikasi dan regulasi sudah baik.
👉 Alasan: Sumber daya adalah fondasi utama. Kalau kapasitas teknis tidak tersedia, kebijakan tidak bisa diimplementasikan
</t>
  </si>
  <si>
    <t>1.	Kesadaran dan Budaya Masyarakat o	Tingkat religiusitas dan kepedulian konsumen terhadap produk halal berbeda antar daerah. o	Jika demand masyarakat terhadap produk halal tinggi, pelaku usaha lebih termotivasi untuk mengurus sertifikasi.</t>
  </si>
  <si>
    <t>zahratulwirdiyah@gmail.com</t>
  </si>
  <si>
    <t>MAWSIL</t>
  </si>
  <si>
    <t>DENI ERIANTO</t>
  </si>
  <si>
    <t>Tantangan terbesar dalam implementasi JPH di Indonesia terletak pada komunikasi yang masih belum merata antara pemerintah, pelaku usaha, dan masyarakat sehingga sering menimbulkan salah persepsi mengenai kewajiban dan prosedur. Dari sisi sumber daya, keterbatasan tenaga auditor halal, laboratorium uji, serta biaya sertifikasi menjadi hambatan yang memperlambat proses. Disposisi atau komitmen para pihak juga beragam, ada yang mendukung penuh namun ada pula yang masih melihatnya sebagai beban tambahan, sehingga implementasi tidak berjalan seragam. Sementara itu, struktur birokrasi yang panjang dan sering berubah-ubah membuat alur sertifikasi dan pengawasan kurang efisien, menimbulkan ketidakpastian, serta memperlambat pelaku usaha kecil dalam memenuhi ketentuan. Semua faktor ini saling berkaitan dan berpengaruh pada efektivitas penerapan JPH di lapangan.</t>
  </si>
  <si>
    <t xml:space="preserve">Ya, ada faktor tertentu yang lebih penting daripada yang lain dalam implementasi JPH di Indonesia. Komunikasi menjadi kunci utama karena tanpa pemahaman yang jelas dan merata, terutama di kalangan pelaku usaha mikro dan kecil, proses implementasi sering terhambat. Banyak pelaku usaha yang belum mengetahui secara detail prosedur, biaya, dan manfaat sertifikasi halal, sehingga sosialisasi yang efektif sangat berpengaruh terhadap keberhasilan program. Selain itu, ketersediaan sumber daya, baik berupa auditor halal maupun laboratorium pengujian, juga sangat menentukan. Tanpa dukungan sumber daya yang memadai, proses sertifikasi akan menjadi lambat dan menambah beban bagi pelaku usaha. Struktur birokrasi memang penting, tetapi jika komunikasi dan sumber daya tidak diperkuat terlebih dahulu, birokrasi yang baik sekalipun tidak akan berjalan optimal. Karena itu, faktor komunikasi dan sumber daya dapat dianggap lebih krusial dibandingkan faktor lainnya, sebab keduanya menjadi pondasi bagi keberlangsungan dan kelancaran implementasi JPH secara nasional.
</t>
  </si>
  <si>
    <t>Selain komunikasi, sumber daya, disposisi, dan struktur birokrasi, terdapat faktor lain yang juga memengaruhi keberhasilan implementasi JPH di Indonesia, yaitu tingkat literasi dan kesadaran masyarakat terkait pentingnya produk halal. Banyak konsumen yang masih menganggap label halal hanya sebagai formalitas, sehingga dorongan dari sisi permintaan belum cukup kuat untuk menekan produsen agar lebih proaktif dalam sertifikasi. Selain itu, dukungan teknologi juga sangat penting, misalnya melalui sistem digitalisasi layanan sertifikasi halal yang lebih transparan, cepat, dan mudah diakses. Faktor lain yang tidak kalah berpengaruh adalah aspek ekonomi, khususnya biaya sertifikasi yang bagi sebagian pelaku UMKM dianggap cukup berat, sehingga menimbulkan resistensi dalam pelaksanaannya. Peran lembaga keuangan, asosiasi usaha, dan pendampingan dari pemerintah maupun organisasi masyarakat menjadi krusial untuk memastikan seluruh pelaku usaha, termasuk yang berskala kecil, dapat terlibat secara aktif dalam sistem JPH. Dengan demikian, keberhasilan implementasi JPH tidak hanya bergantung pada faktor birokrasi, tetapi juga pada sinergi antara kesadaran masyarakat, dukungan teknologi, dan keberpihakan terhadap kondisi ekonomi pelaku usaha.</t>
  </si>
  <si>
    <t>zainalkemenag79@gmail.com</t>
  </si>
  <si>
    <t>MPEK MPEK DENI</t>
  </si>
  <si>
    <t>LUTFATUL LATIFAH</t>
  </si>
  <si>
    <t>o	Jumlah auditor halal dan Lembaga Pemeriksa Halal (LPH) masih terbatas dibanding jumlah pelaku usaha (±65 juta UMKM). o	Fasilitas laboratorium uji halal belum merata di semua provinsi. o	Pendamping Proses Produk Halal (PPH) masih sedikit, padahal sangat dibutuhkan untuk UMK</t>
  </si>
  <si>
    <t xml:space="preserve">Sumber Daya (paling penting)
•	Jumlah auditor halal, LPH (Lembaga Pemeriksa Halal), dan laboratorium uji sangat terbatas dibanding jumlah UMKM.
•	Tanpa SDM dan infrastruktur yang cukup, proses sertifikasi halal pasti terhambat meskipun komunikasi dan regulasi sudah baik.
</t>
  </si>
  <si>
    <t>lutfatull01@gmail.com</t>
  </si>
  <si>
    <t>SULTAN ANDARA</t>
  </si>
  <si>
    <t>ASTI OKTA RINA</t>
  </si>
  <si>
    <t>WARUNG ALPHA</t>
  </si>
  <si>
    <t>3.	Disposisi (Komitmen Pelaksana) o	Ada variasi komitmen antar daerah: di daerah religius biasanya lebih kuat, di daerah lain kadang masih rendah prioritasnya. o	Sebagian pelaksana teknis belum melihat JPH sebagai kebutuhan mendesak, lebih dianggap beban administratif.</t>
  </si>
  <si>
    <t xml:space="preserve">•	Jumlah auditor halal, LPH (Lembaga Pemeriksa Halal), dan laboratorium uji sangat terbatas dibanding jumlah UMKM.
•	Tanpa SDM dan infrastruktur yang cukup, proses sertifikasi halal pasti terhambat meskipun komunikasi dan regulasi sudah baik.
</t>
  </si>
  <si>
    <t>astioktarina33@gmail.com</t>
  </si>
  <si>
    <t>HASNA</t>
  </si>
  <si>
    <t>1.	Komunikasi o	Sosialisasi ke pelaku UMKM masih belum merata; banyak yang belum paham kewajiban sertifikasi halal. o	Informasi sering berubah seiring revisi regulasi → menimbulkan kebingungan. o	Kendala bahasa/akses informasi di daerah terpencil juga memperlambat pemahaman masyarakat.</t>
  </si>
  <si>
    <t>hasnahcendol08@gmail.com</t>
  </si>
  <si>
    <t>Es Cendol Wak Hasna</t>
  </si>
  <si>
    <t>LUFI OKRIKA ANGGRIANITA</t>
  </si>
  <si>
    <t>o	Tumpang tindih kewenangan antara BPJPH, MUI, LPH, dan pemerintah daerah menimbulkan kerumitan. o	Proses sertifikasi masih dianggap panjang (pendaftaran → pemeriksaan → fatwa halal → penerbitan sertifikat).</t>
  </si>
  <si>
    <t>•	Proses sertifikasi melibatkan banyak lembaga (BPJPH, MUI, LPH, Kemenag, Pemda), yang sering menimbulkan kerumitan administrasi.</t>
  </si>
  <si>
    <t>albasilalbasil42@gmail.com</t>
  </si>
  <si>
    <t>KUSMAT</t>
  </si>
  <si>
    <t>s8000208@gmail.com</t>
  </si>
  <si>
    <t>Tahu</t>
  </si>
  <si>
    <t>ELDA SARIMURNI</t>
  </si>
  <si>
    <t>1. Komunikasi  Tantangan utama: Kurangnya sosialisasi dan edukasi kepada pelaku usaha dan masyarakat.  Kurangnya pemahaman pelaku UMKM terhadap kewajiban sertifikasi halal, proses pendaftaran, dan pentingnya kehalalan produk.  Informasi tidak merata, terutama di daerah terpencil atau luar Jawa, membuat banyak pelaku usaha belum mengetahui prosedur dan manfaat JPH.  Ketidakterpaduan komunikasi antar lembaga (BPJPH, LPPOM MUI, Kemenag daerah, dsb) menyebabkan kebingungan pelaku usaha mengenai regulasi dan alur sertifikasi.  2. Sumber Daya  Tantangan utama: Keterbatasan tenaga auditor halal dan infrastruktur pendukung.  Jumlah auditor halal (Lembaga Pemeriksa Halal/LH) masih sangat terbatas dibandingkan kebutuhan nasional.  Kurangnya laboratorium pengujian halal yang terakreditasi dan tersebar secara merata di seluruh Indonesia.  SDM pendukung lainnya (penyuluh, pendamping proses produk halal) masih belum cukup, khususnya di daerah.  3. Disposisi (Komitmen dan Sikap Pelaksana)  Tantangan utama: Masih rendahnya komitmen dan kesadaran dari pelaksana di lapangan.  Sebagian pelaksana (baik di pusat maupun daerah) belum memiliki kesadaran penuh atau prioritas tinggi terhadap implementasi JPH.  Beberapa oknum masih terjebak pada pola lama, enggan berubah ke sistem baru berbasis regulasi BPJPH yang lebih ketat dan transparan.  Ada persepsi bahwa sertifikasi halal hanya administratif, bukan bagian dari pelayanan publik atau komitmen religius.  4. Struktur Birokrasi  Tantangan utama: Tumpang tindih kewenangan dan kompleksitas regulasi.  Overlapping peran antara BPJPH, MUI, LPH, dan pemerintah daerah kadang menimbulkan kebingungan pelaku usaha.  Prosedur birokrasi yang masih berbelit dan lambat, terutama pada tahap verifikasi dan penerbitan sertifikat.  Koordinasi antar instansi belum optimal, menyebabkan kurang efisiennya proses dan inkonsistensi pelaksanaan di lapangan.</t>
  </si>
  <si>
    <t xml:space="preserve">1. Sumber Daya (Human dan Infrastruktur) → Faktor Paling Penting
Alasan:
Tanpa auditor halal, laboratorium pengujian, dan lembaga pemeriksa halal (LPH) yang memadai, proses sertifikasi tidak bisa berjalan meskipun regulasi dan niat politik sudah ada.
Di banyak daerah, pelaku usaha kesulitan mengakses layanan halal karena keterbatasan jumlah auditor, pendamping halal, dan sarana penunjang.
Bahkan jika pelaku usaha sudah memahami dan ingin mengikuti proses JPH, keterbatasan sumber daya akan menjadi bottleneck utama.
Contoh Nyata:
UMKM di Papua atau NTT yang sudah ingin mendaftar, tapi tidak ada LPH atau auditor halal terdekat, sehingga sertifikasi tertunda atau tidak dilakukan sama sekali.
🔷 2. Struktur Birokrasi → Faktor Penentu Efisiensi
Alasan:
JPH melibatkan banyak aktor: BPJPH, MUI, LPH, pemerintah daerah, dan Kementerian terkait. Jika struktur koordinasi tidak jelas, maka proses sertifikasi jadi lambat, tumpang tindih, bahkan saling menyalahkan.
Birokrasi yang tidak efisien bisa menghambat motivasi pelaku usaha, terutama UMKM, karena merasa sistem terlalu rumit atau membingungkan.
Contoh:
Proses verifikasi yang seharusnya selesai dalam waktu 21 hari bisa molor menjadi berbulan-bulan karena alur birokrasi tidak sinkron.
🔸 Faktor Komunikasi &amp; Disposisi → Penting, tapi Sekunder
Komunikasi:
Sangat penting untuk edukasi dan penyadaran, tapi ini akan percuma jika tidak didukung SDM dan struktur sistem yang siap.
Bisa ditingkatkan dengan strategi kampanye atau digitalisasi.
Disposisi:
Komitmen pelaksana penting, tapi bisa dibentuk lewat pelatihan, insentif, dan pengawasan. Artinya, faktor ini bisa menyusul jika sistem dan SDM sudah mapan.
</t>
  </si>
  <si>
    <t>1. Regulasi dan Kepastian Hukum Mengapa penting:  Tanpa regulasi yang jelas, konsisten, dan tidak berubah-ubah, pelaku usaha akan ragu dalam mengikuti proses sertifikasi.  Perlu sinkronisasi antara UU, PP, dan kebijakan teknis, terutama antara BPJPH dan MUI.  Ketidakjelasan peran atau kewenangan, misalnya terkait siapa yang berhak mengeluarkan fatwa halal, bisa menimbulkan konflik kelembagaan dan ketidakpastian pelaksanaan.  🔷 2. Ketersediaan Dana dan Skema Pembiayaan Mengapa penting:  Banyak pelaku usaha, terutama UMKM, terkendala oleh biaya sertifikasi halal meskipun sudah diberi subsidi atau jalur self-declare.  Pendanaan untuk operasional BPJPH, LPH, pelatihan SDM, dan pengembangan infrastruktur halal juga sangat krusial.  Kurangnya insentif fiskal atau subsidi dari pemerintah dapat memperlambat implementasi di sektor-sektor strategis.  🔸 3. Peran Dunia Usaha dan Sektor Swasta Mengapa penting:  Respons dan partisipasi sektor swasta menjadi penentu keberhasilan implementasi JPH. Jika mereka merasa sistem tidak efisien atau terlalu birokratis, mereka akan enggan mendaftar.  Perusahaan besar dapat menjadi penggerak utama dalam menciptakan rantai pasok halal yang kredibel, yang akan berdampak ke hulu dan hilir.  🔹 4. Kebijakan Digitalisasi dan Teknologi Informasi Mengapa penting:  Sistem digital yang mudah, transparan, dan terintegrasi sangat membantu mempercepat proses pendaftaran dan monitoring.  Saat ini, beberapa sistem JPH masih terfragmentasi atau belum sepenuhnya interoperabel antara pusat dan daerah.  🔸 5. Budaya Lokal dan Keberagaman Agama Mengapa penting:  Indonesia sangat beragam; di daerah yang mayoritas non-Muslim, kesadaran dan urgensi terhadap sertifikasi halal bisa jadi lebih rendah.  Perlu pendekatan yang inklusif dan kontekstual, agar implementasi JPH tidak dianggap sebagai pemaksaan nilai, tapi sebagai bagian dari standar mutu dan hak konsumen.</t>
  </si>
  <si>
    <t>tasyaelda00@gmail.com</t>
  </si>
  <si>
    <t>Cireng Budang</t>
  </si>
  <si>
    <t>ISTI PRIYATUN</t>
  </si>
  <si>
    <t>KAB. SLEMAN</t>
  </si>
  <si>
    <t>1. Sumber Daya (Human dan Infrastruktur) → Faktor Paling Penting
Alasan:
Tanpa auditor halal, laboratorium pengujian, dan lembaga pemeriksa halal (LPH) yang memadai, proses sertifikasi tidak bisa berjalan meskipun regulasi dan niat politik sudah ada.
Di banyak daerah, pelaku usaha kesulitan mengakses layanan halal karena keterbatasan jumlah auditor, pendamping halal, dan sarana penunjang.
Bahkan jika pelaku usaha sudah memahami dan ingin mengikuti proses JPH, keterbatasan sumber daya akan menjadi bottleneck utama.
Contoh Nyata:
UMKM di Papua atau NTT yang sudah ingin mendaftar, tapi tidak ada LPH atau auditor halal terdekat, sehingga sertifikasi tertunda atau tidak dilakukan sama sekali.
🔷 2. Struktur Birokrasi → Faktor Penentu Efisiensi
Alasan:
JPH melibatkan banyak aktor: BPJPH, MUI, LPH, pemerintah daerah, dan Kementerian terkait. Jika struktur koordinasi tidak jelas, maka proses sertifikasi jadi lambat, tumpang tindih, bahkan saling menyalahkan.
Birokrasi yang tidak efisien bisa menghambat motivasi pelaku usaha, terutama UMKM, karena merasa sistem terlalu rumit atau membingungkan.
Contoh:
Proses verifikasi yang seharusnya selesai dalam waktu 21 hari bisa molor menjadi berbulan-bulan karena alur birokrasi tidak sinkron.
🔸 Faktor Komunikasi &amp; Disposisi → Penting, tapi Sekunder
Komunikasi:
Sangat penting untuk edukasi dan penyadaran, tapi ini akan percuma jika tidak didukung SDM dan struktur sistem yang siap.
Bisa ditingkatkan dengan strategi kampanye atau digitalisasi.
Disposisi:
Komitmen pelaksana penting, tapi bisa dibentuk lewat pelatihan, insentif, dan pengawasan. Artinya, faktor ini bisa menyusul jika sistem dan SDM sudah mapan.</t>
  </si>
  <si>
    <t>irajayu@gmail.com</t>
  </si>
  <si>
    <t>DI YOGYAKARTA</t>
  </si>
  <si>
    <t>KUE LUMPIA SAYUR ISTI</t>
  </si>
  <si>
    <t>ADE UTAMI</t>
  </si>
  <si>
    <t>1. Komunikasi Tantangan Terbesar:  Kurangnya pemahaman dan informasi yang merata di kalangan pelaku usaha, khususnya UMKM.  Penjelasan:  Sosialisasi mengenai kewajiban sertifikasi halal belum optimal, terutama di daerah pelosok atau non-perkotaan.  Banyak pelaku usaha tidak tahu cara mengakses layanan sertifikasi halal atau menganggapnya rumit dan mahal.  Terjadi kebingungan akibat informasi yang tidak seragam dari berbagai lembaga (BPJPH, MUI, LPH, dinas daerah, dsb).  ✅ 2. Sumber Daya Tantangan Terbesar:  Keterbatasan auditor halal, pendamping halal, dan infrastruktur pendukung.  Penjelasan:  Jumlah auditor halal dan lembaga pemeriksa halal (LPH) belum sebanding dengan jumlah pelaku usaha di seluruh Indonesia.  Fasilitas seperti laboratorium uji halal masih terbatas dan terkonsentrasi di wilayah tertentu.  Masih banyak daerah yang belum memiliki tenaga pendamping halal yang memadai, terutama untuk mendukung skema self-declare bagi UMKM.  ✅ 3. Disposisi (Sikap dan Komitmen Pelaksana) Tantangan Terbesar:  Rendahnya komitmen dan kesadaran sebagian pelaksana di tingkat daerah.  Penjelasan:  Tidak semua aparatur pemerintah daerah memahami pentingnya JPH sebagai bagian dari perlindungan konsumen dan amanah Undang-Undang.  Ada yang menganggap JPH sekadar kewajiban administratif, bukan program strategis nasional.  Sikap pasif atau bahkan resistensi terhadap perubahan sistem dari pendekatan lama ke pendekatan berbasis BPJPH.  ✅ 4. Struktur Birokrasi Tantangan Terbesar:  Tumpang tindih kewenangan dan belum optimalnya koordinasi antar-lembaga.  Penjelasan:  Implementasi JPH melibatkan banyak aktor: BPJPH, MUI, LPH, pemerintah daerah, dan Kementerian/Lembaga terkait.  Peran dan tanggung jawab yang belum sepenuhnya terdefinisi dengan jelas seringkali menimbulkan kebingungan atau perlambatan proses.  Contoh nyata: keterlambatan dalam proses fatwa halal karena perbedaan prosedur antara BPJPH dan MUI.</t>
  </si>
  <si>
    <t>1. Sumber Daya (Paling Penting)
Mengapa lebih penting:
Tanpa ketersediaan auditor halal, LPH (Lembaga Pemeriksa Halal), pendamping halal, dan laboratorium uji halal, proses sertifikasi tidak bisa berjalan, meskipun komunikasi, birokrasi, dan niat baik pelaksana sudah ada.
Banyak pelaku usaha, terutama UMKM, terhambat bukan karena tidak mau, tetapi karena tidak ada fasilitas atau tenaga ahli yang bisa melayani mereka.
SDM yang minim menyebabkan antrean sertifikasi panjang, waktu proses molor, dan kualitas pelayanan turun.
Ilustrasi:
Jika pelaku usaha sudah paham dan mau mendaftar (komunikasi oke), petugas di daerah siap membantu (disposisi oke), dan alur birokrasi sudah efisien (struktur oke), tapi tidak ada auditor halal atau laboratorium di daerah tersebut, maka sertifikasi tetap tidak akan terjadi.
🟠 2. Struktur Birokrasi
Mengapa penting:
Implementasi JPH melibatkan berbagai instansi: BPJPH, MUI, LPH, dinas daerah, dan Kementerian lain. Jika struktur koordinasinya tumpang tindih atau tidak jelas, proses akan tersendat.
Struktur birokrasi juga berpengaruh pada kecepatan pelayanan, efisiensi anggaran, dan kepastian hukum.
🟡 3. Komunikasi
Mengapa penting tetapi bukan yang utama:
Komunikasi efektif dibutuhkan agar pelaku usaha tahu prosedur, pentingnya sertifikasi, dan cara mengakses layanan.
Tapi komunikasi tidak akan efektif jika setelah mendapat informasi, pelaku usaha tetap tidak bisa mengakses layanan karena tidak tersedia SDM atau fasilitasnya.
🟢 4. Disposisi
Mengapa penting, tapi bersifat pelengkap:
Disposisi atau sikap pelaksana bisa diperbaiki dengan pelatihan, monitoring, dan insentif.
Jika sistem sudah terbangun dengan baik dan didukung SDM dan struktur yang kuat, maka sikap pelaksana bisa mengikuti.
Disposisi memang penting, tapi bukan akar utama kegagalan implementasi JPH.</t>
  </si>
  <si>
    <t>1. Kepastian Regulasi dan Harmonisasi Hukum Mengapa penting:  Implementasi JPH bergantung pada landasan hukum yang kuat, konsisten, dan sinkron antara undang-undang, peraturan pemerintah, dan kebijakan teknis.  Tumpang tindih atau ketidaksinkronan peraturan (misalnya antara BPJPH dan MUI) bisa menyebabkan konflik kewenangan dan kebingungan teknis di lapangan.  Kepastian hukum juga penting untuk pelaku usaha agar mereka tidak ragu atau takut salah langkah dalam mengikuti proses sertifikasi.  ✅ 2. Ketersediaan Anggaran dan Skema Pembiayaan Mengapa penting:  Banyak pelaku usaha kecil dan menengah (UMKM) tidak mampu menanggung biaya sertifikasi halal, terutama jika harus melalui skema reguler.  Meski ada skema self-declare, tetap dibutuhkan pendampingan dan sistem pendukung, yang memerlukan pembiayaan.  Di sisi lain, BPJPH dan LPH juga membutuhkan dana operasional untuk membangun sistem, melatih SDM, dan memperluas jangkauan layanan.  ✅ 3. Digitalisasi Sistem dan Teknologi Informasi Mengapa penting:  Sistem yang terintegrasi secara digital dapat mempercepat proses sertifikasi, memudahkan pelaporan, dan meningkatkan transparansi.  Saat ini, banyak proses masih manual, lambat, dan tidak sinkron antar-lembaga.  Aplikasi yang ramah pengguna sangat dibutuhkan, terutama bagi UMKM di daerah yang kurang familiar dengan prosedur birokrasi konvensional.  ✅ 4. Keterlibatan Dunia Usaha dan Industri Mengapa penting:  Keberhasilan JPH tidak hanya bergantung pada pemerintah, tetapi juga pada inisiatif dan komitmen dunia usaha, termasuk pelaku industri besar.  Jika perusahaan besar aktif menjalankan sertifikasi halal, maka mereka bisa menarik pelaku di rantai pasoknya untuk ikut serta.  Dunia usaha juga berperan penting dalam menyuarakan masukan terkait kebijakan, efisiensi, dan kendala teknis di lapangan.  ✅ 5. Kondisi Sosial-Budaya dan Keberagaman Wilayah Mengapa penting:  Implementasi JPH di Indonesia tidak bisa seragam di semua daerah, karena ada perbedaan budaya, komposisi agama, dan tingkat ekonomi.  Di daerah mayoritas non-Muslim, urgensi halal mungkin lebih rendah, sehingga perlu pendekatan yang kontekstual dan tidak normatif.  Di daerah tertinggal, tantangan utama bukan hanya birokrasi, tetapi akses fisik dan geografis terhadap layanan JPH.</t>
  </si>
  <si>
    <t>antoyul980@gmail.com</t>
  </si>
  <si>
    <t>THIWUL MANIS KANG EKO</t>
  </si>
  <si>
    <t>ZURMIATI</t>
  </si>
  <si>
    <t xml:space="preserve">2.	Sumber Daya o	Jumlah auditor halal dan Lembaga Pemeriksa Halal (LPH) masih terbatas dibanding jumlah pelaku usaha (±65 juta UMKM). o	Fasilitas laboratorium uji halal belum merata di semua provinsi. o	Pendamping Proses </t>
  </si>
  <si>
    <t xml:space="preserve">Sumber Daya (paling penting)
•	Jumlah auditor halal, LPH (Lembaga Pemeriksa Halal), dan laboratorium uji sangat terbatas dibanding jumlah UMKM.
•	Tanpa SDM dan infrastruktur yang cukup, proses sertifikasi halal pasti terhambat meskipun komunikasi dan regulasi sudah baik.
👉 Alasan: Sumber daya adalah fondasi utama. Kalau kapasitas teknis tidak tersedia, kebijakan tidak bisa diimplementasikan.
</t>
  </si>
  <si>
    <t>zurmiati2012@gmail.com</t>
  </si>
  <si>
    <t>Es Puding</t>
  </si>
  <si>
    <t>NGADINEM</t>
  </si>
  <si>
    <t>pnugraha271@gmail.com</t>
  </si>
  <si>
    <t>TAPE KETAN HITAM NGADINEM</t>
  </si>
  <si>
    <t>ROMANO</t>
  </si>
  <si>
    <t>r3413990@gmail.com</t>
  </si>
  <si>
    <t>Martabak Bangka Ratu</t>
  </si>
  <si>
    <t>WAHYU MAHARANI</t>
  </si>
  <si>
    <t>KOTA YOGYAKARTA</t>
  </si>
  <si>
    <t>1. Tantangan Terbesar Implementasi JPH  Dalam pelaksanaan JPH di Indonesia, masing-masing faktor punya tantangan tersendiri:  Komunikasi: Banyak pelaku usaha, khususnya UMKM, belum paham pentingnya sertifikasi halal. Sosialisasi masih belum merata, terutama di daerah.  Sumber Daya: Jumlah auditor halal, LPH, dan laboratorium sangat terbatas. Ini bikin proses sertifikasi jadi lambat atau tidak bisa berjalan.  Disposisi: Di lapangan, masih ada aparatur yang kurang peduli atau belum menganggap JPH sebagai hal penting.  Struktur Birokrasi: Koordinasi antar lembaga belum rapi. Kadang ada tumpang tindih tugas, yang bikin proses sertifikasi jadi berbelit.</t>
  </si>
  <si>
    <t>sumber daya adalah faktor paling penting.
Kenapa? Karena meski komunikasi bagus dan aturan sudah jelas, tanpa auditor halal, pendamping, dan fasilitas yang cukup, proses JPH tetap macet. Ini fondasi utama agar sistem bisa jalan. Setelah itu, struktur birokrasi penting juga agar semua pihak bisa bekerja sama secara efisien. Komunikasi dan disposisi penting, tapi bisa menyusul setelah dua faktor utama itu kuat.</t>
  </si>
  <si>
    <t>Ada beberapa faktor penting lain yang juga sangat berpengaruh:  Regulasi yang jelas dan sinkron antar lembaga, supaya tidak saling tumpang tindih.  Pendanaan dan subsidi untuk UMKM, karena biaya sertifikasi masih jadi kendala.  Sistem digital yang mudah diakses, biar proses pendaftaran dan pemantauan lebih cepat dan transparan.  Dukungan dari dunia usaha, terutama industri besar agar bisa menarik pelaku lain dalam rantai pasoknya.  Kondisi sosial-budaya di tiap daerah juga harus diperhatikan, karena pendekatan di Jawa tentu beda dengan di Papua atau NTT.</t>
  </si>
  <si>
    <t>rinamaharani1080@gmail.com</t>
  </si>
  <si>
    <t>YOGYAKARTA</t>
  </si>
  <si>
    <t>Kedai Makan "Mbak Enggar"</t>
  </si>
  <si>
    <t>FARIDA EKA WARDANI</t>
  </si>
  <si>
    <t>o	Ada variasi komitmen antar daerah: di daerah religius biasanya lebih kuat, di daerah lain kadang masih rendah prioritasnya. o	Sebagian pelaksana teknis belum melihat JPH sebagai kebutuhan mendesak, lebih dianggap beban administratif.</t>
  </si>
  <si>
    <t xml:space="preserve">Sumber Daya (paling penting)
•	Jumlah auditor halal, LPH (Lembaga Pemeriksa Halal), dan laboratorium uji sangat terbatas dibanding jumlah UMKM.
</t>
  </si>
  <si>
    <t>ekafarida424@gmail.com</t>
  </si>
  <si>
    <t>DI Yogyakarta</t>
  </si>
  <si>
    <t>PASTEL BIHUN EKA</t>
  </si>
  <si>
    <t>PRATISSARI DEWI</t>
  </si>
  <si>
    <t>1. Regulasi dan Kepastian Hukum Mengapa penting:  Tanpa regulasi yang jelas, konsisten, dan tidak berubah-ubah, pelaku usaha akan ragu dalam mengikuti proses sertifikasi.  Perlu sinkronisasi antara UU, PP, dan kebijakan teknis, terutama antara BPJPH dan MUI.  Ketidakjelasan peran atau kewenangan, misalnya terkait siapa yang berhak mengeluarkan fatwa halal, bisa menimbulkan konflik kelembagaan dan ketidakpastian pelaksanaan.  🔷 2. Ketersediaan Dana dan Skema Pembiayaan Mengapa penting:  Banyak pelaku usaha, terutama UMKM, terkendala oleh biaya sertifikasi halal meskipun sudah diberi subsidi atau jalur self-declare.  Pendanaan untuk operasional BPJPH, LPH, pelatihan SDM, dan pengembangan infrastruktur halal juga sangat krusial.  Kurangnya insentif fiskal atau subsidi dari pemerintah dapat memperlambat implementasi di sektor-sektor strategis.  🔸 3. Peran Dunia Usaha dan Sektor Swasta Mengapa penting:  Respons dan partisipasi sektor swasta menjadi penentu keberhasilan implementasi JPH. Jika mereka merasa sistem tidak efisien atau terlalu birokratis, mereka akan enggan mendaftar.  Perusahaan besar dapat menjadi penggerak utama dalam menciptakan rantai pasok halal yang kredibel, yang akan berdampak ke hulu dan hilir.  🔹 4. Kebijakan Digitalisasi dan Teknologi Informasi Mengapa penting:Sistem digital yang mudah, transparan, dan terintegrasi sangat membantu mempercepat proses pendaftaran dan monitoring.  Saat ini, beberapa sistem JPH masih terfragmentasi atau belum sepenuhnya interoperabel antara pusat dan daerah.  🔸 5. Budaya Lokal dan Keberagaman Agama Mengapa penting:  Indonesia sangat beragam; di daerah yang mayoritas non-Muslim, kesadaran dan urgensi terhadap sertifikasi halal bisa jadi lebih rendah.  Perlu pendekatan yang inklusif dan kontekstual, agar implementasi JPH tidak dianggap sebagai pemaksaan nilai, tapi sebagai bagian dari standar mutu dan hak konsumen.</t>
  </si>
  <si>
    <t>dewipratissari@gmail.com</t>
  </si>
  <si>
    <t>Lotong Sayur Ibu Pratissari</t>
  </si>
  <si>
    <t>TUMINEM</t>
  </si>
  <si>
    <t>1.	Komunikasi o	Sosialisasi ke pelaku UMKM masih belum merata; banyak yang belum paham kewajiban sertifikasi halal.</t>
  </si>
  <si>
    <t>kumpulanhurufangka@gmail.com</t>
  </si>
  <si>
    <t>BOLU GULUNG</t>
  </si>
  <si>
    <t>RISTA INDRIANTI PUTRI</t>
  </si>
  <si>
    <t>1. Sumber Daya (Paling Penting)
Mengapa lebih penting:
Tanpa ketersediaan auditor halal, LPH (Lembaga Pemeriksa Halal), pendamping halal, dan laboratorium uji halal, proses sertifikasi tidak bisa berjalan, meskipun komunikasi, birokrasi, dan niat baik pelaksana sudah ada.
Banyak pelaku usaha, terutama UMKM, terhambat bukan karena tidak mau, tetapi karena tidak ada fasilitas atau tenaga ahli yang bisa melayani mereka.
SDM yang minim menyebabkan antrean sertifikasi panjang, waktu proses molor, dan kualitas pelayanan turun.
🟠 2. Struktur Birokrasi
Mengapa penting:
Implementasi JPH melibatkan berbagai instansi: BPJPH, MUI, LPH, dinas daerah, dan Kementerian lain. Jika struktur koordinasinya tumpang tindih atau tidak jelas, proses akan tersendat.
Struktur birokrasi juga berpengaruh pada kecepatan pelayanan, efisiensi anggaran, dan kepastian hukum.
🟡 3. Komunikasi
Mengapa penting tetapi bukan yang utama:
Komunikasi efektif dibutuhkan agar pelaku usaha tahu prosedur, pentingnya sertifikasi, dan cara mengakses layanan.
Tapi komunikasi tidak akan efektif jika setelah mendapat informasi, pelaku usaha tetap tidak bisa mengakses layanan karena tidak tersedia SDM atau fasilitasnya.
🟢 4. Disposisi
Mengapa penting, tapi bersifat pelengkap:
Disposisi atau sikap pelaksana bisa diperbaiki dengan pelatihan, monitoring, dan insentif.
Jika sistem sudah terbangun dengan baik dan didukung SDM dan struktur yang kuat, maka sikap pelaksana bisa mengikuti.
Disposisi memang penting, tapi bukan akar utama kegagalan implementasi JPH.</t>
  </si>
  <si>
    <t>putrirista73@gmail.com</t>
  </si>
  <si>
    <t>MARTABAK TELOR SEDAP MALAM</t>
  </si>
  <si>
    <t>MARTIYAH</t>
  </si>
  <si>
    <t>prasetyaaji602@gmail.com</t>
  </si>
  <si>
    <t>TAHU KEDELAI MARTIYAH</t>
  </si>
  <si>
    <t>SUWONO</t>
  </si>
  <si>
    <t>KOTA JAKARTA PUSAT</t>
  </si>
  <si>
    <t>Tantangan Terbesar Implementasi JPH  Dalam pelaksanaan JPH di Indonesia, masing-masing faktor punya tantangan tersendiri:  Komunikasi: Banyak pelaku usaha, khususnya UMKM, belum paham pentingnya sertifikasi halal. Sosialisasi masih belum merata, terutama di daerah.  Sumber Daya: Jumlah auditor halal, LPH, dan laboratorium sangat terbatas. Ini bikin proses sertifikasi jadi lambat atau tidak bisa berjalan.  Disposisi: Di lapangan, masih ada aparatur yang kurang peduli atau belum menganggap JPH sebagai hal penting.  Struktur Birokrasi: Koordinasi antar lembaga belum rapi. Kadang ada tumpang tindih tugas, yang bikin proses sertifikasi jadi berbelit.</t>
  </si>
  <si>
    <t>Ya, sumber daya adalah faktor paling penting.
Kenapa? Karena meski komunikasi bagus dan aturan sudah jelas, tanpa auditor halal, pendamping, dan fasilitas yang cukup, proses JPH tetap macet. Ini fondasi utama agar sistem bisa jalan. Setelah itu, struktur birokrasi penting juga agar semua pihak bisa bekerja sama secara efisien. Komunikasi dan disposisi penting, tapi bisa menyusul setelah dua faktor utama itu kuat.</t>
  </si>
  <si>
    <t>estehjogja.manis@gmail.com</t>
  </si>
  <si>
    <t>Anggur Tanghulu jogja wasgitel</t>
  </si>
  <si>
    <t>AHMAD RIDWAN RABBANI</t>
  </si>
  <si>
    <t>ridwanahmad2005bani@gmail.com</t>
  </si>
  <si>
    <t>peyek kacang</t>
  </si>
  <si>
    <t>NURTIYANI</t>
  </si>
  <si>
    <t>triyonogojek81@gmail.com</t>
  </si>
  <si>
    <t>Kedai Lumpia "AFNAN"</t>
  </si>
  <si>
    <t>SUYATMI</t>
  </si>
  <si>
    <t>KAB. BANJARNEGARA</t>
  </si>
  <si>
    <t>Dalam pelaksanaan JPH di Indonesia, masing-masing faktor punya tantangan tersendiri:  Komunikasi: Banyak pelaku usaha, khususnya UMKM, belum paham pentingnya sertifikasi halal. Sosialisasi masih belum merata, terutama di daerah.  Sumber Daya: Jumlah auditor halal, LPH, dan laboratorium sangat terbatas. Ini bikin proses sertifikasi jadi lambat atau tidak bisa berjalan.  Disposisi: Di lapangan, masih ada aparatur yang kurang peduli atau belum menganggap JPH sebagai hal penting.  Struktur Birokrasi: Koordinasi antar lembaga belum rapi. Kadang ada tumpang tindih tugas, yang bikin proses sertifikasi jadi berbelit.</t>
  </si>
  <si>
    <t>joyibi9196@azduan.com</t>
  </si>
  <si>
    <t>PILUS CIKUR BU SUYATMI</t>
  </si>
  <si>
    <t>Erlawati</t>
  </si>
  <si>
    <t>Rejang lebong</t>
  </si>
  <si>
    <t>Ya, ada faktor lain yang juga berpengaruh terhadap keberhasilan implementasi JPH di Indonesia, yaitu aspek budaya dan kesadaran masyarakat. Tingkat kesadaran konsumen terhadap pentingnya produk halal sangat memengaruhi permintaan pasar, yang pada akhirnya mendorong pelaku usaha untuk serius mengurus sertifikasi. Jika masyarakat kurang peduli, maka pelaku usaha pun cenderung mengabaikannya.  Selain itu, faktor dukungan teknologi juga penting. Digitalisasi dalam proses pendaftaran, pengawasan, dan pelacakan produk halal akan sangat membantu mempercepat dan mempermudah alur sertifikasi, sehingga birokrasi menjadi lebih efisien. Faktor lain yang tidak kalah berpengaruh adalah dukungan politik dan kebijakan pemerintah, karena tanpa komitmen kuat dari pembuat kebijakan, pelaksanaan JPH akan terhambat meskipun sistem dan sumber daya sudah tersedia.</t>
  </si>
  <si>
    <t>3vellyn20@gmail.com</t>
  </si>
  <si>
    <t>Mie model</t>
  </si>
  <si>
    <t>SANIKEM</t>
  </si>
  <si>
    <t>1. Tantangan Utama  Kurangnya SDM dan fasilitas halal. Banyak daerah belum punya auditor halal atau laboratorium uji. Akibatnya, proses jadi lambat atau bahkan mandek.  Koordinasi antar lembaga belum solid. BPJPH, MUI, dan pemerintah daerah kadang berjalan sendiri-sendiri. Pelaku usaha jadi bingung harus mulai dari mana.  Edukasi belum merata. Banyak pelaku UMKM belum paham pentingnya sertifikasi halal, atau takut biayanya mahal dan prosesnya rumit.  Sikap pelaksana yang bervariasi. Ada yang semangat, ada juga yang ogah-ogahan karena anggap ini beban tambahan.</t>
  </si>
  <si>
    <t>2. Faktor yang Paling Menentukan
Yang paling krusial sebenarnya adalah ketersediaan SDM dan infrastruktur. Mau seberapa bagus sistemnya, kalau di daerah tidak ada auditor halal atau fasilitas pendukung, semuanya tetap tersendat. Jadi, sebelum bicara soal sosialisasi atau aturan, fondasi teknis harus siap dulu.</t>
  </si>
  <si>
    <t>3. Faktor Tambahan yang Sering Terlupakan  Pendanaan. UMKM butuh subsidi atau bantuan agar bisa ikut sertifikasi tanpa terbebani biaya.  Digitalisasi. Sistem online yang mudah digunakan bisa mempercepat proses dan memangkas birokrasi.  Budaya lokal. Di beberapa wilayah, produk halal belum dianggap prioritas. Ini butuh pendekatan yang lebih sensitif dan sesuai konteks.</t>
  </si>
  <si>
    <t>savitox538@darkse.com</t>
  </si>
  <si>
    <t>GULA MERAH DEWI MANGGAR WANGI</t>
  </si>
  <si>
    <t>SUKATMI</t>
  </si>
  <si>
    <t>sukatmikatmi703@gmail.com</t>
  </si>
  <si>
    <t>Ketoprak Bu Sukatmi</t>
  </si>
  <si>
    <t>SRI ROHYANI</t>
  </si>
  <si>
    <t>foresa7167@dovesilo.com</t>
  </si>
  <si>
    <t>CEMILAN SEHAT BU SRI " KERIPIK TEMPE "</t>
  </si>
  <si>
    <t>JIKEM</t>
  </si>
  <si>
    <t>Tantangan terbesar ada pada komunikasi yang belum seragam antara pelaku usaha dan lembaga terkait, keterbatasan sumber daya untuk memenuhi persyaratan, disposisi yang berbeda di tiap daerah, serta birokrasi yang masih cukup panjang sehingga membuat proses jadi lebih lambat.</t>
  </si>
  <si>
    <t xml:space="preserve">Ya, menurut saya komunikasi menjadi faktor yang paling penting karena kalau informasi jelas dan mudah dipahami, pelaku usaha bisa lebih cepat menyesuaikan diri, sementara masalah sumber daya dan birokrasi bisa diatasi lebih mudah jika arahnya tidak membingungkan.
</t>
  </si>
  <si>
    <t>Ada, salah satunya adalah kesadaran dan pemahaman konsumen, karena kalau permintaan pasar terhadap produk bersertifikat halal semakin tinggi, pelaku usaha jadi lebih termotivasi untuk patuh dan berinvestasi dalam proses JPH.</t>
  </si>
  <si>
    <t>jikem2040@gmail.com</t>
  </si>
  <si>
    <t>Lontong Buk Jikem</t>
  </si>
  <si>
    <t>SUDARIYAH</t>
  </si>
  <si>
    <t xml:space="preserve">•  Sumber Daya (paling penting)
•	Jumlah auditor halal, LPH (Lembaga Pemeriksa Halal), dan laboratorium uji sangat terbatas dibanding jumlah UMKM.
•	Tanpa SDM dan infrastruktur yang cukup, proses sertifikasi halal pasti terhambat meskipun komunikasi dan regulasi sudah baik.
</t>
  </si>
  <si>
    <t>tanubudi9@gmail.com</t>
  </si>
  <si>
    <t>ANGKRINGAN MBAH TANU</t>
  </si>
  <si>
    <t>AMARIAH</t>
  </si>
  <si>
    <t>seluma</t>
  </si>
  <si>
    <t>a3297016@gmail.com</t>
  </si>
  <si>
    <t>es campur</t>
  </si>
  <si>
    <t>SINTA PRATAMA</t>
  </si>
  <si>
    <t>Kab. Seluma</t>
  </si>
  <si>
    <t>Tantangan terbesar dalam implementasi JPH di Indonesia terletak pada komunikasi yang belum sepenuhnya jelas ke pelaku usaha, keterbatasan sumber daya seperti auditor dan laboratorium, komitmen pelaksana yang masih beragam, serta birokrasi yang kadang berbelit dan lambat. Hal-hal ini membuat proses sertifikasi halal terasa rumit, padahal seharusnya bisa lebih sederhana dan cepat.</t>
  </si>
  <si>
    <t>haykalharyatannabe@gmail.com</t>
  </si>
  <si>
    <t>Kupat Tahu</t>
  </si>
  <si>
    <t>LASITI</t>
  </si>
  <si>
    <t>KAB. BANYUMAS</t>
  </si>
  <si>
    <t>Komunikasi: Banyak pelaku usaha, khususnya UMKM, belum paham pentingnya sertifikasi halal. Sosialisasi masih belum merata, terutama di daerah.  Sumber Daya: Jumlah auditor halal, LPH, dan laboratorium sangat terbatas. Ini bikin proses sertifikasi jadi lambat atau tidak bisa berjalan.  Disposisi: Di lapangan, masih ada aparatur yang kurang peduli atau belum menganggap JPH sebagai hal penting.  Struktur Birokrasi: Koordinasi antar lembaga belum rapi. Kadang ada tumpang tindih tugas, yang bikin proses sertifikasi jadi berbelit.</t>
  </si>
  <si>
    <t>Yang paling krusial sebenarnya adalah ketersediaan SDM dan infrastruktur. Mau seberapa bagus sistemnya, kalau di daerah tidak ada auditor halal atau fasilitas pendukung, semuanya tetap tersendat. Jadi, sebelum bicara soal sosialisasi atau aturan, fondasi teknis harus siap dulu.</t>
  </si>
  <si>
    <t>wiyori6934@wentcity.com</t>
  </si>
  <si>
    <t>LaCity Snack</t>
  </si>
  <si>
    <t>MUJIYATI</t>
  </si>
  <si>
    <t>Tantangan terbesar yang saya hadapi dalam implementasi JPH di Indonesia terutama muncul dari komunikasi yang belum selalu jelas antara pelaku usaha, lembaga sertifikasi, dan pihak pemerintah. Sering kali informasi yang disampaikan berbeda di tiap tahap, sehingga menimbulkan kebingungan dan keterlambatan dalam proses. Dari sisi sumber daya, keterbatasan tenaga ahli maupun biaya menjadi kendala, karena untuk memenuhi standar yang ditetapkan dibutuhkan SDM yang terlatih dan investasi yang tidak kecil. Pada aspek disposisi, ada kalanya komitmen dari pihak-pihak yang terlibat tidak konsisten, sehingga proses bisa tersendat atau tidak berjalan sesuai target. Sementara itu, struktur birokrasi yang masih panjang dan berlapis membuat proses perizinan serta sertifikasi memakan waktu lebih lama, dengan prosedur yang kadang berubah-ubah tanpa sosialisasi yang memadai. Semua hal ini membuat implementasi JPH berjalan tidak seefisien yang diharapkan.</t>
  </si>
  <si>
    <t xml:space="preserve">Ya, saya merasa faktor komunikasi lebih penting dibanding yang lain karena kalau dari awal informasi tidak jelas, semua proses berikutnya bisa terhambat. Misalnya, pelaku usaha bisa salah memahami persyaratan, yang akhirnya membuat biaya dan waktu terbuang. Setelah itu baru sumber daya menjadi penting, karena tanpa tenaga ahli dan fasilitas yang memadai, standar yang ditetapkan sulit dicapai. Faktor disposisi juga berpengaruh, tapi menurut saya lebih kepada sejauh mana pihak terkait konsisten menjalankan aturan. Struktur birokrasi tetap penting, tapi biasanya masalahnya bisa teratasi jika komunikasi lancar dan sumber daya cukup, karena alurnya sudah jelas walau panjang. Jadi menurut saya komunikasi adalah kunci utama agar semua faktor lain bisa berjalan lebih efektif.
</t>
  </si>
  <si>
    <t>Menurut saya ada, salah satunya adalah faktor budaya dan kesadaran masyarakat. Banyak pelaku usaha masih melihat JPH hanya sebagai kewajiban administratif, bukan sebagai nilai tambah untuk produk mereka, sehingga tingkat kepatuhan bisa rendah. Selain itu faktor teknologi juga berpengaruh, karena tanpa sistem digital yang sederhana dan terintegrasi, proses pengajuan dan pemantauan jadi lambat dan rawan kesalahan. Dukungan pasar juga penting, sebab jika konsumen makin sadar dan menuntut produk bersertifikat halal, pelaku usaha akan lebih termotivasi untuk mengikuti proses JPH dengan serius.</t>
  </si>
  <si>
    <t>soratannabe@gmail.com</t>
  </si>
  <si>
    <t>Es dawet ireng</t>
  </si>
  <si>
    <t>WASIYAH</t>
  </si>
  <si>
    <t>hehekib312@sigmazon.com</t>
  </si>
  <si>
    <t>Surabi Ibu Wasiyah</t>
  </si>
  <si>
    <t>VIA ALFIANTI</t>
  </si>
  <si>
    <t>Tantangan terbesar ada pada koordinasi yang sering terhambat, keterbatasan SDM dan dana, pemahaman yang belum merata, serta prosedur birokrasi yang cukup rumit.</t>
  </si>
  <si>
    <t xml:space="preserve">Ya, komunikasi jadi yang paling penting karena tanpa pemahaman yang sama, sumber daya, disposisi, dan struktur birokrasi sulit berjalan efektif.
</t>
  </si>
  <si>
    <t>Ada, yaitu tingkat kesadaran dan penerimaan masyarakat, karena tanpa dukungan mereka implementasi JPH sulit berhasil secara menyeluruh.</t>
  </si>
  <si>
    <t>harsya032@gmail.com</t>
  </si>
  <si>
    <t>Alpukat kocok</t>
  </si>
  <si>
    <t>KIPTIYAH</t>
  </si>
  <si>
    <t>KAB. BOYOLALI</t>
  </si>
  <si>
    <t>Tantangan Utama  Kurangnya SDM dan fasilitas halal. Banyak daerah belum punya auditor halal atau laboratorium uji. Akibatnya, proses jadi lambat atau bahkan mandek.  Koordinasi antar lembaga belum solid. BPJPH, MUI, dan pemerintah daerah kadang berjalan sendiri-sendiri. Pelaku usaha jadi bingung harus mulai dari mana.  Edukasi belum merata. Banyak pelaku UMKM belum paham pentingnya sertifikasi halal, atau takut biayanya mahal dan prosesnya rumit.  Sikap pelaksana yang bervariasi. Ada yang semangat, ada juga yang ogah-ogahan karena anggap ini beban tambahan.</t>
  </si>
  <si>
    <t>Faktor Tambahan yang Sering Terlupakan  Pendanaan. UMKM butuh subsidi atau bantuan agar bisa ikut sertifikasi tanpa terbebani biaya.  Digitalisasi. Sistem online yang mudah digunakan bisa mempercepat proses dan memangkas birokrasi.  Budaya lokal. Di beberapa wilayah, produk halal belum dianggap prioritas. Ini butuh pendekatan yang lebih sensitif dan sesuai konteks.</t>
  </si>
  <si>
    <t>kiptiyah@yogirt.com</t>
  </si>
  <si>
    <t>KERIPIK TALAS BU KIPTIYAH</t>
  </si>
  <si>
    <t>SRIYANI</t>
  </si>
  <si>
    <t>sriyanii@yogirt.com</t>
  </si>
  <si>
    <t>KERIPIK TEMPE BU SRIYANI</t>
  </si>
  <si>
    <t>SULISTIONO</t>
  </si>
  <si>
    <t>Tantangan terbesar yang saya hadapi adalah komunikasi yang sering kali tidak selaras antara pelaku usaha dan pihak regulator, sehingga informasi tentang aturan dan prosedur kadang terlambat atau tidak jelas. Dari sisi sumber daya, keterbatasan tenaga ahli yang benar-benar memahami detail teknis JPH membuat proses implementasi tidak selalu lancar, ditambah biaya tambahan yang cukup membebani terutama bagi usaha kecil. Dalam hal disposisi, masih ada keraguan dan rasa khawatir dari sebagian pihak internal perusahaan terkait perubahan yang harus dilakukan, sehingga butuh waktu lebih lama untuk menyesuaikan pola kerja. Sedangkan pada struktur birokrasi, proses administrasi yang panjang dan berlapis sering menghambat, karena setiap tahap harus melalui verifikasi yang memerlukan waktu dan tenaga lebih banyak. Semua itu membuat penerapan JPH membutuhkan strategi ekstra dan kesabaran agar bisa berjalan sesuai harapan.</t>
  </si>
  <si>
    <t xml:space="preserve">Ya, saya merasa faktor komunikasi dan struktur birokrasi jauh lebih penting dibanding yang lain. Komunikasi yang jelas dan terbuka sangat menentukan karena tanpa pemahaman yang sama antara pelaku usaha, lembaga sertifikasi, dan pemerintah, implementasi bisa salah arah atau terhambat. Struktur birokrasi juga berperan besar karena jika prosedurnya terlalu panjang dan rumit, maka pelaku usaha akan kesulitan memenuhi kewajiban tepat waktu. Sumber daya dan disposisi memang penting, tetapi keduanya bisa lebih mudah diatasi apabila alur komunikasi lancar dan birokrasi dibuat sederhana, sehingga proses adaptasi berjalan lebih cepat dan efisien.
</t>
  </si>
  <si>
    <t>Ya, saya melihat budaya dan kesadaran konsumen juga sangat mempengaruhi. Jika masyarakat lebih memahami pentingnya JPH dan menuntut produk halal, pelaku usaha akan lebih termotivasi untuk mematuhi standar. Selain itu, dukungan teknologi, seperti sistem digital untuk sertifikasi dan pelacakan produk, juga mempermudah implementasi sehingga proses lebih cepat dan transparan. Faktor-faktor ini sering tidak terlihat langsung dalam kriteria resmi, tapi dampaknya signifikan terhadap keberhasilan penerapan JPH.</t>
  </si>
  <si>
    <t>sulistiono031160@gmail.com</t>
  </si>
  <si>
    <t>Gorengan</t>
  </si>
  <si>
    <t>DEVI PERMATASARI</t>
  </si>
  <si>
    <t>devipermatasari@awgarstone.com</t>
  </si>
  <si>
    <t>KERUPUK TASIK DEVI</t>
  </si>
  <si>
    <t>UMI ANDAYANI</t>
  </si>
  <si>
    <t>KOTA BATU</t>
  </si>
  <si>
    <t xml:space="preserve"> Meskipun aplikasi seperti Sihalal sudah tersedia, kendala akses internet di beberapa daerah dan kurangnya literasi digital di kalangan UMKM menjadi hambatan</t>
  </si>
  <si>
    <t>Struktur birokrasi yang efektif, efisien, dan transparan adalah fondasi dari seluruh sistem JPH. Jika prosesnya berbelit-belit, lambat, atau tidak jelas, faktor-faktor lain akan sulit berjalan.</t>
  </si>
  <si>
    <t>cikimikibuumi@gmail.com</t>
  </si>
  <si>
    <t>Cikimiki Bu Umi</t>
  </si>
  <si>
    <t>Ach Zamroni Arifin</t>
  </si>
  <si>
    <t>KAB. SUMENEP</t>
  </si>
  <si>
    <t>Proses verifikasi dokumen dan audit sering molor karena antrean panjang.</t>
  </si>
  <si>
    <t>Sosialisasi masif dengan pendekatan budaya setempat.</t>
  </si>
  <si>
    <t>Meskipun BPJPH telah mengembangkan Sistem Informasi Halal (SIHALAL), masih ada kendala teknis seperti server down, kesulitan input data, atau kurangnya literasi digital di kalangan UMKM.</t>
  </si>
  <si>
    <t>ariflangkasa@gmail.com</t>
  </si>
  <si>
    <t xml:space="preserve">Kripik Tempe </t>
  </si>
  <si>
    <t>SRINING</t>
  </si>
  <si>
    <t>KAB. SIDOARJO</t>
  </si>
  <si>
    <t>Perubahan frequent regulasi teknis (misal: daftar produk wajib halal) membuat industri kesulitan beradaptasi.</t>
  </si>
  <si>
    <t>Banyak UMKM menganggap sertifikasi halal tidak prioritas jika pasar lokal non-Muslim dominan.</t>
  </si>
  <si>
    <t>sriningsuryanto81@gmail.com</t>
  </si>
  <si>
    <t>JAMUR KRISPY</t>
  </si>
  <si>
    <t>TITIK SUGIANTI</t>
  </si>
  <si>
    <t>Informasi teknis sulit dipahami pelaku usaha kecil</t>
  </si>
  <si>
    <t>titiksugianti796@gmail.com</t>
  </si>
  <si>
    <t>JAMU KUNIR ASEM</t>
  </si>
  <si>
    <t>FAUSEH</t>
  </si>
  <si>
    <t>KAB. SAMPANG</t>
  </si>
  <si>
    <t xml:space="preserve"> Informasi teknis sulit dipahami UMKM karena bahasa yang terlalu birokratis.</t>
  </si>
  <si>
    <t>Regulasi sering berubah, menyulitkan adaptasi pelaku usaha.</t>
  </si>
  <si>
    <t>fausehsuli@gmail.com</t>
  </si>
  <si>
    <t>ES TEH</t>
  </si>
  <si>
    <t>RUSDIANA</t>
  </si>
  <si>
    <t>KAB. PROBOLINGGO</t>
  </si>
  <si>
    <t>Kurangnya sosialisasi yang efektif kepada masyarakat, terutama di daerah terpencil</t>
  </si>
  <si>
    <t>Keterbatasan anggaran untuk operasional program di seluruh wilayah Indonesia</t>
  </si>
  <si>
    <t>rusdianatempuran@gmail.com</t>
  </si>
  <si>
    <t xml:space="preserve">GORENGAN </t>
  </si>
  <si>
    <t>IMROATUL MUFIDAH</t>
  </si>
  <si>
    <t>KAB. MALANG</t>
  </si>
  <si>
    <t>Tantangan utama dalam implementasi JPH terletak pada komunikasi yang tidak efektif, di mana penyebaran informasi yang konsisten dan mudah dipahami kepada pelaku usaha, terutama UMKM, masih sangat terbatas dan tidak merata di seluruh wilayah.</t>
  </si>
  <si>
    <t>bodef78699@povaup.com</t>
  </si>
  <si>
    <t>De Seruput</t>
  </si>
  <si>
    <t>RIKA SEFITALIA</t>
  </si>
  <si>
    <t>Hambatan paling besar adalah kurangnya disposisi atau komitmen dari banyak pelaku usaha yang masih melihat sertifikasi halal sebagai beban, bukan sebagai nilai tambah strategis untuk memperluas pasar dan meningkatkan kepercayaan konsumen.</t>
  </si>
  <si>
    <t>rikasefia18@gmail.com</t>
  </si>
  <si>
    <t>RUJAK MBOK JUM</t>
  </si>
  <si>
    <t>LILI MARLINA</t>
  </si>
  <si>
    <t>Pelaku Usaha -Yais</t>
  </si>
  <si>
    <t>haryapagaralam@gmail.com</t>
  </si>
  <si>
    <t>APRI RAHMADA NINGSIH</t>
  </si>
  <si>
    <t>aprirahmadaningsih1604@gmail.com</t>
  </si>
  <si>
    <t>ZAMNAWATI</t>
  </si>
  <si>
    <t xml:space="preserve">Pelaku Usaha -Yais </t>
  </si>
  <si>
    <t>suryadi071181@gmail.com</t>
  </si>
  <si>
    <t>WILDAN HAMIM SRIANTO</t>
  </si>
  <si>
    <t>wildanhamim38@gmail.com</t>
  </si>
  <si>
    <t>Kentang Spiral Jogja Wasgatel</t>
  </si>
  <si>
    <t>ROHYATI</t>
  </si>
  <si>
    <t xml:space="preserve">Sumber Daya (paling penting)
•	Jumlah auditor halal, LPH (Lembaga Pemeriksa Halal), dan laboratorium uji sangat terbatas dibanding jumlah UMKM
</t>
  </si>
  <si>
    <t>litome6045@cmheia.com</t>
  </si>
  <si>
    <t>GULA MERAH FAJAR BAROKAH ROHYATI</t>
  </si>
  <si>
    <t>TIN SUPADMI</t>
  </si>
  <si>
    <t>nurizah454@gmail.com</t>
  </si>
  <si>
    <t>HUSEIN</t>
  </si>
  <si>
    <t>husein04061983@gmail.com</t>
  </si>
  <si>
    <t>VENY ANDRIYANI</t>
  </si>
  <si>
    <t>wlistyana159@gmail.com</t>
  </si>
  <si>
    <t>KRIPIK GETUK VENY</t>
  </si>
  <si>
    <t>NOVIYANA SARI WIDODO</t>
  </si>
  <si>
    <t>rinonovi853@gmail.com</t>
  </si>
  <si>
    <t>SLAMET WIDODO</t>
  </si>
  <si>
    <t>slametwidodo7648@gmail.com</t>
  </si>
  <si>
    <t>Kedai Makan Tahu Walik &amp; Tela Tela Jos</t>
  </si>
  <si>
    <t>JUMAIDAH</t>
  </si>
  <si>
    <t>Kota Batu</t>
  </si>
  <si>
    <t>jumaidah.jusorganik22@gmail.com</t>
  </si>
  <si>
    <t>JUS ORGANIK 99</t>
  </si>
  <si>
    <t>NY.SAPTO RAHARJO KASIRAH</t>
  </si>
  <si>
    <t>Pu Yais</t>
  </si>
  <si>
    <t>Kab. Sleman</t>
  </si>
  <si>
    <t>aguskunco1212@gmail.com</t>
  </si>
  <si>
    <t xml:space="preserve">DI YOGYAKARTA </t>
  </si>
  <si>
    <t>Tempe Kedelai</t>
  </si>
  <si>
    <t>YETI KUSUMAWARDANI</t>
  </si>
  <si>
    <t>shsgarage85@gmail.com</t>
  </si>
  <si>
    <t>rempeyek kacang (makanan)</t>
  </si>
  <si>
    <t>SHERLI APRILANI</t>
  </si>
  <si>
    <t>d.homeboutique.crafts@gmail.com</t>
  </si>
  <si>
    <t>Barang</t>
  </si>
  <si>
    <t>Ellen Nugroho</t>
  </si>
  <si>
    <t>PU Yais</t>
  </si>
  <si>
    <t>bowowow67@gmail.com</t>
  </si>
  <si>
    <t>Tempe kedelai</t>
  </si>
  <si>
    <t>JAKA PRIHANTO</t>
  </si>
  <si>
    <t>yogyakarta</t>
  </si>
  <si>
    <t>jakaprihanto09@gmail.com</t>
  </si>
  <si>
    <t>es kelapa muda (minuman)</t>
  </si>
  <si>
    <t>SUTINEM</t>
  </si>
  <si>
    <t>2.	Kondisi Ekonomi dan Biaya Sertifikasi o	Bagi UMKM, biaya sertifikasi masih dianggap mahal, meskipun ada program sertifikasi gratis (SEHATI).</t>
  </si>
  <si>
    <t>tasoda8583@cmheia.com</t>
  </si>
  <si>
    <t>BAROKAH TEMPE SUTINEM</t>
  </si>
  <si>
    <t>ARIFATUL KHASANAH</t>
  </si>
  <si>
    <t>arifa.fatul18@gmail.com</t>
  </si>
  <si>
    <t>JAJANAN FATUL</t>
  </si>
  <si>
    <t>ENNY HARTINI</t>
  </si>
  <si>
    <t>titin.agus71@gmail.com</t>
  </si>
  <si>
    <t>es dawet hitam</t>
  </si>
  <si>
    <t>PEYEK BU TITIK</t>
  </si>
  <si>
    <t>1.	Kesadaran dan Budaya Masyarakat o	Tingkat religiusitas dan kepedulian konsumen terhadap produk halal berbeda antar daerah.</t>
  </si>
  <si>
    <t>Kemas Rully Dinar</t>
  </si>
  <si>
    <t xml:space="preserve">Kota Yogyakarta </t>
  </si>
  <si>
    <t>rullykemas@gmail.com</t>
  </si>
  <si>
    <t>Aneka Es</t>
  </si>
  <si>
    <t>AGUS SETIAWAN</t>
  </si>
  <si>
    <t>Pelaku USaha - Yais</t>
  </si>
  <si>
    <t>agussetiawanbakery@gmail.com</t>
  </si>
  <si>
    <t>AZ-ZAHRA BAKERY</t>
  </si>
  <si>
    <t>LISTIANE PUTRI</t>
  </si>
  <si>
    <t>1.	Kesadaran dan Budaya Masyarakat o	Tingkat religiusitas dan kepedulian konsumen terhadap produk halal berbeda antar daerah. o	Jika demand masyarakat terhadap produk halal tinggi, pelaku usaha lebih termotivasi untuk mengurus sertifikasi</t>
  </si>
  <si>
    <t>foviwa3963@bacaki.com</t>
  </si>
  <si>
    <t>Ayam Bakar Taliwang Pak No</t>
  </si>
  <si>
    <t>Eniati</t>
  </si>
  <si>
    <t>Kab. Banjarnegara</t>
  </si>
  <si>
    <t>Ya, dalam konteks implementasi JPH di Indonesia, ada faktor yang lebih penting dibandingkan lainnya, yaitu komunikasi dan sumber daya. Komunikasi menjadi kunci karena tanpa sosialisasi yang jelas dan merata, terutama kepada pelaku UMKM, sertifikasi halal akan sulit dipahami dan dianggap beban. Jika informasi disampaikan dengan baik, pelaku usaha akan lebih siap dan mau terlibat.
Selain itu, sumber daya juga sangat krusial karena meskipun komunikasi berjalan baik, tanpa tenaga auditor halal, laboratorium uji yang memadai, dan dukungan anggaran, proses sertifikasi tetap lambat. Disposisi dan struktur birokrasi memang penting, tetapi keduanya bisa berjalan lebih efektif jika komunikasi lancar dan sumber daya tersedia. Dengan kata lain, komunikasi dan sumber daya adalah pondasi utama yang menentukan berhasil atau tidaknya implementasi JPH di Indonesia.</t>
  </si>
  <si>
    <t>eniati@yogirt.com</t>
  </si>
  <si>
    <t>Manisan</t>
  </si>
  <si>
    <t>SRI MUKTI NUR HANDAYANI</t>
  </si>
  <si>
    <t>muktisumber535@gmail.com</t>
  </si>
  <si>
    <t>GRANDISQUE</t>
  </si>
  <si>
    <t>TARWIYAH</t>
  </si>
  <si>
    <t>banjarnegara</t>
  </si>
  <si>
    <t>cegoy34924@cmheia.com</t>
  </si>
  <si>
    <t>jawa tengah</t>
  </si>
  <si>
    <t>GULA MERAH BANYAK REJEKI</t>
  </si>
  <si>
    <t>WARJIYEM</t>
  </si>
  <si>
    <t>o	Jumlah auditor halal dan Lembaga Pemeriksa Halal (LPH) masih terbatas dibanding jumlah pelaku usaha (±65 juta UMKM). o	Fasilitas laboratorium uji halal belum merata di semua provinsi.</t>
  </si>
  <si>
    <t>o	Bagi UMKM, biaya sertifikasi masih dianggap mahal, meskipun ada program sertifikasi gratis (SEHATI). o	Usaha kecil sering menunda pengurusan sertifikat karena modal terbatas, lebih fokus ke operasional sehari-hari.</t>
  </si>
  <si>
    <t>jijef27353@mcuma.com</t>
  </si>
  <si>
    <t xml:space="preserve">TELUR ASIN </t>
  </si>
  <si>
    <t>BONEM</t>
  </si>
  <si>
    <t>tadeva4048@cmheia.com</t>
  </si>
  <si>
    <t>MUJINAH</t>
  </si>
  <si>
    <t xml:space="preserve">Kab. Banjarnegara </t>
  </si>
  <si>
    <t>haneref612@darkse.com</t>
  </si>
  <si>
    <t>GULA Bubuk</t>
  </si>
  <si>
    <t>KADARTI</t>
  </si>
  <si>
    <t xml:space="preserve">3.	Dukungan Teknologi dan Infrastruktur Digital o	Sistem SIHALAL dan OSS berbasis online mempermudah, tapi tidak semua UMKM paham penggunaan aplikasi digital. o	Di daerah dengan akses internet terbatas, pendaftaran </t>
  </si>
  <si>
    <t>kadarti@yogirt.com</t>
  </si>
  <si>
    <t>Tempe</t>
  </si>
  <si>
    <t>SUWANDI</t>
  </si>
  <si>
    <t>Pelaku usaha - Yais</t>
  </si>
  <si>
    <t>xacapom551@witaz.com</t>
  </si>
  <si>
    <t>PASTEL MAS RUDI</t>
  </si>
  <si>
    <t>ETI SULASTRI</t>
  </si>
  <si>
    <t>veyawe9649@hisotyr.com</t>
  </si>
  <si>
    <t>Angkringan Bu eti</t>
  </si>
  <si>
    <t>ARISTA FITRIANA SARI</t>
  </si>
  <si>
    <t>aristafitrianasari@awgarstone.com</t>
  </si>
  <si>
    <t>CILOK</t>
  </si>
  <si>
    <t>ARIYANING SUSIATNOKO</t>
  </si>
  <si>
    <t>wagad94001@wappol.com</t>
  </si>
  <si>
    <t>ES TEH IKAT 2000</t>
  </si>
  <si>
    <t>NYIMAS NURULITA ARRANIRI</t>
  </si>
  <si>
    <t>nyimas.nurulita@gmail.com</t>
  </si>
  <si>
    <t>ES KELAPA 88</t>
  </si>
  <si>
    <t>SULIYEM</t>
  </si>
  <si>
    <t>suliyemjateng@yogirt.com</t>
  </si>
  <si>
    <t>ES LILIN BU SULIYEM</t>
  </si>
  <si>
    <t>ACHMAD ARIFIN</t>
  </si>
  <si>
    <t>dindariski86@gmail.com</t>
  </si>
  <si>
    <t>JUS BUAH RISKI DINDA</t>
  </si>
  <si>
    <t>TASRIPAH</t>
  </si>
  <si>
    <t>KAB. BREBES</t>
  </si>
  <si>
    <t xml:space="preserve">o	Jumlah auditor halal dan Lembaga Pemeriksa Halal (LPH) masih terbatas dibanding jumlah pelaku usaha (±65 juta UMKM). o	Fasilitas laboratorium uji halal belum merata di semua </t>
  </si>
  <si>
    <t>sotes37726@hidelux.com</t>
  </si>
  <si>
    <t xml:space="preserve">KERUPUK </t>
  </si>
  <si>
    <t>Es Teh Manis Jogja Wasgitel</t>
  </si>
  <si>
    <t>TAKEM</t>
  </si>
  <si>
    <t>fefin97843@mcuma.com</t>
  </si>
  <si>
    <t xml:space="preserve">GORENGAN PISANG </t>
  </si>
  <si>
    <t>ALVI HUSNIYAH</t>
  </si>
  <si>
    <t>alvihusniya@gmail.com</t>
  </si>
  <si>
    <t>Seblak Faris</t>
  </si>
  <si>
    <t>SRI SUTONI</t>
  </si>
  <si>
    <t>srisutoni@yogirt.com</t>
  </si>
  <si>
    <t>KERIPIK SINGKONG PEDAS MANIS</t>
  </si>
  <si>
    <t>RI'AH</t>
  </si>
  <si>
    <t>KAB. KEDIRI</t>
  </si>
  <si>
    <t>jerukgondang@gmail.com</t>
  </si>
  <si>
    <t>ES JERUK SEGAR BAROKAH</t>
  </si>
  <si>
    <t>EFA ELITA</t>
  </si>
  <si>
    <t>Tantangan terbesar biasanya koordinasi antarinstansi yang lambat, keterbatasan SDM yang paham regulasi JPH, resistensi dari sebagian pihak karena perubahan prosedur, dan birokrasi yang masih rumit sehingga proses perizinan atau sertifikasi memakan waktu.</t>
  </si>
  <si>
    <t xml:space="preserve">Menurut saya, koordinasi dan SDM lebih penting karena tanpa pemahaman yang cukup dan komunikasi yang lancar, regulasi dan prosedur apapun sulit dijalankan secara efektif.
</t>
  </si>
  <si>
    <t>Ya, kesadaran dan permintaan dari konsumen juga mempengaruhi. Kalau masyarakat belum paham atau belum menuntut produk halal, implementasi JPH akan kurang efektif meski regulasi dan SDM sudah siap.</t>
  </si>
  <si>
    <t>elitaefa7821@gmail.com</t>
  </si>
  <si>
    <t>Warung Sarapan Pagi</t>
  </si>
  <si>
    <t>SRIAH</t>
  </si>
  <si>
    <t>opakopilmaksriah@gmail.com</t>
  </si>
  <si>
    <t>OPAK OPEL MAK SRIAH</t>
  </si>
  <si>
    <t>ELSA SINTIA</t>
  </si>
  <si>
    <t>KAB. CILACAP</t>
  </si>
  <si>
    <t>elsasintia577@gmail.com</t>
  </si>
  <si>
    <t xml:space="preserve">Seblak </t>
  </si>
  <si>
    <t>TUTIK INDRAWATI</t>
  </si>
  <si>
    <t>Tantangan terbesar dalam implementasi JPH di Indonesia sering datang dari beberapa aspek yang saling terkait. Dari sisi komunikasi, masih ada kesenjangan informasi antara pemerintah, pelaku usaha, dan masyarakat sehingga pemahaman mengenai persyaratan dan prosedur JPH belum merata. Sumber daya juga menjadi kendala, terutama tenaga ahli yang memahami standar halal serta fasilitas produksi yang memenuhi sertifikasi, yang masih terbatas di beberapa daerah. Disposisi atau sikap pihak-pihak terkait kadang berbeda-beda; ada yang proaktif, tetapi ada juga yang masih menganggap sertifikasi halal bukan prioritas, sehingga implementasinya lambat. Terakhir, struktur birokrasi yang kompleks dengan prosedur yang panjang dan berlapis dapat memperlambat proses sertifikasi dan menambah beban biaya bagi pelaku usaha, terutama UMKM. Semua faktor ini saling mempengaruhi sehingga memerlukan pendekatan terpadu untuk memastikan implementasi JPH berjalan efektif.</t>
  </si>
  <si>
    <t xml:space="preserve">Ya, menurut saya komunikasi dan sumber daya adalah faktor yang paling penting. Tanpa komunikasi yang jelas, pelaku usaha dan masyarakat bisa salah paham tentang persyaratan JPH, sehingga implementasinya tidak efektif. Sumber daya juga krusial karena sertifikasi halal membutuhkan tenaga ahli, fasilitas, dan prosedur yang sesuai standar; tanpa itu, sertifikasi tidak bisa dijalankan dengan baik. Disposisi dan birokrasi memang penting, tapi jika komunikasi dan sumber daya sudah kuat, tantangan dari sikap atau birokrasi bisa lebih mudah diatasi.
</t>
  </si>
  <si>
    <t>Ya, saya melihat budaya dan kesadaran masyarakat juga sangat mempengaruhi. Jika konsumen memahami pentingnya produk halal dan menuntut kepatuhan, pelaku usaha akan lebih termotivasi untuk mengikuti standar JPH. Selain itu, teknologi dan akses informasi juga berperan; sistem digital untuk pendaftaran dan pelacakan sertifikasi bisa mempercepat proses dan meminimalkan kesalahan. Dukungan jaringan industri, seperti asosiasi atau komunitas bisnis, juga membantu pelaku usaha berbagi pengalaman dan solusi terkait implementasi JPH.</t>
  </si>
  <si>
    <t>dwisit44@gmail.com</t>
  </si>
  <si>
    <t>LONTONG BUTUTIK</t>
  </si>
  <si>
    <t>KUSRINAH NY</t>
  </si>
  <si>
    <t>Tantangan utamanya komunikasi kurang lancar, sumber daya terbatas, birokrasi lambat, dan disposisi yang kadang kurang mendukung.</t>
  </si>
  <si>
    <t xml:space="preserve">Ya, birokrasi dan sumber daya paling krusial karena tanpa dukungan prosedur yang jelas dan tenaga yang cukup, implementasi sulit berjalan efektif.
</t>
  </si>
  <si>
    <t>Ya, kesadaran dan partisipasi masyarakat juga penting, karena tanpa dukungan mereka, program sulit berjalan optimal.</t>
  </si>
  <si>
    <t>nahruludin933@gmail.com</t>
  </si>
  <si>
    <t>RASINI</t>
  </si>
  <si>
    <t xml:space="preserve">Ya, ada beberapa faktor lain yang juga mempengaruhi keberhasilan implementasi JPH di Indonesia, antara lain:  1. *Kualitas regulasi*: Kualitas regulasi JPH yang jelas, efektif, dan dapat diimplementasikan dengan baik sangat penting untuk keberhasilan implementasi JPH. 2. *Pengawasan dan penegakan hukum*: Pengawasan dan penegakan hukum yang efektif sangat penting untuk memastikan bahwa produk halal memenuhi standar yang tinggi dan industri mematuhi regulasi JPH. 3. *Kerja sama antar lembaga*: Kerja sama antar lembaga pemerintah, industri, dan masyarakat sangat penting untuk memastikan bahwa implementasi JPH berjalan dengan efektif dan efisien. 4. *Teknologi dan inovasi*: Penggunaan teknologi dan inovasi dapat membantu meningkatkan efisiensi dan efektivitas implementasi JPH, seperti penggunaan sistem informasi dan teknologi pengujian produk halal. 5. *Partisipasi masyarakat*: Partisipasi masyarakat dalam implementasi JPH sangat penting untuk memastikan bahwa produk halal memenuhi kebutuhan dan harapan masyarakat. 6. *Kapasitas dan kompetensi SDM*: Kapasitas dan kompetensi sumber daya manusia (SDM) yang terlibat dalam implementasi JPH sangat penting untuk memastikan bahwa implementasi JPH berjalan dengan efektif dan efisien.  Dengan demikian, faktor-faktor tersebut juga perlu dipertimbangkan dalam implementasi JPH di Indonesia untuk memastikan bahwa implementasi JPH berjalan dengan efektif dan efisien. </t>
  </si>
  <si>
    <t>rarini123@yogirt.com</t>
  </si>
  <si>
    <t>PRDUKSI RUMAHAN Bu Rasini</t>
  </si>
  <si>
    <t>SRI SAPTINI</t>
  </si>
  <si>
    <t>boyolali</t>
  </si>
  <si>
    <t>srisaptini@yogirt.com</t>
  </si>
  <si>
    <t>keripik tempe</t>
  </si>
  <si>
    <t>SUWARNO</t>
  </si>
  <si>
    <t>Pelaku usaha - yais</t>
  </si>
  <si>
    <t>KAB. JOMBANG</t>
  </si>
  <si>
    <t>bebiv99858@tosese.com</t>
  </si>
  <si>
    <t>ARUM MANIS</t>
  </si>
  <si>
    <t>KUSEN</t>
  </si>
  <si>
    <t xml:space="preserve">•  Sumber Daya (paling penting)
•	Jumlah auditor halal, LPH (Lembaga Pemeriksa Halal), dan laboratorium uji sangat terbatas dibanding jumlah UMKM.
•	Tanpa SDM dan infrastruktur yang cukup, proses sertifikasi halal pasti terhambat meskipun komunikasi dan regulasi sudah baik
</t>
  </si>
  <si>
    <t>deviwer968@pixatate.com</t>
  </si>
  <si>
    <t>Gula merah kelapa</t>
  </si>
  <si>
    <t>FITRI YULIYANTI</t>
  </si>
  <si>
    <t>Ya, ada beberapa faktor lain yang juga mempengaruhi keberhasilan implementasi JPH di Indonesia, antara lain:  1. *Kualitas regulasi*: Kualitas regulasi JPH yang jelas, efektif, dan dapat diimplementasikan dengan baik sangat penting untuk keberhasilan implementasi JPH. 2. *Pengawasan dan penegakan hukum*: Pengawasan dan penegakan hukum yang efektif sangat penting untuk memastikan bahwa produk halal memenuhi standar yang tinggi dan industri mematuhi regulasi JPH. 3. *Kerja sama antar lembaga*: Kerja sama antar lembaga pemerintah, industri, dan masyarakat sangat penting untuk memastikan bahwa implementasi JPH berjalan dengan efektif dan efisien. 4. *Teknologi dan inovasi*: Penggunaan teknologi dan inovasi dapat membantu meningkatkan efisiensi dan efektivitas implementasi JPH, seperti penggunaan sistem informasi dan teknologi pengujian produk halal. 5. *Partisipasi masyarakat*: Partisipasi masyarakat dalam implementasi JPH sangat penting untuk memastikan bahwa produk halal memenuhi kebutuhan dan harapan masyarakat. 6. *Kapasitas dan kompetensi SDM*: Kapasitas dan kompetensi sumber daya manusia (SDM) yang terlibat dalam implementasi JPH sangat penting untuk memastikan bahwa implementasi JPH berjalan dengan efektif dan efisien.  Dengan demikian, faktor-faktor tersebut juga perlu dipertimbangkan dalam implementasi JPH di Indonesia untuk memastikan bahwa implementasi JPH berjalan dengan efektif dan efisie</t>
  </si>
  <si>
    <t>ekanovitasari613@gmail.com</t>
  </si>
  <si>
    <t>ES DEGAN PAK HARI</t>
  </si>
  <si>
    <t>SADIKUN WASITO</t>
  </si>
  <si>
    <t>banewa5812@pixatate.com</t>
  </si>
  <si>
    <t>JAMALUDDIN</t>
  </si>
  <si>
    <t>pelaku usaha - yais</t>
  </si>
  <si>
    <t>KAB. BONDOWOSO</t>
  </si>
  <si>
    <t>harummanisbarokah@yopmail.com</t>
  </si>
  <si>
    <t>BAROKAH</t>
  </si>
  <si>
    <t>SUNARNI</t>
  </si>
  <si>
    <t>sunarni@awgarstone.com</t>
  </si>
  <si>
    <t>gendar pecel</t>
  </si>
  <si>
    <t>SRI YUNANI</t>
  </si>
  <si>
    <t>KAB. KEBUMEN</t>
  </si>
  <si>
    <t>sri176714@gmail.com</t>
  </si>
  <si>
    <t>GULA MERAH KELAPA</t>
  </si>
  <si>
    <t>ENCIK SAIFUL ALAM</t>
  </si>
  <si>
    <t>jahitsaiful@gmail.com</t>
  </si>
  <si>
    <t>ES DEGAN CAK IPUL</t>
  </si>
  <si>
    <t>DWI ARIYANTO</t>
  </si>
  <si>
    <t>dwiaryanto80@ceknesia.com</t>
  </si>
  <si>
    <t>Makaroni Telor Jajan Wening</t>
  </si>
  <si>
    <t>SADANSIH</t>
  </si>
  <si>
    <t>KAB. KLATEN</t>
  </si>
  <si>
    <t>sadanayang@gmail.com</t>
  </si>
  <si>
    <t>TELOR ASIN ASAP</t>
  </si>
  <si>
    <t>IDAH SUSANTI</t>
  </si>
  <si>
    <t>Inefisiensi kerangka birokrasi, terutama proses manual dan sering kali berulang di dalam berbagai lembaga, menciptakan hambatan dan penundaan yang signifikan bagi pelaku usaha yang mencoba memenuhi persyaratan JPH.</t>
  </si>
  <si>
    <t>idasusanti136@gmail.com</t>
  </si>
  <si>
    <t xml:space="preserve">MIE LIDI </t>
  </si>
  <si>
    <t>SAIFUL BAHRI</t>
  </si>
  <si>
    <t>ketanhijau@yopmail.com</t>
  </si>
  <si>
    <t>BORJO</t>
  </si>
  <si>
    <t>TARWEN</t>
  </si>
  <si>
    <t>1. Komunikasi: Minimnya Sosialisasi dan Koordinasi  Tantangan utama:  Kurangnya sosialisasi kepada pelaku usaha, terutama UMKM. Banyak pelaku usaha belum memahami kewajiban sertifikasi halal maupun prosesnya.  Koordinasi antarlembaga yang belum optimal, seperti antara BPJPH, MUI, KAN, dan lembaga sertifikasi halal (LSH).  Informasi yang tidak konsisten atau membingungkan. Beberapa pelaku industri menerima informasi yang berbeda-beda tergantung siapa yang menyampaikan (BPJPH, MUI, atau LPPOM).  Dampak:  Implementasi kebijakan menjadi lambat karena miskomunikasi.  Pelaku usaha merasa tidak siap atau enggan mengikuti proses sertifikasi halal.  2. Sumber Daya: Terbatasnya SDM, Lembaga Sertifikasi, dan Infrastruktur  Tantangan utama:  Jumlah auditor halal yang terbatas, terutama di daerah luar Jawa.  Keterbatasan laboratorium halal yang terakreditasi.  Fasilitas TI BPJPH yang belum merata. Sistem aplikasi pendaftaran sertifikasi halal kadang tidak stabil.  Keterbatasan dana, terutama untuk pendampingan sertifikasi halal bagi UMKM.  Dampak:  Proses sertifikasi memakan waktu lama.  Tidak semua wilayah bisa mengakses layanan halal secara adil.  UMKM merasa terbebani dan enggan mengurus sertifikasi.  3. Disposisi: Sikap dan Komitmen Pelaksana yang Variatif  Tantangan utama:  Kurangnya pemahaman dan motivasi dari birokrat di daerah.  Ego sektoral antarinstansi. Ada tarik-menarik kewenangan antara BPJPH dan lembaga lain seperti MUI.  Kebingungan pelaksana di lapangan karena regulasi teknis yang berubah-ubah atau belum jelas.  Dampak:  Implementasi jadi tidak konsisten di setiap daerah.  Kebijakan JPH tidak dilaksanakan sepenuhnya sesuai semangat UU.  4. Struktur Birokrasi: Tumpang Tindih Kewenangan dan Regulasi  Tantangan utama:  Tumpang tindih kewenangan antara BPJPH, MUI, dan KAN.  Belum adanya aturan teknis yang solid dan terkoordinasi antarinstansi.  Prosedur birokrasi yang panjang dan rumit, terutama bagi UMKM dan industri kecil.  Dampak:  Sertifikasi halal menjadi birokratis dan membingungkan.  Pelaku usaha memilih tidak mengurus sertifikasi karena prosesnya dianggap merepotkan.</t>
  </si>
  <si>
    <t>1. ✅ Komunikasi – Faktor Paling Mendasar
Alasan mengapa ini paling penting:
Komunikasi adalah titik awal implementasi kebijakan. Jika pelaku usaha, masyarakat, dan instansi tidak memahami kebijakan, maka kebijakan tidak akan berjalan meskipun sumber daya dan struktur sudah ada.
Banyak UMKM tidak tahu bahwa mereka diwajibkan mengurus sertifikasi halal, atau mereka bingung bagaimana prosesnya.
Ketidaktahuan masyarakat membuat mereka tidak menuntut haknya sebagai konsumen, sehingga pengawasan publik terhadap produk halal pun lemah.
Contoh konkret:
Di banyak daerah, pelaku UMKM mengira sertifikasi halal hanya wajib bagi produk makanan besar atau perusahaan industri besar, bukan untuk mereka. Ini karena komunikasi kebijakan yang tidak menyeluruh dan tidak kontekstual.
2. ✅ Struktur Birokrasi – Penentu Kelancaran Teknis
Mengapa penting:
Jika struktur birokrasi tumpang tindih atau membingungkan, seperti yang terjadi antara BPJPH, MUI, dan KAN, maka proses sertifikasi halal menjadi lambat dan berbelit.
Struktur birokrasi menentukan kejelasan alur kerja dan tanggung jawab. Tanpa struktur yang rapi, implementasi bisa macet di lapangan.
Koordinasi pusat-daerah sangat tergantung pada struktur birokrasi. Kegagalan koordinasi menyebabkan perbedaan penerapan antarwilayah.
Contoh nyata:
Masalah “dual otoritas” antara BPJPH (sebagai pelaksana sertifikasi) dan MUI (sebagai pemberi fatwa halal) sering membuat proses lambat, karena ada tarik-menarik kewenangan dan tidak ada SOP terpadu yang mengikat secara operasional.
⚖️ Faktor Penting Lainnya: Sumber Daya &amp; Disposisi
3. ⚠️ Sumber Daya – Penting Tapi Bersifat Teknis
Auditor halal terbatas. Tapi ini bisa diatasi dengan pelatihan dan rekrutmen jika ada kemauan politik.
Infrastruktur TI lemah. Tapi jika komunikasi dan struktur birokrasi jelas, pembangunan infrastruktur bisa dirancang lebih terarah.
Tantangan sumber daya menjadi penghambat pelaksanaan, bukan pemahaman. Artinya, dampaknya lebih bersifat jangka menengah.
4. ⚠️ Disposisi – Penting Tapi Sulit Diukur dan Diubah
Ini berkaitan dengan kemauan, integritas, dan komitmen para pelaksana kebijakan.
Meski penting, disposisi sangat tergantung pada kepemimpinan dan budaya birokrasi. Ini sulit diubah dalam waktu singkat dan tidak bisa menjadi titik awal perbaikan.</t>
  </si>
  <si>
    <t>1. 🧠 Tingkat Literasi Halal Masyarakat dan Pelaku Usaha Penjelasan:  Banyak masyarakat belum memahami pentingnya produk halal bukan hanya dari sisi agama, tapi juga dari sisi keamanan dan kebersihan produk (thayyib).  UMKM sering melihat sertifikasi halal hanya sebagai beban administratif atau biaya tambahan, bukan sebagai peluang pasar.  Dampak:  Permintaan pasar terhadap produk halal menjadi lemah.  Minat pelaku usaha untuk sertifikasi rendah.  Mengapa penting:  Tanpa kesadaran dan literasi halal, maka regulasi sekuat apa pun tidak akan efektif, karena tidak ada dorongan dari sisi konsumen maupun produsen.  2. 💸 Faktor Ekonomi dan Biaya Sertifikasi Penjelasan:  Meskipun BPJPH menyediakan fasilitasi untuk UMKM, tetap ada biaya tak langsung seperti:  Biaya perubahan kemasan  Pengurusan dokumen  Konsultasi atau pelatihan  Bagi pelaku usaha mikro, biaya ini bisa dirasa berat dan tidak sebanding dengan manfaat jangka pendek.  Dampak:  Banyak UMKM menunda atau menolak sertifikasi.  Ketimpangan akses antara usaha besar dan kecil.  Catatan:  Dalam konteks Indonesia, UMKM adalah tulang punggung ekonomi. Jika mayoritas pelaku usaha tidak mampu menjangkau proses JPH, maka efektivitas implementasinya akan rendah secara nasional.  3. 🏛️ Faktor Politik dan Kepemimpinan Penjelasan:  Dukungan politik yang kuat (dari pusat hingga daerah) sangat menentukan prioritas anggaran, kecepatan peraturan turunan, dan pengawasan lapangan.  Ganti pejabat atau kepala daerah bisa mengubah arah atau komitmen implementasi JPH di daerah.  Dampak:  Inkoherensi kebijakan antarwilayah.  Terhambatnya program strategis JPH di tingkat lokal.  Contoh:  Beberapa daerah sangat progresif mendirikan LPH dan membantu UMKM, tapi ada juga daerah yang tidak mengalokasikan anggaran atau perhatian pada JPH sama sekali.  4. 🌍 Faktor Global dan Tekanan Pasar Internasional Penjelasan:  Pasar global mulai menjadikan sertifikasi halal sebagai keharusan, bahkan untuk produk non-Muslim.  Permintaan dari luar negeri bisa mendorong industri besar untuk mengikuti JPH.  Dampak:  Industri besar mulai patuh karena alasan ekspor, bukan karena regulasi dalam negeri.  Hal ini bisa mendorong reformasi internal, namun juga bisa memperlebar kesenjangan dengan UMKM.</t>
  </si>
  <si>
    <t>gilyanavysockaya@eventjackpot.online</t>
  </si>
  <si>
    <t>Tape singkong bu Tarwen</t>
  </si>
  <si>
    <t>IDRIS SUPRIYADI</t>
  </si>
  <si>
    <t>Tantangan terbesar yang saya hadapi adalah komunikasi yang kurang efektif antara pemerintah dan pelaku usaha, sehingga informasi tentang JPH sering tidak sampai dengan jelas. Dari sisi sumber daya, keterbatasan tenaga ahli dan biaya untuk memenuhi standar JPH menjadi hambatan, apalagi untuk usaha kecil dan menengah. Disposisi atau sikap pihak-pihak terkait terkadang belum mendukung, masih ada resistensi terhadap perubahan atau penyesuaian proses. Struktur birokrasi juga cukup kompleks, dengan prosedur yang panjang dan persyaratan administrasi yang berlapis, sehingga implementasi menjadi lambat dan membingungkan. Semua faktor ini saling terkait, sehingga membutuhkan koordinasi dan pendekatan yang lebih terintegrasi agar JPH bisa dijalankan secara efektif di lapangan.</t>
  </si>
  <si>
    <t xml:space="preserve">Ya, menurut saya komunikasi dan struktur birokrasi paling krusial. Jika komunikasi jelas, pelaku usaha bisa memahami persyaratan dan prosedur JPH dengan tepat, sehingga mengurangi kesalahan dan kebingungan. Struktur birokrasi yang rumit justru bisa memperlambat implementasi meskipun sumber daya dan disposisi sudah mendukung. Kedua faktor ini menjadi kunci karena tanpa arahan yang jelas dan proses yang efisien, upaya lainnya seperti penyediaan sumber daya atau perubahan sikap sulit berjalan maksimal.
</t>
  </si>
  <si>
    <t>Ya, saya rasa faktor edukasi dan kesadaran masyarakat juga penting. Bahkan jika komunikasi, sumber daya, disposisi, dan birokrasi sudah mendukung, tanpa pemahaman dan kesadaran konsumen atau pelaku usaha tentang pentingnya JPH, implementasi bisa kurang optimal. Faktor teknologi juga memengaruhi, misalnya sistem digital untuk sertifikasi atau pelaporan bisa mempercepat proses dan meminimalkan kesalahan. Jadi, keberhasilan JPH tidak hanya bergantung pada regulasi dan birokrasi, tapi juga pada kesiapan dan partisipasi semua pihak.</t>
  </si>
  <si>
    <t>idrissupriyadi49@gmail.com</t>
  </si>
  <si>
    <t>KUE GANDOS IDRIS</t>
  </si>
  <si>
    <t>RUMIYATI</t>
  </si>
  <si>
    <t>rumiyati@awgarstone.com</t>
  </si>
  <si>
    <t>saus kacang</t>
  </si>
  <si>
    <t>DEWI SUSILOWATI</t>
  </si>
  <si>
    <t>KAB. PATI</t>
  </si>
  <si>
    <t xml:space="preserve">Sumber Daya (paling penting)
•	Jumlah auditor halal, LPH (Lembaga Pemeriksa Halal), dan laboratorium uji sangat terbatas dibanding jumlah UMKM.
•	Tanpa SDM dan infrastruktur yang cukup, proses sertifikasi halal pasti terhambat meskipun komunikasi dan regulasi sudah baik
</t>
  </si>
  <si>
    <t>dewisusilowati@milkgitter.com</t>
  </si>
  <si>
    <t>Egg Roll</t>
  </si>
  <si>
    <t>NUR HAYATI</t>
  </si>
  <si>
    <t>KAB. BLITAR</t>
  </si>
  <si>
    <t>anggurnur12@gmail.com</t>
  </si>
  <si>
    <t>JAMU MBAK NUR</t>
  </si>
  <si>
    <t>NENI ATIKAH</t>
  </si>
  <si>
    <t>rbfield@affordableroofcare.com</t>
  </si>
  <si>
    <t>risol</t>
  </si>
  <si>
    <t>Tengku Fauzi</t>
  </si>
  <si>
    <t>Pemilik UMKM Kopi Gayo</t>
  </si>
  <si>
    <t>Bener Meriah</t>
  </si>
  <si>
    <t xml:space="preserve">Paling ribet sih soal birokrasi, banyak banget tahapannya. </t>
  </si>
  <si>
    <t xml:space="preserve">Menurutku struktur birokrasi itu paling penting, soalnya kalau ribet ya lama selesai. </t>
  </si>
  <si>
    <t>Dukungan komunitas petani kopi juga ngaruh, saling bantu info.</t>
  </si>
  <si>
    <t>WASRIAH</t>
  </si>
  <si>
    <t>brebes</t>
  </si>
  <si>
    <t>wasriah@yogirt.com</t>
  </si>
  <si>
    <t>produksi rumahan</t>
  </si>
  <si>
    <t>ANNISA MUTHI'ATIN</t>
  </si>
  <si>
    <t>annisamuthiatin@milkgitter.com</t>
  </si>
  <si>
    <t>Keripik Tempe</t>
  </si>
  <si>
    <t>NUR AENAH</t>
  </si>
  <si>
    <t>nur@maxamba.com</t>
  </si>
  <si>
    <t>SIOMAY IBU ENAH</t>
  </si>
  <si>
    <t>YUKEN PRATIWI</t>
  </si>
  <si>
    <t>sdm yang tidak memadai dan kurang paham</t>
  </si>
  <si>
    <t>....</t>
  </si>
  <si>
    <t>yukenpratiwi5@gmail.com</t>
  </si>
  <si>
    <t>Cut Nur Aisyah</t>
  </si>
  <si>
    <t>Pemilik Usaha Kuliner</t>
  </si>
  <si>
    <t xml:space="preserve">Komunikasi sama petugas kadang bikin bingung, bahasanya terlalu formal. </t>
  </si>
  <si>
    <t xml:space="preserve">komunikasi jelas itu nomor satu, biar UMKM kayak saya nggak salah langkah. </t>
  </si>
  <si>
    <t>komunikasi jelas itu nomor satu, biar UMKM kayak saya nggak salah langkah. Faktor lain, dukungan pemerintah daerah buat UMKM juga penting banget</t>
  </si>
  <si>
    <t>Mie Aceh &amp; kue tradisional</t>
  </si>
  <si>
    <t>DWI PANGESTI</t>
  </si>
  <si>
    <t>KOTA TEGAL</t>
  </si>
  <si>
    <t>tqnism@kavaint.net</t>
  </si>
  <si>
    <t>ES JERUK BU DWI</t>
  </si>
  <si>
    <t>KHOIRUL NUR AFIF</t>
  </si>
  <si>
    <t>khoirulnurafif@moongit.com</t>
  </si>
  <si>
    <t>Bakso</t>
  </si>
  <si>
    <t>SILMI KAFFAH</t>
  </si>
  <si>
    <t>fruktis9@godagoda094.store</t>
  </si>
  <si>
    <t>bandeng gepuk</t>
  </si>
  <si>
    <t>SABEN</t>
  </si>
  <si>
    <t>Apakah faktor tertentu lebih penting dalam implementasi JPH?  Ya, yang paling penting adalah komunikasi dan struktur birokrasi.  Komunikasi itu fondasi. Kalau masyarakat dan pelaku usaha nggak ngerti aturan halal, ya pasti nggak jalan.  Struktur birokrasi harus jelas. Kalau peran antar lembaga tumpang tindih (BPJPH, MUI, KAN), prosesnya jadi lambat dan bikin bingung.  Kesimpulan singkat: Tanpa komunikasi yang jelas dan birokrasi yang rapi, sertifikasi halal akan terhambat, walaupun sumber daya dan niat pelaksana sudah ada.</t>
  </si>
  <si>
    <t>Tantangan paling besar ada pada 4 hal ini:
Komunikasi: Kurang sosialisasi, terutama ke UMKM. Banyak yang nggak tahu cara atau pentingnya sertifikasi halal.
Sumber daya: Kurangnya auditor halal dan infrastruktur, apalagi di luar Jawa.
Disposisi: Niat dan komitmen pelaksana masih beda-beda. Kadang kebijakan dijalankan setengah hati.
Struktur birokrasi: Peran antar lembaga belum sinkron. Prosedur panjang dan membingungkan.
Kesimpulan singkat:
Yang paling terasa adalah komunikasi dan birokrasi yang belum solid, bikin implementasi JPH belum maksimal.</t>
  </si>
  <si>
    <t>a, ada beberapa faktor tambahan yang juga sangat penting:  Literasi halal: Banyak orang belum paham pentingnya produk halal, jadi kurang dorongan untuk ikut aturan.  Biaya: Meski ada bantuan, bagi UMKM, urus sertifikasi itu tetap terasa mahal dan ribet.  Dukungan politik: Kalau kepala daerahnya cuek, program JPH bisa mandek di daerah.  Pasar global: Tekanan ekspor bikin industri besar lebih patuh, tapi UMKM bisa makin tertinggal.  Kesimpulan singkat: Tanpa literasi, insentif, dan dukungan politik, regulasi halal hanya akan jadi aturan di atas kertas.</t>
  </si>
  <si>
    <t>vipoxa5444@pixatate.com</t>
  </si>
  <si>
    <t>SANDI NURFIANTO</t>
  </si>
  <si>
    <t>sanzchelia@gmail.com</t>
  </si>
  <si>
    <t>Es Campur</t>
  </si>
  <si>
    <t>Junaidi Siregar</t>
  </si>
  <si>
    <t>Pemilik UMKM Kopi Mandailing</t>
  </si>
  <si>
    <t>Mandailing Natal</t>
  </si>
  <si>
    <t xml:space="preserve">Birokrasi panjang banget, kadang bikin capek. </t>
  </si>
  <si>
    <t xml:space="preserve">struktur birokrasi itu paling penting biar prosesnya cepat. </t>
  </si>
  <si>
    <t>Dukungan komunitas petani kopi juga bikin semangat</t>
  </si>
  <si>
    <t>Kopi Mandailing</t>
  </si>
  <si>
    <t>AKUR WAHYUNI</t>
  </si>
  <si>
    <t>oldmangoalie@lolcow.info</t>
  </si>
  <si>
    <t>Jeruk peras ibu Wahyuni</t>
  </si>
  <si>
    <t>SAKIAH</t>
  </si>
  <si>
    <t>sakiyah@awgarstone.com</t>
  </si>
  <si>
    <t>renginang</t>
  </si>
  <si>
    <t>SLAMET SUPARTO</t>
  </si>
  <si>
    <t>Tantangan paling besar ada pada 4 hal ini:  Komunikasi: Kurang sosialisasi, terutama ke UMKM. Banyak yang nggak tahu cara atau pentingnya sertifikasi halal.  Sumber daya: Kurangnya auditor halal dan infrastruktur, apalagi di luar Jawa.  Disposisi: Niat dan komitmen pelaksana masih beda-beda. Kadang kebijakan dijalankan setengah hati.  Struktur birokrasi: Peran antar lembaga belum sinkron. Prosedur panjang dan membingungkan.  Kesimpulan singkat: Yang paling terasa adalah komunikasi dan birokrasi yang belum solid, bikin implementasi JPH belum maksimal.</t>
  </si>
  <si>
    <t>Ya, yang paling penting adalah komunikasi dan struktur birokrasi.
Komunikasi itu fondasi. Kalau masyarakat dan pelaku usaha nggak ngerti aturan halal, ya pasti nggak jalan.
Struktur birokrasi harus jelas. Kalau peran antar lembaga tumpang tindih (BPJPH, MUI, KAN), prosesnya jadi lambat dan bikin bingung.
Kesimpulan singkat:
Tanpa komunikasi yang jelas dan birokrasi yang rapi, sertifikasi halal akan terhambat, walaupun sumber daya dan niat pelaksana sudah ada.</t>
  </si>
  <si>
    <t>Ya, ada beberapa faktor tambahan yang juga sangat penting:  Literasi halal: Banyak orang belum paham pentingnya produk halal, jadi kurang dorongan untuk ikut aturan.  Biaya: Meski ada bantuan, bagi UMKM, urus sertifikasi itu tetap terasa mahal dan ribet.  Dukungan politik: Kalau kepala daerahnya cuek, program JPH bisa mandek di daerah.  Pasar global: Tekanan ekspor bikin industri besar lebih patuh, tapi UMKM bisa makin tertinggal.  Kesimpulan singkat: Tanpa literasi, insentif, dan dukungan politik, regulasi halal hanya akan jadi aturan di atas kertas.</t>
  </si>
  <si>
    <t>lejanis264@pixatate.com</t>
  </si>
  <si>
    <t>Gula kelapa Pak Slamet</t>
  </si>
  <si>
    <t>Dewi Br Ginting</t>
  </si>
  <si>
    <t>Komunikasi sama petugas sering ribet, bahasanya susah dipahami</t>
  </si>
  <si>
    <t xml:space="preserve">komunikasi jelas itu penting banget. </t>
  </si>
  <si>
    <t>dukungan pemerintah pemerintah daerah juga sangat membantu</t>
  </si>
  <si>
    <t>Bika Ambon &amp; Lontong Medan</t>
  </si>
  <si>
    <t>KARIYATUN</t>
  </si>
  <si>
    <t>kariyatun88@cekinboxs.com</t>
  </si>
  <si>
    <t>KETOPRAK BU ATUN</t>
  </si>
  <si>
    <t>TITIS INDAH ANGGRAENI</t>
  </si>
  <si>
    <t>titisindahanggraen@moongit.com</t>
  </si>
  <si>
    <t>Siomay</t>
  </si>
  <si>
    <t>KANEM</t>
  </si>
  <si>
    <t>boyek33995@azduan.com</t>
  </si>
  <si>
    <t>GULA JAWA BANYAK REJEKI</t>
  </si>
  <si>
    <t>H. Irwansyah Abidin</t>
  </si>
  <si>
    <t>Pengusaha Ikan Asap</t>
  </si>
  <si>
    <t>Sumber daya sih memang masih kurang, apalagi soal modal sama SDM yang ngerti detail dokumen halal. Kadang kita udah semangat mau urus, tapi mentok di biaya administrasi sama tenaga kerja yang kurang paham teknis. Jadi menurutku, sumber daya itu paling krusial, karena tanpa modal cukup dan orang yang ngerti proses, ya semuanya jalan di tempat</t>
  </si>
  <si>
    <t>Pasar juga berpengaruh besar. Kalau permintaan tinggi, otomatis semangat kita lebih kuat buat urus halal, soalnya ada jaminan produk kita laku. Tapi kalau pasar sepi, jadi agak ragu juga keluar biaya dan tenaga buat urus dokumen. Jadi intinya, modal, SDM, dan pasar itu nyambung semua, dan ketiganya bikin kita bisa lebih serius jalanin proses sertifikasi halal."</t>
  </si>
  <si>
    <t>pasar juga ngaruh, kalau demand tinggi kita lebih semangat urus halal.</t>
  </si>
  <si>
    <t>Ikan Asap &amp; olahan laut</t>
  </si>
  <si>
    <t>AGUS KHAERON</t>
  </si>
  <si>
    <t>Tantangan terbesar biasanya komunikasi yang kurang lancar antar pihak terkait, keterbatasan sumber daya, sikap atau disposisi yang kurang proaktif, dan proses birokrasi yang panjang serta rumit.</t>
  </si>
  <si>
    <t xml:space="preserve">Ya, komunikasi dan birokrasi terasa paling krusial. Tanpa komunikasi yang jelas, implementasi jadi tidak efektif, dan birokrasi yang rumit bisa memperlambat seluruh proses meski sumber daya dan disposisi sudah baik.
</t>
  </si>
  <si>
    <t>Ya, dukungan teknologi dan pelatihan bagi pelaku usaha juga penting. Tanpa itu, meski komunikasi, sumber daya, disposisi, dan birokrasi sudah baik, implementasi JPH bisa tetap terhambat.</t>
  </si>
  <si>
    <t>aguskhaeron0505@gmail.com</t>
  </si>
  <si>
    <t>Bubur Ayam "Agus Coy"</t>
  </si>
  <si>
    <t>SATIYEM</t>
  </si>
  <si>
    <t>woyed46875@dovesilo.com</t>
  </si>
  <si>
    <t xml:space="preserve">Jawa tengah </t>
  </si>
  <si>
    <t>GULA MERAH IBU SATIYEM</t>
  </si>
  <si>
    <t>OKI KURNIAWAN</t>
  </si>
  <si>
    <t xml:space="preserve">pelaku usaha </t>
  </si>
  <si>
    <t>Tidak semua usaha bisa ikut, hanya UMKM dengan kriteria tertentu yang berhak.</t>
  </si>
  <si>
    <t>tekekgpatekgenah@gmail.com</t>
  </si>
  <si>
    <t xml:space="preserve">Jawa Timur </t>
  </si>
  <si>
    <t xml:space="preserve">ES DEGAN JERUK NIPIS </t>
  </si>
  <si>
    <t>SUBAGYO SAPTA BUDIMAN</t>
  </si>
  <si>
    <t>Ya, yang paling penting adalah komunikasi dan struktur birokrasi.
Komunikasi itu fondasi. Kalau masyarakat dan pelaku usaha nggak ngerti aturan halal, ya pasti nggak jalan.
Struktur birokrasi harus jelas. Kalau peran antar lembaga tumpang tindih (BPJPH, MUI, KAN), prosesnya jadi lambat dan bikin bingung.
Kesimpulan singkat:
Tanpa komunikasi yang jelas dan birokrasi yang rapi, sertifikasi halal akan terhambat, walaupun sumber daya dan niat pelaksana sudah ada</t>
  </si>
  <si>
    <t>timojap341@pixatate.com</t>
  </si>
  <si>
    <t>Gula merah kelapa Subagyo</t>
  </si>
  <si>
    <t>BAMBANG WISNU AFRIANTO</t>
  </si>
  <si>
    <t>Tantangan terbesar biasanya ada pada pemahaman regulasi yang berbeda-beda, keterbatasan tenaga ahli yang paham JPH, dan adaptasi proses internal agar sesuai tanpa mengganggu operasional bisnis.</t>
  </si>
  <si>
    <t xml:space="preserve">Ya, menurut saya pemahaman regulasi dan sumber daya manusia lebih penting karena tanpa keduanya, implementasi JPH bisa tersendat meski struktur birokrasi sudah mendukung.
</t>
  </si>
  <si>
    <t>Ya, dukungan dari mitra bisnis dan kesadaran konsumen juga sangat mempengaruhi, karena keduanya bisa mempercepat adopsi dan memastikan praktik JPH berjalan efektif.</t>
  </si>
  <si>
    <t>jowosif948@togito.com</t>
  </si>
  <si>
    <t>Es Dawet Nira</t>
  </si>
  <si>
    <t>FEBI DAYANI</t>
  </si>
  <si>
    <t>KAB. PEKALONGAN</t>
  </si>
  <si>
    <t>jewaxa6903@hidelux.com</t>
  </si>
  <si>
    <t xml:space="preserve">KOLAK PISANG </t>
  </si>
  <si>
    <t>Rizal Simanjuntak</t>
  </si>
  <si>
    <t>Pengusaha Ikan Nila</t>
  </si>
  <si>
    <t>Toba</t>
  </si>
  <si>
    <t>Sumber daya sih masih kurang, terutama soal modal dan tenaga kerja. Modal terbatas bikin kita susah gerak, apalagi biaya untuk urus dokumen halal kadang lumayan besar. Ditambah lagi tenaga kerja yang ngerti detail administrasi halal masih minim, jadi sering bingung sendiri. Makanya menurutku sumber daya ini paling krusial, karena tanpa modal cukup dan SDM yang paham, prosesnya bisa mandek</t>
  </si>
  <si>
    <t>kses pasar juga ngaruh banget. Kalau pasar rame, permintaan tinggi, otomatis semangat kita juga naik buat urus halal. Soalnya ada jaminan produk bakal jalan dan balik modal lebih cepat. Tapi kalau pasar lagi sepi, kadang kita jadi mikir dua kali, ‘worth it nggak ya keluar biaya segini banyak buat sertifikat halal?’ Jadi pasar tuh bener-bener jadi faktor penentu juga</t>
  </si>
  <si>
    <t>Kalau modal kuat, bisa rekrut SDM yang paham urusan halal. Kalau SDM oke, dokumen cepat selesai. Kalau pasar terbuka luas, semangat makin gede karena hasil usaha jelas ada yang beli. Jadi intinya, semua faktor ini saling tarik menarik, dan kalau salah satunya lemah, proses jadi lebih berat</t>
  </si>
  <si>
    <t>Ikan Nila &amp; olahan ikan</t>
  </si>
  <si>
    <t>SANIYAH</t>
  </si>
  <si>
    <t>fuadh.as543@gmail.com</t>
  </si>
  <si>
    <t>SANIYAH GULA MERAH</t>
  </si>
  <si>
    <t>M. Rahmat Fauzi Anwar</t>
  </si>
  <si>
    <t>Pemilik UMKM Rendang</t>
  </si>
  <si>
    <t>Kalau dibilang kendala terbesar, ya jelas soal sumber daya. Modal sama tenaga kerja itu masih kurang banget. Kadang kita udah punya niat jalanin usaha lebih serius, tapi kejebak di biaya operasional dan kurangnya orang yang paham cara urus dokumen halal. Menurutku ini yang paling krusial, soalnya tanpa modal yang cukup dan SDM yang ngerti, semua jadi tersendat.</t>
  </si>
  <si>
    <t>akses pasar juga nggak kalah penting. Kalau pasar lagi rame dan permintaan tinggi, otomatis kita lebih semangat urus halal, karena ada kepastian produk bakal jalan. Tapi kalau sepi, kadang jadi mikir dua kali, worth it nggak keluar tenaga sama biaya. Jadi intinya, sumber daya dan pasar ini saling kaitan, kalau dua-duanya mendukung, proses halal jalan lebih lancar.</t>
  </si>
  <si>
    <t>Akses pasar juga bikin beda, kalau ramai ya lebih semangat urus halal</t>
  </si>
  <si>
    <t>Rendang Minang</t>
  </si>
  <si>
    <t>ROHMAD ABADI</t>
  </si>
  <si>
    <t>abadirahmat281@gmail.com</t>
  </si>
  <si>
    <t>Warung Makan Mbak At</t>
  </si>
  <si>
    <t>DARMI</t>
  </si>
  <si>
    <t>KOTA SALATIGA</t>
  </si>
  <si>
    <t>darmi1959@ceknesia.com</t>
  </si>
  <si>
    <t>Rempeyek Mbah Darmi</t>
  </si>
  <si>
    <t>SINGGIH PRAMONCO</t>
  </si>
  <si>
    <t>singgih@yogirt.com</t>
  </si>
  <si>
    <t>nasgor</t>
  </si>
  <si>
    <t>JAIS</t>
  </si>
  <si>
    <t>jais30066@milkgitter.com</t>
  </si>
  <si>
    <t>Egg Roll Bang Jais</t>
  </si>
  <si>
    <t>SITI ZULAEKAH</t>
  </si>
  <si>
    <t>sitizulaekah@milkgitter.com</t>
  </si>
  <si>
    <t>Sumpia Udang Mbak Zul</t>
  </si>
  <si>
    <t>TRI MARTANTI</t>
  </si>
  <si>
    <t>KAB. SUKOHARJO</t>
  </si>
  <si>
    <t>trimartanti@awgarstone.com</t>
  </si>
  <si>
    <t>Telur sunduk Bu Martanti</t>
  </si>
  <si>
    <t>DASRIAH</t>
  </si>
  <si>
    <t>1.	Komunikasi o	Sosialisasi ke pelaku UMKM masih belum merata; banyak yang belum paham kewajiban sertifikasi halal</t>
  </si>
  <si>
    <t>bawera1669@fashlend.com</t>
  </si>
  <si>
    <t>Pisang Keju</t>
  </si>
  <si>
    <t>WARSILAH</t>
  </si>
  <si>
    <t>warsilah@moongit.com</t>
  </si>
  <si>
    <t>Es Tebu Ijo Bu Warsilah</t>
  </si>
  <si>
    <t>LENI ANDIAWATI</t>
  </si>
  <si>
    <t>1.	Komunikasi o	Sosialisasi ke pelaku UMKM masih belum merata; banyak yang belum paham kewajiban sertifikasi halal. o	Informasi sering berubah seiring revisi regulasi → menimbulkan kebingungan. o	Kendala bahasa/akses informasi di daerah terpencil juga memperlambat pemahaman masyarakat</t>
  </si>
  <si>
    <t>leni@yogirt.com</t>
  </si>
  <si>
    <t>KENTANG KRISPY</t>
  </si>
  <si>
    <t>SUGINI</t>
  </si>
  <si>
    <t>sugini@moongit.com</t>
  </si>
  <si>
    <t>Gorengan Yu Sugini</t>
  </si>
  <si>
    <t>NGATIYEM</t>
  </si>
  <si>
    <t>patoc92225@qtsaver.com</t>
  </si>
  <si>
    <t>KERIPIK SINGKONG BU NGATIYEM</t>
  </si>
  <si>
    <t>Tantangan terbesar bagi saya dalam implementasi JPH di Indonesia terkait komunikasi adalah informasi yang sering tidak merata dan kurang jelas di tingkat pelaku usaha, sehingga kadang membingungkan dalam penerapan standar yang benar. Untuk sumber daya, baik SDM maupun infrastruktur kadang belum cukup mendukung, terutama untuk usaha kecil menengah yang terbatas modal dan pengetahuan teknis. Dari sisi disposisi, ada kecenderungan sikap pasif atau enggan berinovasi dari sebagian pihak, sehingga program JPH tidak selalu dijalankan secara konsisten. Sedangkan struktur birokrasi masih cukup kompleks dan berlapis, sehingga proses perizinan, sertifikasi, atau koordinasi antarinstansi menjadi lambat dan menyulitkan usaha untuk cepat menyesuaikan diri dengan regulasi. Semua hal ini membuat implementasi JPH menuntut kesabaran, pemahaman yang jelas, dan dukungan berkelanjutan agar standar halal bisa dijalankan dengan efektif di semua level usaha.</t>
  </si>
  <si>
    <t xml:space="preserve">Ya, menurut saya faktor komunikasi dan sumber daya lebih penting. Komunikasi yang jelas memastikan pelaku usaha memahami standar dan prosedur JPH dengan tepat, sehingga tidak ada kesalahan dalam implementasi. Sumber daya, terutama SDM yang terlatih dan fasilitas yang memadai, menentukan kemampuan usaha untuk benar-benar menjalankan standar halal secara konsisten. Tanpa dua faktor ini, meskipun disposisi baik dan birokrasi mendukung, implementasi JPH akan tetap sulit dijalankan dengan efektif.
</t>
  </si>
  <si>
    <t>Ya, saya rasa kesadaran dan komitmen pelaku usaha sendiri sangat mempengaruhi keberhasilan implementasi JPH. Jika pelaku usaha benar-benar memahami pentingnya produk halal bagi konsumen dan menjaga reputasi bisnis, mereka akan lebih proaktif dalam mematuhi standar, mencari informasi, dan memperbaiki proses meski menghadapi kendala birokrasi atau keterbatasan sumber daya. Selain itu, dukungan teknologi, seperti sistem dokumentasi digital, juga bisa mempermudah penerapan JPH secara konsisten.</t>
  </si>
  <si>
    <t>TERANG BULAN SEDAP MALAM</t>
  </si>
  <si>
    <t>MUHAMMAD MUHLISIN</t>
  </si>
  <si>
    <t>muhammadmuh@yogirt.com</t>
  </si>
  <si>
    <t>ES TEH SI AA</t>
  </si>
  <si>
    <t>NAILA AUFA AZIZAH</t>
  </si>
  <si>
    <t xml:space="preserve">pu YAIS </t>
  </si>
  <si>
    <t>JL DANAU LIMBOTO A5/C 27, RT/RW -, SAWOJAJAR, KEDUNGKANDANG</t>
  </si>
  <si>
    <t>Implementasi JPH di Indonesia bukan hanya soal regulasi, tetapi sangat tergantung pada efektivitas komunikasi, kesiapan sumber daya, sikap para pemangku kepentingan, dan efisiensi struktur birokrasi. Perlu kolaborasi lintas sektor, digitalisasi proses, dan pendekatan edukatif untuk mempercepat realisasi JPH secara menyeluruh.</t>
  </si>
  <si>
    <t>Ya, dalam konteks implementasi Jaminan Produk Halal (JPH) di Indonesia, semua faktor yang telah disebutkan (komunikasi, sumber daya, disposisi, dan struktur birokrasi) saling terkait dan penting. Namun, beberapa faktor memiliki urgensi dan dampak yang lebih dominan terhadap keberhasilan implementasi. Di antara semuanya, sumber daya dan struktur birokrasi bisa dikatakan lebih krusial, dengan komunikasi dan disposisi sebagai faktor pendukung yang memperkuat atau melemahkan proses.</t>
  </si>
  <si>
    <t>Selain faktor utama seperti komunikasi, sumber daya, disposisi, dan birokrasi, keberhasilan JPH juga sangat dipengaruhi oleh aspek regulasi yang jelas, dukungan pendanaan, pemanfaatan teknologi, kesadaran konsumen, dan peran lembaga pendidikan. Faktor-faktor ini seringkali bersifat pendukung, tetapi bisa menjadi kunci keberhasilan jika dimaksimalkan secara strategis.</t>
  </si>
  <si>
    <t>nailaye.nae@gmail.com</t>
  </si>
  <si>
    <t>STOWANS HEALTHY DRINK</t>
  </si>
  <si>
    <t>RAMEN</t>
  </si>
  <si>
    <t>KAB. PURBALINGGA</t>
  </si>
  <si>
    <t>ramen@yogirt.com</t>
  </si>
  <si>
    <t xml:space="preserve">SALE PISANG </t>
  </si>
  <si>
    <t>ARMIN FREDI</t>
  </si>
  <si>
    <t>KOTA JAKARTA SELATAN</t>
  </si>
  <si>
    <t>Tantangan terbesar biasanya ada pada pemahaman dan kesadaran masyarakat tentang JPH, terbatasnya akses informasi, serta koordinasi antarinstansi yang belum optimal, sehingga implementasinya sering lambat meski regulasi sudah ada.</t>
  </si>
  <si>
    <t xml:space="preserve">Ya, kesadaran dan pemahaman masyarakat menurut saya paling penting, karena tanpa dukungan dan pemahaman dari konsumen, regulasi dan struktur birokrasi saja tidak cukup untuk memastikan implementasi JPH berjalan efektif.
</t>
  </si>
  <si>
    <t>Ya, akses terhadap teknologi dan informasi juga sangat berpengaruh, karena memudahkan produsen dan konsumen untuk memahami, memverifikasi, dan mempraktikkan JPH dengan benar.</t>
  </si>
  <si>
    <t>arminfredy07@gmail.com</t>
  </si>
  <si>
    <t>Danish Corner</t>
  </si>
  <si>
    <t>TAUFIK MAULANA</t>
  </si>
  <si>
    <t>Tantangan terbesarnya ada di:  Komunikasi: Sosialisasi masih minim, terutama ke UMKM. Banyak yang belum tahu cara dan manfaat sertifikasi halal.  Sumber daya: Auditor halal terbatas, infrastruktur TI belum merata, dan anggaran masih kurang.  Disposisi: Tidak semua pelaksana punya komitmen dan pemahaman yang sama.  Struktur birokrasi: Ada tumpang tindih wewenang antara BPJPH, MUI, dan lembaga lain. Prosedur juga masih rumit dan lama.  Yang paling krusial? Komunikasi dan struktur birokrasi. Karena kalau keduanya bermasalah, yang lain ikut terhambat.</t>
  </si>
  <si>
    <t>Ada, dan cukup signifikan:  Literasi halal: Masyarakat dan pelaku usaha banyak yang belum paham pentingnya produk halal. Akibatnya, permintaan dan kesadaran masih rendah.  Biaya: Bagi UMKM, biaya dan proses sertifikasi masih terasa berat, meski ada bantuan.  Dukungan politik: Komitmen kepala daerah dan pejabat terkait sangat menentukan kelancaran program di lapangan.  Tekanan pasar global: Industri besar mulai ikut karena tuntutan ekspor, tapi UMKM masih tertinggal.  Tanpa dukungan dari sisi edukasi, ekonomi, dan kepemimpinan, JPH bisa jadi hanya formalitas, bukan sistem yang benar-benar jalan.</t>
  </si>
  <si>
    <t>hegefe7247@mcuma.com</t>
  </si>
  <si>
    <t>BIHUN TELOR TAUFIK</t>
  </si>
  <si>
    <t>DEWI SUPRIH</t>
  </si>
  <si>
    <t>bamas68349@mcuma.com</t>
  </si>
  <si>
    <t>Ketan Serundeng Bu Dewi</t>
  </si>
  <si>
    <t>MANIYEM</t>
  </si>
  <si>
    <t>Tantangan terbesar dalam implementasi JPH di Indonesia sebenarnya cukup kompleks. Dari sisi komunikasi, seringkali informasi terkait regulasi dan standar JPH tidak tersampaikan secara merata ke seluruh pelaku usaha, sehingga ada kebingungan tentang prosedur dan persyaratan yang harus dipenuhi. Dalam hal sumber daya, banyak usaha, terutama usaha kecil dan menengah, kesulitan memenuhi standar karena keterbatasan peralatan, bahan, maupun tenaga ahli yang memahami prosedur JPH. Mengenai disposisi atau sikap, masih ada resistensi dari sebagian pelaku usaha yang melihat penerapan JPH sebagai beban tambahan, bukan peluang untuk meningkatkan kualitas produk. Terakhir, struktur birokrasi juga menjadi hambatan karena proses perizinan dan sertifikasi seringkali lambat, tumpang tindih, dan membutuhkan koordinasi antarinstansi yang tidak selalu efisien. Semua faktor ini saling terkait dan membuat implementasi JPH menjadi tantangan yang membutuhkan pendekatan komprehensif dan dukungan dari semua pihak terkait.</t>
  </si>
  <si>
    <t xml:space="preserve">Ya, menurut saya komunikasi dan struktur birokrasi adalah faktor yang paling menentukan. Jika informasi tentang standar JPH tidak tersampaikan dengan jelas atau tepat waktu, pelaku usaha akan kesulitan menyesuaikan proses produksinya, apapun sumber daya yang dimiliki. Di sisi lain, birokrasi yang rumit dan lambat bisa membuat usaha enggan mengurus sertifikasi atau mematuhi regulasi, bahkan jika mereka memiliki motivasi dan kapasitas untuk melakukannya. Faktor-faktor lain seperti sumber daya dan disposisi tetap penting, tapi komunikasi yang efektif dan birokrasi yang efisien menjadi fondasi utama agar implementasi JPH bisa berjalan lancar dan merata di seluruh lapisan usaha.
</t>
  </si>
  <si>
    <t>Ya, saya pikir edukasi konsumen dan kesadaran pasar juga sangat mempengaruhi. Jika konsumen menuntut produk bersertifikat JPH, pelaku usaha akan lebih termotivasi untuk mematuhi standar. Selain itu, dukungan teknologi, seperti sistem digital untuk sertifikasi dan pelacakan produk, bisa mempercepat proses dan mengurangi kesalahan, sehingga implementasi JPH lebih efektif. Faktor-faktor ini seringkali luput dari perhatian, tapi sebenarnya sangat menentukan keberhasilan jangka panjang.</t>
  </si>
  <si>
    <t>sodar92406@darkse.com</t>
  </si>
  <si>
    <t>KRIPIK TEMPE BAROKAH BU MANIYEM</t>
  </si>
  <si>
    <t>ROKHATUN</t>
  </si>
  <si>
    <t>rokhatun@yogirt.com</t>
  </si>
  <si>
    <t>PRODUKSI PEYEK TERI</t>
  </si>
  <si>
    <t>WARSIKIN</t>
  </si>
  <si>
    <t>korah34765@sfpixel.com</t>
  </si>
  <si>
    <t xml:space="preserve">GULA MERAH </t>
  </si>
  <si>
    <t>MUHAMMAD MA'RUF</t>
  </si>
  <si>
    <t xml:space="preserve">PU YAIS </t>
  </si>
  <si>
    <t>DUSUN LABANG, DESA GILI TIMUR, RT/RW -, GILI TIMUR, KAMAL</t>
  </si>
  <si>
    <t>mohmaruf371@gmail.com</t>
  </si>
  <si>
    <t>MISTEM</t>
  </si>
  <si>
    <t>Tantangan utamanya adalah komunikasi yang kurang lancar, sumber daya terbatas, disposisi yang berbeda-beda, dan birokrasi yang lambat.</t>
  </si>
  <si>
    <t xml:space="preserve">Ya, komunikasi dan sumber daya paling krusial karena tanpa keduanya, implementasi sulit berjalan meski disposisi dan birokrasi mendukung.
</t>
  </si>
  <si>
    <t>Ya, kesadaran dan pemahaman masyarakat terhadap JPH juga penting, karena tanpa dukungan mereka, program sulit efektif.</t>
  </si>
  <si>
    <t>retacal286@darkse.com</t>
  </si>
  <si>
    <t>GULA JAWA ASLI BU MISTEM</t>
  </si>
  <si>
    <t>FAIKOH NELI ASTUTI</t>
  </si>
  <si>
    <t>faiqoh@yogirt.com</t>
  </si>
  <si>
    <t>SALE PISANG BU IKOH</t>
  </si>
  <si>
    <t>DWI MURI YANTI</t>
  </si>
  <si>
    <t>Ya, dalam konteks implementasi Jaminan Produk Halal (JPH) di Indonesia, semua faktor yang telah disebutkan (komunikasi, sumber daya, disposisi, dan struktur birokrasi) saling terkait dan penting. Namun, beberapa faktor memiliki urgensi dan dampak yang lebih dominan terhadap keberhasilan implementasi. Di antara semuanya, sumber daya dan struktur birokrasi bisa dikatakan lebih krusial, dengan komunikasi dan disposisi sebagai faktor pendukung yang memperkuat atau melemahkan proses</t>
  </si>
  <si>
    <t>dwimuriyanti02@gmail.com</t>
  </si>
  <si>
    <t>BUMBU PECEL BU YANTI</t>
  </si>
  <si>
    <t>MISYATI</t>
  </si>
  <si>
    <t>misyati1977@cekinboxs.com</t>
  </si>
  <si>
    <t>Peyek Kacang Dempis</t>
  </si>
  <si>
    <t>TURINGAH</t>
  </si>
  <si>
    <t>bavivo1926@fashlend.com</t>
  </si>
  <si>
    <t>SAYEM</t>
  </si>
  <si>
    <t>sayem@yogirt.com</t>
  </si>
  <si>
    <t>gula merah</t>
  </si>
  <si>
    <t>TRI WIYANTI</t>
  </si>
  <si>
    <t>triwiyanti@yogirt.com</t>
  </si>
  <si>
    <t>BOLU KUKUS BU TRI</t>
  </si>
  <si>
    <t xml:space="preserve">JAWA TIMUR </t>
  </si>
  <si>
    <t>MARSINI</t>
  </si>
  <si>
    <t>wikoh70686@pgfweb.com</t>
  </si>
  <si>
    <t>KERIPIK TEMPE</t>
  </si>
  <si>
    <t>ANGGI WIDIYANTO</t>
  </si>
  <si>
    <t>anggi@yogirt.com</t>
  </si>
  <si>
    <t>Slondok Gurih Anak Sholeh</t>
  </si>
  <si>
    <t>JUWARIYAH</t>
  </si>
  <si>
    <t>Kab. Boyolali</t>
  </si>
  <si>
    <t>juwariya@awgarstone.com</t>
  </si>
  <si>
    <t>PARIYEM</t>
  </si>
  <si>
    <t>KAB. SRAGEN</t>
  </si>
  <si>
    <t>vikaye8578@dovesilo.com</t>
  </si>
  <si>
    <t>JENANG AYU 87</t>
  </si>
  <si>
    <t>SUGINO</t>
  </si>
  <si>
    <t>KAB. PURWOREJO</t>
  </si>
  <si>
    <t>yovaso6536@lewenbo.com</t>
  </si>
  <si>
    <t>Udang Tepung Warung Safood Ibu Martini</t>
  </si>
  <si>
    <t>KHASANAH</t>
  </si>
  <si>
    <t>khasanah2@awgarstone.com</t>
  </si>
  <si>
    <t>DESI RAHMAWATI</t>
  </si>
  <si>
    <t xml:space="preserve">2.	Sumber Daya o	Jumlah auditor halal dan Lembaga Pemeriksa Halal (LPH) masih terbatas dibanding jumlah pelaku usaha (±65 juta UMKM). o	Fasilitas laboratorium uji halal belum merata di semua </t>
  </si>
  <si>
    <t>nixikok525@shanreto.com</t>
  </si>
  <si>
    <t xml:space="preserve">Udang Tepung </t>
  </si>
  <si>
    <t>SELVIA RAGASIWI EFENDY</t>
  </si>
  <si>
    <t>torgep@trumvia.online</t>
  </si>
  <si>
    <t>Es teh bu Selvia</t>
  </si>
  <si>
    <t>USWATUN KHASANAH</t>
  </si>
  <si>
    <t>Kab. Brebes</t>
  </si>
  <si>
    <t>velechkoi@bookkeepingexpert.net</t>
  </si>
  <si>
    <t>MOHAMAD MIRWAN ALI ZAFI</t>
  </si>
  <si>
    <t>KOTA MALANG</t>
  </si>
  <si>
    <t>Pelaksanaan Jaminan Produk Halal (JPH) di Indonesia tidak hanya bergantung pada aturan yang ada, tetapi juga sangat ditentukan oleh keberhasilan komunikasi, ketersediaan sumber daya, komitmen para pemangku kepentingan, serta kelancaran sistem birokrasi. Diperlukan kerja sama antar berbagai sektor, pemanfaatan teknologi digital, dan pendekatan edukatif agar implementasi JPH dapat berjalan lebih cepat dan merata.</t>
  </si>
  <si>
    <t xml:space="preserve">Implementasi Jaminan Produk Halal (JPH) di Indonesia dipengaruhi oleh berbagai faktor, namun yang paling krusial adalah sumber daya dan struktur birokrasi. Tanpa SDM yang memadai dan sistem yang efisien, proses sertifikasi tidak dapat berjalan optimal. Komunikasi dan disposisi juga penting sebagai pendukung, namun efektivitasnya sangat bergantung pada kesiapan sistem dan infrastruktur yang ada. Oleh karena itu, prioritas utama harus diberikan pada penguatan sumber daya dan perbaikan birokrasi.
</t>
  </si>
  <si>
    <t>di luar faktor utama seperti komunikasi, sumber daya, disposisi, dan birokrasi, keberhasilan implementasi JPH juga sangat dipengaruhi oleh kejelasan regulasi, ketersediaan dukungan finansial, penggunaan teknologi, tingkat kesadaran konsumen, serta kontribusi lembaga pendidikan. Meskipun sering dianggap sebagai faktor pendukung, elemen-elemen ini dapat menjadi penentu utama keberhasilan jika dikelola dan dimanfaatkan secara optimal.</t>
  </si>
  <si>
    <t>mirwanzafi@ymail.com</t>
  </si>
  <si>
    <t>Tempe Rizquna</t>
  </si>
  <si>
    <t>DYAH PUJI RAHAYU</t>
  </si>
  <si>
    <t>KAB. REMBANG</t>
  </si>
  <si>
    <t>phouguet@rvmail.xyz</t>
  </si>
  <si>
    <t>Es Teh Nyell bu Dyah</t>
  </si>
  <si>
    <t>DEWI TRIANA</t>
  </si>
  <si>
    <t>soblessed@dwterusaelah.art</t>
  </si>
  <si>
    <t>GIYEM</t>
  </si>
  <si>
    <t>giyem@yogirt.com</t>
  </si>
  <si>
    <t>tape ketan</t>
  </si>
  <si>
    <t>WARSINI</t>
  </si>
  <si>
    <t>fobehag110@fashlend.com</t>
  </si>
  <si>
    <t>ES TEH WARSINI</t>
  </si>
  <si>
    <t>ILHAM SETIAWAN</t>
  </si>
  <si>
    <t xml:space="preserve">KAB. KEDIRI </t>
  </si>
  <si>
    <t>paling signifikan adalah kurangnya proses birokrasi yang terpadu dan efisien untuk JPH, yang membuat baik korporasi besar maupun usaha kecil enggan berpartisipasi, terlepas dari ketersediaan sumber daya lain atau kejelasan komunikasi</t>
  </si>
  <si>
    <t>pentolpranggang@gmail.com</t>
  </si>
  <si>
    <t>PENTOL KUAH BERKAH</t>
  </si>
  <si>
    <t>SALTINAH</t>
  </si>
  <si>
    <t>saltinah348@gmail.com</t>
  </si>
  <si>
    <t>SUPIATI</t>
  </si>
  <si>
    <t>Tantangan terbesar dalam implementasi Jaminan Produk Halal (JPH) di Indonesia mencakup kurangnya komunikasi yang efektif, keterbatasan sumber daya, lemahnya komitmen (disposisi), dan birokrasi yang kompleks. Sosialisasi yang belum merata membuat banyak pelaku usaha, terutama UMKM, belum memahami pentingnya sertifikasi halal. Di sisi lain, kekurangan auditor, lembaga pemeriksa, dan infrastruktur pendukung memperlambat proses sertifikasi. Rendahnya kesadaran dari pelaku usaha dan belum optimalnya dukungan pemerintah daerah juga menghambat pelaksanaan. Selain itu, koordinasi antar lembaga yang belum terintegrasi menyebabkan birokrasi berbelit dan proses menjadi lambat. Oleh karena itu, perlu perbaikan menyeluruh di keempat aspek ini agar JPH dapat diterapkan secara efektif dan merata.</t>
  </si>
  <si>
    <t>Ya, dalam implementasi JPH di Indonesia, beberapa faktor memang lebih penting dibandingkan yang lain. Sumber daya dan struktur birokrasi menjadi faktor paling krusial karena keduanya langsung memengaruhi kelancaran proses sertifikasi halal. Tanpa auditor, lembaga pemeriksa, serta sistem birokrasi yang efisien dan terkoordinasi, kebijakan JPH sulit dijalankan meskipun komunikasi dan komitmen sudah terbentuk. Sementara itu, komunikasi dan disposisi tetap penting sebagai pendukung, tetapi efektivitasnya sangat bergantung pada kesiapan sistem dan sumber daya yang tersedia. Karena itu, penguatan SDM dan perbaikan birokrasi perlu menjadi prioritas utama.</t>
  </si>
  <si>
    <t>Selain faktor utama, keberhasilan implementasi JPH juga dipengaruhi oleh regulasi yang jelas, dukungan biaya, pemanfaatan teknologi, kesadaran konsumen, dan peran lembaga pendidikan. Jika dikelola dengan baik, faktor-faktor pendukung ini dapat mempercepat proses dan memperluas jangkauan sertifikasi halal di Indonesia.</t>
  </si>
  <si>
    <t>supiatimalang27@gmail.com</t>
  </si>
  <si>
    <t>BOLU KUKUS JAJANAN BAROKAH</t>
  </si>
  <si>
    <t>UDHIYAH</t>
  </si>
  <si>
    <t>rehoga5192@sfpixel.com</t>
  </si>
  <si>
    <t xml:space="preserve">KERIPIK PISANG </t>
  </si>
  <si>
    <t>SULIS AN UMIYATI</t>
  </si>
  <si>
    <t>pelaku usaha -yais</t>
  </si>
  <si>
    <t>jejone1503@glaslack.com</t>
  </si>
  <si>
    <t>dumbeg bu sulis</t>
  </si>
  <si>
    <t>SITI HANDAYANI</t>
  </si>
  <si>
    <t>sitihandayani@yogirt.com</t>
  </si>
  <si>
    <t>kue ku bu siti</t>
  </si>
  <si>
    <t>TURIMAN</t>
  </si>
  <si>
    <t>pemed46193@xanalx.com</t>
  </si>
  <si>
    <t>WAHYUNI ENDAH PARWATI</t>
  </si>
  <si>
    <t>cabaj90078@nimadir.com</t>
  </si>
  <si>
    <t>cilok</t>
  </si>
  <si>
    <t>HAMAMAH</t>
  </si>
  <si>
    <t xml:space="preserve">Ya, dalam implementasi JPH di Indonesia, beberapa faktor memang lebih penting dibandingkan yang lain. Sumber daya dan struktur birokrasi menjadi faktor paling krusial karena keduanya langsung memengaruhi kelancaran proses sertifikasi halal. Tanpa auditor, lembaga pemeriksa, serta sistem birokrasi yang efisien dan terkoordinasi, kebijakan JPH sulit dijalankan meskipun komunikasi dan komitmen sudah terbentuk. Sementara itu, komunikasi dan disposisi tetap penting sebagai pendukung, tetapi efektivitasnya sangat bergantung pada kesiapan sistem dan sumber daya yang tersedia. Karena itu, penguatan SDM dan perbaikan birokrasi perlu menjadi prioritas utama.
</t>
  </si>
  <si>
    <t>Selain komunikasi, sumber daya, disposisi, dan birokrasi, terdapat faktor lain yang juga memengaruhi keberhasilan implementasi JPH di Indonesia. Faktor tersebut antara lain adalah kejelasan regulasi, dukungan pendanaan, pemanfaatan teknologi, kesadaran konsumen, dan peran lembaga pendidikan. Regulasi yang tidak konsisten dapat membingungkan pelaku usaha, sementara minimnya dukungan biaya menyulitkan UMKM dalam mengurus sertifikasi. Di sisi lain, digitalisasi proses dapat mempercepat layanan, dan kesadaran konsumen mendorong permintaan produk halal. Lembaga pendidikan juga berperan penting dalam membangun pemahaman halal sejak dini. Meski bersifat pendukung, faktor-faktor ini dapat menjadi penentu keberhasilan jika dimanfaatkan secara optimal.</t>
  </si>
  <si>
    <t>ecaeva04@gmail.com</t>
  </si>
  <si>
    <t>ES TEH JUMBO HAMAMAH</t>
  </si>
  <si>
    <t>BILQIS AYU ARI</t>
  </si>
  <si>
    <t>bilkis@yogirt.com</t>
  </si>
  <si>
    <t>RISOL MAYO BU BILKIS</t>
  </si>
  <si>
    <t>SAIMUN</t>
  </si>
  <si>
    <t xml:space="preserve">Kab. Cilacap </t>
  </si>
  <si>
    <t>woyar52494@xanalx.com</t>
  </si>
  <si>
    <t>WAHYU TRI HARJOKO</t>
  </si>
  <si>
    <t>nipeva7639@shanreto.com</t>
  </si>
  <si>
    <t>Minuman Jamu Mas Wahyu</t>
  </si>
  <si>
    <t>MUSYAROFAH</t>
  </si>
  <si>
    <t>musyarofah88@ceknesia.com</t>
  </si>
  <si>
    <t xml:space="preserve">BOLU PISANG </t>
  </si>
  <si>
    <t>SUYATI</t>
  </si>
  <si>
    <t>geneka6544@rehezb.com</t>
  </si>
  <si>
    <t>Asam Manis Kepiting Suyati Seafood</t>
  </si>
  <si>
    <t>LALU SAAD</t>
  </si>
  <si>
    <t>KOTA AMBON</t>
  </si>
  <si>
    <t>Implementasi Jaminan Produk Halal (JPH) di Indonesia dipengaruhi oleh berbagai faktor, namun yang paling krusial adalah sumber daya dan struktur birokrasi. Tanpa SDM yang memadai dan sistem yang efisien, proses sertifikasi tidak dapat berjalan optimal. Komunikasi dan disposisi juga penting sebagai pendukung, namun efektivitasnya sangat bergantung pada kesiapan sistem dan infrastruktur yang ada. Oleh karena itu, prioritas utama harus diberikan pada penguatan sumber daya dan perbaikan birokrasi.</t>
  </si>
  <si>
    <t>lulusaad2024@gmail.com</t>
  </si>
  <si>
    <t>Maluku</t>
  </si>
  <si>
    <t>ES TELER MAS SAAD</t>
  </si>
  <si>
    <t>NUR FADLILAH</t>
  </si>
  <si>
    <t>KOTA PEKALONGAN</t>
  </si>
  <si>
    <t>bavod33709@dovesilo.com</t>
  </si>
  <si>
    <t>TEMPE HIGIENIS MBAK NUR FADLILAH</t>
  </si>
  <si>
    <t>LILIK SULASTRI</t>
  </si>
  <si>
    <t>KAB. KARANGANYAR</t>
  </si>
  <si>
    <t>kawika12@nguyentran24.xyz</t>
  </si>
  <si>
    <t>TURSINI</t>
  </si>
  <si>
    <t>nprovenz@vywbltgr.xyz</t>
  </si>
  <si>
    <t>GORENGAN BAKWAN</t>
  </si>
  <si>
    <t>DYAN SURWENDAH</t>
  </si>
  <si>
    <t>heyakah233@azduan.com</t>
  </si>
  <si>
    <t>BROWNIES</t>
  </si>
  <si>
    <t>SAMUN AL SAMSUDIN</t>
  </si>
  <si>
    <t>f.ua.d.has543@gmail.com</t>
  </si>
  <si>
    <t>SURIPTO</t>
  </si>
  <si>
    <t>suripto@yogirt.com</t>
  </si>
  <si>
    <t>Rujak Buah Pak Tirto</t>
  </si>
  <si>
    <t>ANNISAH UMAMIT</t>
  </si>
  <si>
    <t xml:space="preserve">KOTA AMBON </t>
  </si>
  <si>
    <t>ptserbananafood@gmail.com</t>
  </si>
  <si>
    <t xml:space="preserve">MALUKU </t>
  </si>
  <si>
    <t>Pisang Rol Crispy Serbanana</t>
  </si>
  <si>
    <t>RIYANTO ABD. HANIP</t>
  </si>
  <si>
    <t>riyanto60@mustikaagrosari.biz.id</t>
  </si>
  <si>
    <t>DAWET WIGA BAPAK ABD HANIP</t>
  </si>
  <si>
    <t>RIZKY PINARING GUSTI</t>
  </si>
  <si>
    <t>rizkypinaringgusti@milkgitter.com</t>
  </si>
  <si>
    <t>DUL ROKIM</t>
  </si>
  <si>
    <t>punamusta@mitsuevolution.shop</t>
  </si>
  <si>
    <t xml:space="preserve">es teh </t>
  </si>
  <si>
    <t>WASRI</t>
  </si>
  <si>
    <t>neyof75202@sfpixel.com</t>
  </si>
  <si>
    <t>KERIPIK PISANG WASRI</t>
  </si>
  <si>
    <t>SODIKUN</t>
  </si>
  <si>
    <t>sodikun@maxamba.com</t>
  </si>
  <si>
    <t>YUSNIWATI RIZKA SALASA</t>
  </si>
  <si>
    <t>Implementasi JPH di Indonesia bukan hanya soal regulasi, tetapi sangat tergantung pada efektivitas komunikasi, kesiapan sumber daya, sikap para pemangku kepentingan, dan efisiensi struktur birokrasi. Perlu kolaborasi lintas sektor, digitalisasi proses, dan pendekatan edukatif untuk mempercepat realisasi JPH secara menyeluruh</t>
  </si>
  <si>
    <t>yrizkasalasa@gmail.com</t>
  </si>
  <si>
    <t>MALUKU</t>
  </si>
  <si>
    <t>Gerai Soabali</t>
  </si>
  <si>
    <t>TRI MULYANINGSIH</t>
  </si>
  <si>
    <t>derepe3263@fashlend.com</t>
  </si>
  <si>
    <t>ES JERUK IBU TRI</t>
  </si>
  <si>
    <t>TURAHMAWATI</t>
  </si>
  <si>
    <t>cogasek701@otemdi.com</t>
  </si>
  <si>
    <t>Bolang baling bu Turahmawati</t>
  </si>
  <si>
    <t>WIDODO</t>
  </si>
  <si>
    <t>widodo@awgarstone.com</t>
  </si>
  <si>
    <t>TAHU ACI</t>
  </si>
  <si>
    <t>SUKERI</t>
  </si>
  <si>
    <t>sukeri@yogirt.com</t>
  </si>
  <si>
    <t>ES KELAPA BU SUKERI</t>
  </si>
  <si>
    <t>KAMELIYA</t>
  </si>
  <si>
    <t>KAB. BANGKALAN</t>
  </si>
  <si>
    <t>azwadrink2024@gmail.com</t>
  </si>
  <si>
    <t>AZWA DRINK</t>
  </si>
  <si>
    <t>DWI SULASTRI</t>
  </si>
  <si>
    <t>newoh67060@artgulin.com</t>
  </si>
  <si>
    <t>Pepes Tahu</t>
  </si>
  <si>
    <t>AMELIA SUKMA PERMATA</t>
  </si>
  <si>
    <t>felitiw660@fashlend.com</t>
  </si>
  <si>
    <t>SUSU KEDELAI MANTAP</t>
  </si>
  <si>
    <t>NUR KHORIDAH</t>
  </si>
  <si>
    <t>dereh35066@tosese.com</t>
  </si>
  <si>
    <t>Berkah Chelsea</t>
  </si>
  <si>
    <t>MUHAMMAD YUSUF</t>
  </si>
  <si>
    <t>vajebeb985@qtsaver.com</t>
  </si>
  <si>
    <t>NASI GORENG M YUSUF</t>
  </si>
  <si>
    <t>sipulb110@gmail.com</t>
  </si>
  <si>
    <t>WRG BAMBU</t>
  </si>
  <si>
    <t>TARMUJIONO</t>
  </si>
  <si>
    <t xml:space="preserve">Sumber Daya
o	Jumlah auditor halal dan Lembaga Pemeriksa Halal (LPH) masih terbatas dibanding jumlah pelaku usaha (±65 juta UMKM).
</t>
  </si>
  <si>
    <t>Sumber Daya (paling penting) •	Jumlah auditor halal, LPH (Lembaga Pemeriksa Halal), dan laboratorium uji sangat terbatas dibanding jumlah UMKM.</t>
  </si>
  <si>
    <t>tarmujiono@yogirt.com</t>
  </si>
  <si>
    <t>Bolu kukus</t>
  </si>
  <si>
    <t>AHMAD FAUZI</t>
  </si>
  <si>
    <t>ahmadpauzi403@gmail.com</t>
  </si>
  <si>
    <t>ONDE-ONDE BU JAKA</t>
  </si>
  <si>
    <t>Milky Choco Serbanana</t>
  </si>
  <si>
    <t>ROCHIMAH</t>
  </si>
  <si>
    <t xml:space="preserve">•  Sumber Daya (paling penting)
•	Jumlah auditor halal, LPH (Lembaga Pemeriksa Halal), dan laboratorium uji sangat terbatas dibanding jumlah UMKM.
</t>
  </si>
  <si>
    <t>dbmonstyaa70@2minstory.com</t>
  </si>
  <si>
    <t xml:space="preserve">Tempe </t>
  </si>
  <si>
    <t>TOFIK HIDAYANTO SIRIN</t>
  </si>
  <si>
    <t>Tantangan terbesar yang saya alami adalah komunikasi yang sering tidak jelas antara regulasi pemerintah dan pelaku usaha, sehingga implementasi JPH kadang membingungkan. Sumber daya, baik dari sisi finansial maupun SDM, masih terbatas untuk menyesuaikan standar yang ditetapkan. Dari sisi disposisi, tidak semua pihak memiliki komitmen yang sama, sehingga kadang koordinasi menjadi lambat. Struktur birokrasi yang kompleks juga membuat proses perizinan dan pengawasan memakan waktu lebih lama, sehingga menyulitkan usaha untuk menyesuaikan operasionalnya dengan aturan JPH secara konsisten. Semua faktor ini saling terkait dan membutuhkan pendekatan yang terintegrasi agar implementasi bisa lebih efektif.</t>
  </si>
  <si>
    <t xml:space="preserve">Ya, menurut saya komunikasi dan disposisi menjadi faktor paling krusial. Jika regulasi tidak disampaikan dengan jelas dan transparan, pelaku usaha sulit memahami dan menyesuaikan operasionalnya. Sementara disposisi atau komitmen dari semua pihak menentukan konsistensi pelaksanaan. Tanpa keduanya, meskipun sumber daya dan struktur birokrasi memadai, implementasi JPH bisa tetap tidak efektif karena koordinasi dan kesadaran pelaku usaha serta pengawas tidak selaras.
</t>
  </si>
  <si>
    <t>Ya, saya rasa edukasi dan kesadaran konsumen juga sangat mempengaruhi. Pelaku usaha akan lebih termotivasi untuk menerapkan JPH jika ada permintaan atau tekanan dari pasar, misalnya konsumen yang peduli pada keamanan dan kualitas produk halal. Selain itu, dukungan teknologi dan sistem pelacakan yang memadai juga membantu memastikan proses produksi sesuai standar, sehingga implementasi JPH lebih mudah dan efisien.</t>
  </si>
  <si>
    <t>komike9812@azduan.com</t>
  </si>
  <si>
    <t>Gula Merah Air Tetes Mangar Sarwi</t>
  </si>
  <si>
    <t>NUR ARSYAD</t>
  </si>
  <si>
    <t>Dalam implementasi Jaminan Produk Halal (JPH) di Indonesia, semua faktor seperti komunikasi, sumber daya, disposisi, dan struktur birokrasi memiliki peran penting dan saling berkaitan. Namun, sumber daya dan struktur birokrasi merupakan faktor yang paling krusial karena keduanya secara langsung menentukan keberlangsungan proses sertifikasi halal. Tanpa auditor, laboratorium, dan sistem birokrasi yang terkoordinasi, kebijakan tidak dapat berjalan efektif meskipun ada regulasi yang kuat. Sementara itu, komunikasi berperan sebagai jembatan antara kebijakan dan pelaku usaha, serta disposisi atau komitmen dari pemangku kepentingan menjadi faktor pendukung yang memperkuat implementasi kebijakan dalam jangka panjang. Oleh karena itu, penguatan sumber daya dan reformasi birokrasi perlu menjadi prioritas utama dalam mendorong keberhasilan program JPH secara menyeluruh.</t>
  </si>
  <si>
    <t>nurarsyad327@gmail.com</t>
  </si>
  <si>
    <t>BOLU BAKAR BUNDA MEGA</t>
  </si>
  <si>
    <t>Tantangan terbesar seringkali datang dari ketidakselarasan informasi antara pusat dan daerah, keterbatasan kapasitas SDM yang memahami regulasi, serta proses birokrasi yang lambat dan tumpang tindih.</t>
  </si>
  <si>
    <t xml:space="preserve">Ya, komunikasi dan kapasitas SDM menurut saya lebih krusial karena tanpa pemahaman yang sama dan tenaga yang kompeten, kebijakan sulit dijalankan secara efektif meski struktur birokrasi sudah ada.
</t>
  </si>
  <si>
    <t>Ya, kesadaran dan dukungan dari masyarakat serta pelaku usaha juga sangat mempengaruhi. Tanpa partisipasi aktif mereka, implementasi kebijakan sulit mencapai hasil yang maksimal.</t>
  </si>
  <si>
    <t>IBRAHIM</t>
  </si>
  <si>
    <t>KAB. GRESIK</t>
  </si>
  <si>
    <t>cincaupakbro@gmail.com</t>
  </si>
  <si>
    <t>Es cincau nutrijel pak bro</t>
  </si>
  <si>
    <t>SUSY ARISANTY</t>
  </si>
  <si>
    <t>susyarisanty@yogirt.com</t>
  </si>
  <si>
    <t>PRDUKSI RUMAHAN</t>
  </si>
  <si>
    <t>HEPTY THALIB</t>
  </si>
  <si>
    <t>Keempat aspek ini saling berkaitan dan sama-sama penting. Namun, sumber daya yang terbatas dan birokrasi yang belum efisien menjadi hambatan paling nyata di lapangan, sementara komunikasi dan disposisi turut memperkuat atau melemahkan pelaksanaannya. Perlu pendekatan terpadu dan kolaboratif untuk mengatasi tantangan-tantangan ini secara menyeluruh.</t>
  </si>
  <si>
    <t>thalibhepty124@gmail.com</t>
  </si>
  <si>
    <t>Es Buko Enut Cake N Puding</t>
  </si>
  <si>
    <t>SARTEM</t>
  </si>
  <si>
    <t>Tantangan terbesar yang saya alami dalam implementasi JPH di Indonesia adalah komunikasi yang belum selalu efektif antara regulator dan pelaku usaha, sehingga kadang informasi penting terlambat atau kurang jelas. Sumber daya juga menjadi kendala, baik dari segi dana maupun tenaga ahli yang memahami standar JPH secara mendalam. Disposisi atau sikap internal dalam organisasi terkadang lambat menyesuaikan dengan perubahan regulasi, sehingga implementasi menjadi kurang konsisten. Selain itu, struktur birokrasi yang kompleks membuat proses perizinan dan audit memakan waktu lebih lama, yang berdampak pada operasional usaha sehari-hari. Semua faktor ini saling terkait, sehingga diperlukan koordinasi yang lebih baik, pelatihan berkelanjutan, dan penyederhanaan prosedur untuk membuat implementasi JPH lebih lancar dan efektif.</t>
  </si>
  <si>
    <t xml:space="preserve">Ya, menurut saya komunikasi dan sumber daya adalah yang paling penting. Tanpa komunikasi yang jelas antara regulator dan pelaku usaha, informasi terkait standar JPH bisa salah paham atau terlambat diterapkan. Sumber daya juga krusial karena implementasi JPH membutuhkan tenaga ahli, fasilitas, dan biaya yang memadai. Disposisi dan birokrasi penting, tapi jika komunikasi lancar dan sumber daya tersedia, organisasi bisa lebih mudah menyesuaikan sikap internal dan menavigasi prosedur birokrasi yang kompleks. Jadi fokus pada komunikasi dan sumber daya akan sangat memperlancar keseluruhan proses.
</t>
  </si>
  <si>
    <t>Ya, saya rasa kesadaran dan komitmen pelaku usaha sendiri sangat mempengaruhi. Jika manajemen dan staf benar-benar memahami pentingnya JPH dan mau menerapkannya secara konsisten, implementasi akan lebih berhasil meski ada kendala birokrasi atau keterbatasan sumber daya. Selain itu, dukungan teknologi, seperti sistem digital untuk pencatatan dan pelaporan, juga membantu mempercepat proses dan meminimalkan kesalahan. Faktor eksternal seperti dukungan pasar atau konsumen yang menuntut produk halal juga mendorong pelaku usaha lebih serius dalam implementasi.</t>
  </si>
  <si>
    <t>lexini1175@ofionk.com</t>
  </si>
  <si>
    <t>Wr.Gorengan Bu Sartem</t>
  </si>
  <si>
    <t>NANDIROH</t>
  </si>
  <si>
    <t>pelaku usaha- yais</t>
  </si>
  <si>
    <t>nandiroh89@ceknesia.com</t>
  </si>
  <si>
    <t>REMPEYEK MINI IBU NANDIROH</t>
  </si>
  <si>
    <t>PURNIASIH</t>
  </si>
  <si>
    <t>Tantangannya paling terasa dari kebiasaan lama dan mindset orang-orang yang masih enggan berubah. Kadang info sudah jelas tapi tetap susah nyampe ke semua pihak, dan sumber daya sering nggak merata, bikin implementasinya nggak konsisten. Struktur birokrasi yang panjang juga bikin proses jadi lambat, apalagi kalau harus koordinasi antarinstansi.</t>
  </si>
  <si>
    <t xml:space="preserve">Iya, menurut saya mindset dan komitmen orang-orang di lapangan lebih penting. Kalau sumber daya lengkap tapi orangnya nggak serius atau nggak ngerti tujuannya, implementasi tetap jalan di tempat. Sebaliknya, orang yang mau belajar dan adaptif bisa memaksimalkan apa pun yang ada.
</t>
  </si>
  <si>
    <t>Ya, budaya lokal dan kebiasaan masyarakat juga besar pengaruhnya. Kalau programnya nggak sesuai dengan cara hidup atau tradisi setempat, susah diterima meski komunikasinya jelas dan sumber daya lengkap.</t>
  </si>
  <si>
    <t>purniasih@yogirt.com</t>
  </si>
  <si>
    <t>ES BUAH</t>
  </si>
  <si>
    <t>AHMAD SYAIFUL</t>
  </si>
  <si>
    <t>ahmadsyaiful@moongit.com</t>
  </si>
  <si>
    <t>Kripik singkong Mas Iful</t>
  </si>
  <si>
    <t>SRI WILUJENG</t>
  </si>
  <si>
    <t>wlujeng6@gmail.com</t>
  </si>
  <si>
    <t>ES DEGAN CAK RIPIN</t>
  </si>
  <si>
    <t>RAHAYUNINGTYAS</t>
  </si>
  <si>
    <t>rahayu.ningtyas150362@gmail.com</t>
  </si>
  <si>
    <t>BAKERY</t>
  </si>
  <si>
    <t>SURYIB</t>
  </si>
  <si>
    <t>suryib@moongit.com</t>
  </si>
  <si>
    <t>Cilok Goreng Bang Suryib</t>
  </si>
  <si>
    <t>WAHYUTI</t>
  </si>
  <si>
    <t>Tantangan terbesar yang saya hadapi dalam implementasi JPH di Indonesia sebenarnya cukup kompleks. Dari sisi komunikasi, seringkali informasi terkait regulasi atau prosedur belum tersampaikan dengan jelas, sehingga perlu waktu dan usaha ekstra untuk memastikan semua pihak memahami persyaratan dan mekanisme yang berlaku. Dalam hal sumber daya, keterbatasan tenaga ahli atau fasilitas yang mendukung sertifikasi halal kadang menjadi kendala, apalagi untuk usaha kecil yang belum memiliki akses atau jaringan yang memadai. Disposisi juga menjadi tantangan karena tidak semua pihak memiliki komitmen yang sama terhadap implementasi JPH; ada yang masih melihatnya sebagai beban administratif, bukan sebagai nilai tambah bagi usaha. Struktur birokrasi terkadang terasa lambat dan berlapis, sehingga proses sertifikasi atau verifikasi memakan waktu lebih lama dari yang diharapkan. Semua faktor ini saling terkait dan memerlukan koordinasi yang baik, kesabaran, serta strategi yang tepat agar implementasi JPH bisa berjalan lancar dan berkelanjutan.</t>
  </si>
  <si>
    <t xml:space="preserve">Ya, menurut saya komunikasi dan disposisi menjadi faktor yang paling penting. Komunikasi yang jelas memastikan semua pihak memahami persyaratan, prosedur, dan manfaat JPH, sehingga kesalahan atau kebingungan bisa diminimalkan. Disposisi atau komitmen pelaku usaha juga krusial, karena tanpa kesadaran dan niat yang serius untuk menerapkan JPH, proses sertifikasi bisa berjalan formalitas saja tanpa dampak nyata. Sumber daya dan struktur birokrasi memang penting, tapi jika komunikasi baik dan disposisi kuat, kendala lain bisa diatasi atau diminimalkan melalui koordinasi dan strategi yang tepat.
</t>
  </si>
  <si>
    <t>Ya, saya rasa budaya dan edukasi masyarakat juga memengaruhi keberhasilan JPH. Kesadaran konsumen terhadap produk halal mendorong pelaku usaha lebih serius dalam penerapan JPH. Selain itu, teknologi dan sistem digitalisasi menjadi faktor penting, karena mempermudah proses sertifikasi, pelacakan, dan transparansi produk halal, sehingga mempercepat implementasi secara keseluruhan.</t>
  </si>
  <si>
    <t>wahyuti@awgarstone.com</t>
  </si>
  <si>
    <t>PENTOL WAHYUTI</t>
  </si>
  <si>
    <t>SULISTIYANINGSIH</t>
  </si>
  <si>
    <t>sulistiyaningsih@milkgitter.com</t>
  </si>
  <si>
    <t>Coklat Kacang Ningsih</t>
  </si>
  <si>
    <t>SRI UTAMI</t>
  </si>
  <si>
    <t>adiwarsito807@gmail.com</t>
  </si>
  <si>
    <t>KRIPIS</t>
  </si>
  <si>
    <t>SUMIYEM</t>
  </si>
  <si>
    <t>Tantangan terbesar adalah perbedaan pemahaman dan prioritas antara pelaku usaha dan regulasi, keterbatasan pelatihan atau informasi praktis tentang JPH, serta proses birokrasi yang masih panjang dan kurang fleksibel sehingga menyulitkan implementasi di lapangan.</t>
  </si>
  <si>
    <t xml:space="preserve">Ya, faktor sumber daya dan pemahaman regulasi terasa lebih penting karena tanpa kapasitas yang cukup dan pengetahuan yang jelas tentang JPH, pelaku usaha kesulitan menyesuaikan operasionalnya, sementara komunikasi dan birokrasi bisa lebih mudah diatasi jika dasar ini sudah kuat.
</t>
  </si>
  <si>
    <t>Ya, dukungan pasar dan kesadaran konsumen juga sangat mempengaruhi. Jika konsumen dan mitra bisnis menuntut produk bersertifikat halal, pelaku usaha akan lebih termotivasi untuk memastikan implementasi JPH berjalan dengan baik.</t>
  </si>
  <si>
    <t>sumiyem@awgarstone.com</t>
  </si>
  <si>
    <t>bubur sayur sumiyem</t>
  </si>
  <si>
    <t>AHMAD ANSORI</t>
  </si>
  <si>
    <t>estebusegeretanapache@gmail.com</t>
  </si>
  <si>
    <t>ES TEBU SEGER ETAN APACHE</t>
  </si>
  <si>
    <t>SITI ZULAIKAH</t>
  </si>
  <si>
    <t>haerulstar@gmail.com</t>
  </si>
  <si>
    <t>Susu Kedelai Manis (SKM)</t>
  </si>
  <si>
    <t>MEVI NOVITASARI</t>
  </si>
  <si>
    <t>mevisekaran@gmail.com</t>
  </si>
  <si>
    <t>KEBAB QUEEN</t>
  </si>
  <si>
    <t>ENI KORIAH</t>
  </si>
  <si>
    <t>Tantangan terbesar yang kami hadapi dalam implementasi JPH di Indonesia cukup kompleks. Dari sisi komunikasi, seringkali informasi terkait regulasi atau prosedur belum tersampaikan secara jelas kepada pelaku usaha, sehingga interpretasi dan penerapannya bisa berbeda-beda. Untuk sumber daya, baik SDM maupun infrastruktur terkadang belum memadai, misalnya tenaga ahli yang memahami standar JPH masih terbatas, sehingga pelatihan dan pendampingan menjadi penting. Mengenai disposisi, perubahan sikap atau budaya kerja di internal perusahaan maupun pihak terkait bisa memengaruhi konsistensi penerapan JPH, karena tidak semua pihak memiliki kesadaran yang sama terhadap pentingnya kepatuhan halal. Terakhir, struktur birokrasi yang panjang dan berlapis juga menjadi kendala, proses perizinan atau verifikasi seringkali memakan waktu lama dan memerlukan koordinasi antara berbagai lembaga, yang bisa menunda implementasi di lapangan. Semua faktor ini saling terkait dan menuntut pendekatan yang terintegrasi agar implementasi JPH bisa berjalan efektif.</t>
  </si>
  <si>
    <t xml:space="preserve">Ya, menurut saya faktor komunikasi dan sumber daya lebih krusial. Komunikasi yang jelas memastikan semua pihak memahami regulasi dan prosedur JPH dengan benar, sehingga kesalahan penerapan bisa diminimalkan. Sumber daya, terutama SDM yang kompeten dan infrastruktur pendukung, menentukan seberapa efektif implementasi bisa dilakukan. Tanpa tenaga ahli yang memahami standar halal atau fasilitas yang memadai, regulasi yang baik pun sulit dijalankan. Faktor disposisi dan birokrasi penting, tapi keduanya bisa lebih mudah diatasi jika komunikasi dan sumber daya sudah kuat.
</t>
  </si>
  <si>
    <t>Ya, saya pikir kesadaran konsumen dan dukungan pasar juga sangat mempengaruhi. Jika konsumen menuntut produk halal dan peduli sertifikasi, pelaku usaha akan lebih termotivasi untuk menerapkan JPH dengan benar. Selain itu, teknologi dan sistem digitalisasi juga penting, misalnya untuk mempermudah pencatatan, pelacakan, dan verifikasi produk halal, yang tidak selalu tercakup dalam kriteria komunikasi, sumber daya, disposisi, atau birokrasi. Faktor-faktor ini bisa mempercepat dan memperkuat implementasi JPH secara praktis di lapangan.</t>
  </si>
  <si>
    <t>eni123#@yogirt.com</t>
  </si>
  <si>
    <t>MOCH. BISRI</t>
  </si>
  <si>
    <t>mochamadbisri1808@gmail.com</t>
  </si>
  <si>
    <t>Nasi Goreng Joger</t>
  </si>
  <si>
    <t>DEWI KIROMAH</t>
  </si>
  <si>
    <t>diningrumaisyah@gmail.com</t>
  </si>
  <si>
    <t>KUE NASTAR AIS CAKE</t>
  </si>
  <si>
    <t>RENI WIJAYANTI</t>
  </si>
  <si>
    <t>Apakah faktor tertentu lebih penting dalam implementasi JPH?
Ya, yang paling penting adalah komunikasi dan struktur birokrasi.
Komunikasi itu fondasi. Kalau masyarakat dan pelaku usaha nggak ngerti aturan halal, ya pasti nggak jalan.
Struktur birokrasi harus jelas. Kalau peran antar lembaga tumpang tindih (BPJPH, MUI, KAN), prosesnya jadi lambat dan bikin bingung.
Kesimpulan singkat:
Tanpa komunikasi yang jelas dan birokrasi yang rapi, sertifikasi halal akan terhambat, walaupun sumber daya dan niat pelaksana sudah ada.</t>
  </si>
  <si>
    <t>reniahmad2726@gmail.com</t>
  </si>
  <si>
    <t>PABRIK DIMSUM</t>
  </si>
  <si>
    <t>HOIRUL UMAM</t>
  </si>
  <si>
    <t>xilepi5247@oistax.com</t>
  </si>
  <si>
    <t>MOLEN PISANG ROGONOTO</t>
  </si>
  <si>
    <t>FITRIATIN</t>
  </si>
  <si>
    <t>KAB. NGANJUK</t>
  </si>
  <si>
    <t>wimela4515@vidney.com</t>
  </si>
  <si>
    <t>Nauva cake</t>
  </si>
  <si>
    <t>ADITIYA GUSTI PRADANA</t>
  </si>
  <si>
    <t>adityagustipradana3@gmail.com</t>
  </si>
  <si>
    <t>PISANG AROMA</t>
  </si>
  <si>
    <t>ABD RAHMAN</t>
  </si>
  <si>
    <t>harummanisku@yopmail.com</t>
  </si>
  <si>
    <t>WARUNG HAYA</t>
  </si>
  <si>
    <t>ANDRI GUNARDI</t>
  </si>
  <si>
    <t>caesrirahayu135@gmail.com</t>
  </si>
  <si>
    <t>FERDIES</t>
  </si>
  <si>
    <t>HARIYANI KURNIA SARI</t>
  </si>
  <si>
    <t>hariyanikurniasari2013@gmail.com</t>
  </si>
  <si>
    <t>Dapur_makmox</t>
  </si>
  <si>
    <t>Kesenjangan komunikasi antara regulator JPH dan komunitas bisnis, terutama di sektor informal, menjadi tantangan utama yang memerlukan strategi sosialisasi yang lebih terarah dan dapat menjangkau berbagai latar belakang sosial-ekonomi.</t>
  </si>
  <si>
    <t>SOFIAH ISMI LATIFAH</t>
  </si>
  <si>
    <t>sofiahismi@gmail.com</t>
  </si>
  <si>
    <t>Kahiyang Kitchen</t>
  </si>
  <si>
    <t>ATINI AFRYANI</t>
  </si>
  <si>
    <t>Birokrasi yang tidak responsif terhadap feedback dan keluhan dari pelaku usaha.</t>
  </si>
  <si>
    <t>antonpopmie10@gmail.com</t>
  </si>
  <si>
    <t>Warung Mang Anton</t>
  </si>
  <si>
    <t>Mujayanah</t>
  </si>
  <si>
    <t>imrofiahindah@gmail.com</t>
  </si>
  <si>
    <t>BU YANAH</t>
  </si>
  <si>
    <t>MAT ROBI</t>
  </si>
  <si>
    <t>esputermatrobi@gmail.com</t>
  </si>
  <si>
    <t>ES PUTER TUNG-TUNG</t>
  </si>
  <si>
    <t>TULIKAH</t>
  </si>
  <si>
    <t>Kota batu</t>
  </si>
  <si>
    <t>tulikmandiri@gmail.com</t>
  </si>
  <si>
    <t>Tulik mandiri</t>
  </si>
  <si>
    <t>YULI GUSMIATI</t>
  </si>
  <si>
    <t>Disposisi yang resisten terhadap perubahan aturan, terutama dari pelaku usaha yang sudah lama berbisnis.</t>
  </si>
  <si>
    <t>s03337333@gmail.com</t>
  </si>
  <si>
    <t>Pempek yuli</t>
  </si>
  <si>
    <t>NING SALTIYAS</t>
  </si>
  <si>
    <t>Sidoarjo</t>
  </si>
  <si>
    <t>erwinervanda12345@gmail.com</t>
  </si>
  <si>
    <t>Makanan bu ning</t>
  </si>
  <si>
    <t>BETI HERLINA</t>
  </si>
  <si>
    <t>Pelaku USaha</t>
  </si>
  <si>
    <t>Sumber daya terbatas untuk program pelatihan bagi para pendamping PPH di daerah.</t>
  </si>
  <si>
    <t>cici_berlin@yahoo.co.id</t>
  </si>
  <si>
    <t>Mama Noah</t>
  </si>
  <si>
    <t>LILIS MUTOHAROH</t>
  </si>
  <si>
    <t>wosigi6099@sandyteo.com</t>
  </si>
  <si>
    <t>MOLEN</t>
  </si>
  <si>
    <t xml:space="preserve">Sidoarjo </t>
  </si>
  <si>
    <t>Tantangan terbesar dalam implementasi JPH di Indonesia terlihat pada komunikasi, sumber daya, disposisi, dan struktur birokrasi. Dari sisi komunikasi, sosialisasi belum merata sehingga banyak pelaku usaha kecil kurang memahami prosedur sertifikasi halal. Keterbatasan sumber daya, seperti tenaga pemeriksa dan laboratorium, juga membuat proses berjalan lambat. Disposisi pelaksana di lapangan tidak selalu konsisten, ada yang serius namun ada pula yang kurang berkomitmen sehingga terkesan rumit. Sementara itu, struktur birokrasi masih berbelit dan koordinasi antar lembaga belum optimal, sehingga alur sertifikasi menjadi panjang dan lamban</t>
  </si>
  <si>
    <t>Kahiyang Kitchen Bakery</t>
  </si>
  <si>
    <t>ERZA PRISTIAWAN</t>
  </si>
  <si>
    <t>Komunikasi yang tidak proaktif dari regulator, menunggu pelaku usaha datang, bukan menjemput bola.</t>
  </si>
  <si>
    <t>erza09151@gmail.com</t>
  </si>
  <si>
    <t>ELI KHISWATI</t>
  </si>
  <si>
    <t>bilqisriskinaabeliaabelia@gmail.com</t>
  </si>
  <si>
    <t>REMPEYEK</t>
  </si>
  <si>
    <t>DIMAS PRASTIYO</t>
  </si>
  <si>
    <t>Cilacap</t>
  </si>
  <si>
    <t>famoyoc731@tbeebk.com</t>
  </si>
  <si>
    <t xml:space="preserve">Gula cetak </t>
  </si>
  <si>
    <t>PRAPTININGSIH</t>
  </si>
  <si>
    <t>peyekpranggang@gmail.com</t>
  </si>
  <si>
    <t>HANIMAWATI</t>
  </si>
  <si>
    <t>Struktur birokrasi yang tidak mendukung kolaborasi antara pemerintah dan sektor swasta dalam memperluas cakupan JPH.</t>
  </si>
  <si>
    <t>hanimawati1988@gmail.com</t>
  </si>
  <si>
    <t>Cabe Giling Bu Hani</t>
  </si>
  <si>
    <t>KOSOD</t>
  </si>
  <si>
    <t>jakap84543@xanalx.com</t>
  </si>
  <si>
    <t xml:space="preserve">Gula merah </t>
  </si>
  <si>
    <t>MURNINGSIH</t>
  </si>
  <si>
    <t>Tantangan terbesar masih terkait koordinasi antarinstansi yang kadang lambat, keterbatasan tenaga ahli yang paham JPH, biaya operasional yang tinggi, dan aturan birokrasi yang kompleks sehingga implementasi sering terhambat.</t>
  </si>
  <si>
    <t xml:space="preserve">Ya, menurut saya komunikasi jadi faktor paling penting karena tanpa kesepahaman antar pihak, sumber daya dan struktur birokrasi yang ada sulit dimanfaatkan secara maksimal.
</t>
  </si>
  <si>
    <t>Ada, misalnya faktor kesadaran dan penerimaan masyarakat, karena sebaik apapun sistem yang dibuat tetap akan sulit berjalan jika pelaku usaha dan konsumen belum memahami pentingnya JPH.</t>
  </si>
  <si>
    <t>murningsih@yogirt.com</t>
  </si>
  <si>
    <t>pangsit goreng bu murningsih</t>
  </si>
  <si>
    <t>YENI YUANITA</t>
  </si>
  <si>
    <t>yenisekaran@gmail.com</t>
  </si>
  <si>
    <t>WARUNG NAVYTA</t>
  </si>
  <si>
    <t>ETI FATIMAH</t>
  </si>
  <si>
    <t>Tantangan terbesar yang kami hadapi adalah komunikasi yang kadang tidak jelas antara pelaku usaha dan pihak berwenang, sehingga implementasi JPH bisa terasa membingungkan. Sumber daya, baik modal maupun SDM yang paham regulasi, masih terbatas, sehingga prosesnya menjadi lambat. Disposisi atau sikap dari beberapa pihak birokrasi terkadang kaku dan kurang fleksibel, membuat penyesuaian usaha sulit dilakukan. Selain itu, struktur birokrasi yang berlapis-lapis dan prosedur yang panjang juga menjadi hambatan signifikan, karena setiap keputusan harus melewati banyak tingkatan, sehingga respon terhadap kebutuhan usaha tidak selalu cepat dan tepat. Semua faktor ini saling terkait dan mempengaruhi kelancaran implementasi JPH di lapangan.</t>
  </si>
  <si>
    <t xml:space="preserve">Menurut saya faktor komunikasi menjadi yang paling penting, karena tanpa komunikasi yang jelas antara pelaku usaha, lembaga sertifikasi, dan pemerintah, semua proses bisa terhambat. Banyak kesalahpahaman muncul hanya karena informasi tidak tersampaikan dengan baik. Setelah itu, sumber daya juga sangat krusial, sebab meskipun aturan jelas, tanpa dukungan tenaga ahli dan biaya yang cukup, implementasi tidak bisa berjalan. Birokrasi memang berat, tapi kalau komunikasi lancar dan sumber daya tersedia, hambatan birokrasi masih bisa diatasi lebih mudah. Jadi yang utama sebenarnya bagaimana membangun pemahaman yang sama dan menyediakan dukungan praktis agar pelaksanaan JPH tidak hanya sekadar kewajiban administratif, tapi juga bisa dijalankan secara efisien.
</t>
  </si>
  <si>
    <t>Ya, ada, salah satunya adalah tingkat kesadaran dan penerimaan dari konsumen maupun pelaku usaha sendiri. Jika kesadaran masyarakat tentang pentingnya JPH masih rendah, dorongan untuk menerapkannya juga lemah. Selain itu, faktor teknologi juga berpengaruh, karena tanpa sistem digital yang sederhana dan terintegrasi, proses pendaftaran dan pemantauan bisa semakin rumit. Dukungan dari asosiasi atau komunitas usaha juga penting, sebab melalui jaringan ini pelaku usaha bisa saling berbagi pengalaman dan solusi. Jadi meskipun komunikasi, sumber daya, disposisi, dan birokrasi adalah faktor utama, keberhasilan implementasi JPH juga sangat ditentukan oleh budaya kesadaran, pemanfaatan teknologi, serta kekuatan kolaborasi antar pelaku usaha.</t>
  </si>
  <si>
    <t>etifatimah@yogirt.com</t>
  </si>
  <si>
    <t>kue donat bu eti</t>
  </si>
  <si>
    <t>ALFIANA KHOIRUN NISA</t>
  </si>
  <si>
    <t>Sumber daya yang minim untuk melakukan sosialisasi di media massa nasional dan lokal secara masif.</t>
  </si>
  <si>
    <t>alfiananisa080@gmail.com</t>
  </si>
  <si>
    <t>PUTU AYU</t>
  </si>
  <si>
    <t>UDIARSO</t>
  </si>
  <si>
    <t>Tantangan terbesar biasanya terkait koordinasi antarinstansi yang lambat, keterbatasan sumber daya manusia yang paham JPH, resistensi internal terhadap perubahan, dan birokrasi yang kompleks sehingga implementasi sering tertunda.</t>
  </si>
  <si>
    <t xml:space="preserve">
Ya, komunikasi menurut saya paling penting karena tanpa pemahaman yang sama antara pelaku usaha, lembaga sertifikasi, dan pemerintah, sumber daya maupun struktur birokrasi yang ada jadi tidak berjalan efektif.
</t>
  </si>
  <si>
    <t>Ada, yaitu tingkat kesadaran dan pemahaman konsumen. Jika permintaan pasar terhadap produk bersertifikat halal kuat, maka pelaku usaha lebih terdorong untuk serius mengimplementasikan JPH.</t>
  </si>
  <si>
    <t>cegene8511@uvasx.com</t>
  </si>
  <si>
    <t>GULA MERAH CETAK</t>
  </si>
  <si>
    <t>AMINATUL ATIK ZUHRIYAH</t>
  </si>
  <si>
    <t>aminhad210@gmail.com</t>
  </si>
  <si>
    <t>Sambal Pecel Khas Madiun</t>
  </si>
  <si>
    <t>LAILI FARIDA</t>
  </si>
  <si>
    <t>kocip90429@sfpixel.com</t>
  </si>
  <si>
    <t xml:space="preserve">Es coklat </t>
  </si>
  <si>
    <t>DEDE ROSID</t>
  </si>
  <si>
    <t>Tantangan utamanya masih di komunikasi yang belum merata, keterbatasan sumber daya manusia yang memahami JPH, disposisi yang kadang lambat merespons, dan birokrasi yang kompleks sehingga implementasi jadi terhambat.</t>
  </si>
  <si>
    <t xml:space="preserve">Ya, menurut saya komunikasi paling penting karena tanpa pemahaman yang jelas di semua pihak, sumber daya dan struktur birokrasi yang ada pun tidak akan berjalan efektif.
</t>
  </si>
  <si>
    <t>Menurut saya ada, salah satunya faktor kesadaran dan penerimaan masyarakat. Banyak pelaku usaha maupun konsumen yang masih melihat JPH hanya sebagai kewajiban administratif, bukan sebagai bagian dari kepercayaan dan jaminan kualitas produk. Hal ini membuat penerapannya berjalan lambat karena permintaan dari pasar belum cukup kuat. Selain itu, dukungan teknologi juga berpengaruh, misalnya sistem informasi yang belum sepenuhnya terintegrasi sehingga proses verifikasi dan sertifikasi bisa memakan waktu lebih lama. Faktor pendanaan pun sering menjadi kendala, terutama bagi usaha kecil yang merasa biaya untuk memenuhi standar JPH cukup memberatkan. Jadi, meskipun komunikasi, sumber daya, disposisi, dan struktur birokrasi penting, faktor eksternal seperti kesadaran, teknologi, dan dukungan finansial juga sangat menentukan keberhasilan implementasinya.</t>
  </si>
  <si>
    <t>yepego1036@xanalx.com</t>
  </si>
  <si>
    <t>Gula kelapa Rosid</t>
  </si>
  <si>
    <t>LISTIANY STEPHANI</t>
  </si>
  <si>
    <t>Tantangan birokrasi dalam menyederhanakan alur pengaduan dan resolusi masalah.</t>
  </si>
  <si>
    <t>sangarawakmucuk@gmail.com</t>
  </si>
  <si>
    <t>KERIPIK SINGKONG</t>
  </si>
  <si>
    <t>YATINO</t>
  </si>
  <si>
    <t>Tantangan terbesar dalam implementasi JPH di Indonesia sering muncul dari komunikasi yang kurang efektif antara pelaku usaha, pemerintah, dan konsumen. Informasi terkait regulasi atau standar halal kadang tidak sampai dengan jelas, sehingga menimbulkan kebingungan dalam penerapan. Dari sisi sumber daya, banyak usaha kecil dan menengah yang terbatas modal, tenaga ahli, dan fasilitas untuk memenuhi standar halal secara konsisten. Disposisi atau sikap internal perusahaan juga menjadi faktor; tidak semua manajemen memiliki kesadaran atau komitmen penuh terhadap sertifikasi halal, sehingga implementasinya setengah hati. Struktur birokrasi yang kompleks dan proses sertifikasi yang panjang terkadang membuat pelaku usaha enggan atau kesulitan untuk mendaftarkan produknya, apalagi jika harus menghadapi persyaratan administratif yang rumit dan biaya yang tidak sedikit. Semua faktor ini saling terkait dan membutuhkan koordinasi serta dukungan yang lebih baik agar implementasi JPH bisa berjalan lancar dan merata di seluruh lapisan industri.</t>
  </si>
  <si>
    <t xml:space="preserve">Menurut saya, faktor komunikasi dan struktur birokrasi memiliki pengaruh yang paling besar. Komunikasi yang jelas sangat penting karena banyak pelaku usaha, terutama yang kecil dan menengah, belum sepenuhnya memahami prosedur, persyaratan, maupun manfaat dari sertifikasi halal. Ketika informasi tidak sampai dengan baik, mereka cenderung ragu atau bahkan menunda proses sertifikasi. Sementara itu, struktur birokrasi yang panjang dan rumit sering menjadi hambatan praktis. Walaupun sumber daya dan disposisi juga penting, keduanya bisa berkembang lebih cepat jika jalur komunikasi terbuka dan birokrasi lebih sederhana. Dengan kata lain, jika regulasi disampaikan secara transparan dan proses administrasi dibuat lebih efisien, pelaku usaha akan lebih termotivasi untuk berkomitmen dan mencari solusi atas keterbatasan sumber daya mereka.
</t>
  </si>
  <si>
    <t>Ya, menurut saya faktor budaya dan tingkat kesadaran konsumen juga sangat berpengaruh. Di banyak daerah, masih ada perbedaan pemahaman tentang pentingnya sertifikasi halal, sehingga dorongan dari konsumen tidak selalu kuat. Jika masyarakat semakin sadar dan menuntut produk halal yang tersertifikasi resmi, pelaku usaha akan lebih terdorong untuk segera menyesuaikan diri. Selain itu, dukungan teknologi juga mulai menjadi faktor penting, misalnya dalam hal digitalisasi proses pendaftaran, pelacakan dokumen, dan transparansi informasi. Ketika sistem lebih modern dan mudah diakses, hambatan teknis maupun administratif bisa jauh berkurang.</t>
  </si>
  <si>
    <t>yewex70679@xanalx.com</t>
  </si>
  <si>
    <t>Gula kelapa</t>
  </si>
  <si>
    <t>NURIATIN</t>
  </si>
  <si>
    <t>atinnuri14@gmail.com</t>
  </si>
  <si>
    <t xml:space="preserve">KUE NASTAR </t>
  </si>
  <si>
    <t>MARSINEM</t>
  </si>
  <si>
    <t>Kebumen</t>
  </si>
  <si>
    <t>f.u.ad.has543@gmail.com</t>
  </si>
  <si>
    <t>Gula merah</t>
  </si>
  <si>
    <t>SUWIYAH</t>
  </si>
  <si>
    <t xml:space="preserve">Ya, menurut saya komunikasi lebih penting karena kalau informasi jelas dan mudah dipahami, pelaku usaha bisa menyiapkan sumber daya dengan lebih tepat dan proses birokrasi pun bisa dijalani dengan lancar.
</t>
  </si>
  <si>
    <t>Ada, menurut saya kesadaran konsumen juga berpengaruh karena kalau permintaan terhadap produk bersertifikat halal tinggi, pelaku usaha jadi lebih terdorong untuk segera mengurus JPH.</t>
  </si>
  <si>
    <t>suwiyah680@gmail.com</t>
  </si>
  <si>
    <t>SUWIYAH GULA MERAH KELAPA</t>
  </si>
  <si>
    <t>TARMIDZI</t>
  </si>
  <si>
    <t>Struktur birokrasi yang tidak memfasilitasi percepatan proses self-declare yang sebenarnya bisa lebih cepat.</t>
  </si>
  <si>
    <t>anjayhai2232@gmail.com</t>
  </si>
  <si>
    <t>TAHU KEDELAI TARMIDZI</t>
  </si>
  <si>
    <t>KASIYATUN</t>
  </si>
  <si>
    <t>Tantangan terbesar yang saya hadapi dalam implementasi JPH adalah soal komunikasi yang kadang masih membingungkan karena informasi dari pihak terkait tidak selalu jelas atau berbeda-beda sehingga menimbulkan ketidakpastian. Dari sisi sumber daya, kendalanya ada pada biaya dan waktu, karena untuk memenuhi semua persyaratan butuh tenaga ekstra dan tidak semua UMKM punya kemampuan finansial maupun tim khusus untuk mengurusnya. Disposisi juga menjadi hambatan, karena kadang ada rasa ragu dan khawatir apakah usaha kecil seperti kami benar-benar diprioritaskan, sehingga menurunkan semangat untuk segera mengurus. Sementara itu, dari sisi struktur birokrasi, prosesnya cukup panjang dan berlapis, sehingga membuat pengurusan sertifikasi terasa lambat dan melelahkan, apalagi kalau ada dokumen yang harus bolak-balik dilengkapi. Semua itu membuat pelaku UMKM seperti saya harus lebih sabar dan berusaha keras agar bisa tetap memenuhi aturan sambil tetap menjaga jalannya usaha sehari-hari.</t>
  </si>
  <si>
    <t xml:space="preserve">Menurut saya faktor komunikasi dan biaya sumber daya lebih penting dibandingkan yang lain. Komunikasi yang jelas sangat dibutuhkan karena kalau informasinya simpang siur, kami sebagai pelaku UMKM bisa salah langkah atau harus mengulang proses yang memakan waktu dan tenaga. Sementara soal biaya, ini jadi penentu utama karena kalau biayanya terlalu besar, banyak UMKM yang akhirnya menunda atau bahkan tidak mampu mengurus JPH sama sekali. Struktur birokrasi dan disposisi juga penting, tapi menurut saya itu bisa dihadapi kalau dari awal informasi jelas dan biayanya masih terjangkau. Jadi dua hal itu yang paling menentukan kelancaran implementasi JPH.
</t>
  </si>
  <si>
    <t>Menurut saya ada, yaitu soal pendampingan dan edukasi langsung ke pelaku UMKM. Banyak dari kami yang sebenarnya mau patuh, tapi bingung harus mulai dari mana. Kalau ada sosialisasi yang praktis dan pendampingan teknis yang sederhana, prosesnya akan jauh lebih mudah. Selain itu, faktor kepercayaan konsumen juga berpengaruh, karena semakin banyak konsumen yang peduli dengan JPH, semakin besar motivasi bagi kami untuk segera mengurus sertifikasi tersebut.</t>
  </si>
  <si>
    <t>kasiyatunbiyamin@gmail.com</t>
  </si>
  <si>
    <t>Nastar Mbak Tun</t>
  </si>
  <si>
    <t>MUKAYAT AL ROSYID</t>
  </si>
  <si>
    <t>PElaku Usaha</t>
  </si>
  <si>
    <t>Kurangnya komitmen dari pelaku usaha untuk memperbarui sertifikasi yang sudah habis masa berlakunya.</t>
  </si>
  <si>
    <t>mukayatalrosyid68@gmail.com</t>
  </si>
  <si>
    <t>Es Kelapa Muda 89</t>
  </si>
  <si>
    <t>SHINTA MELENIA WATI</t>
  </si>
  <si>
    <t>Tantangan terbesar menurut saya ada di komunikasi yang kadang tidak jelas, sumber daya yang terbatas baik tenaga maupun biaya, disposisi yang masih berbelit, dan birokrasi yang terasa panjang sehingga proses jadi lebih lama dari yang diharapkan.</t>
  </si>
  <si>
    <t xml:space="preserve">Iya, saya merasa komunikasi lebih penting karena kalau informasinya jelas sejak awal, pelaku usaha jadi tahu apa yang harus dipenuhi dan proses bisa lebih cepat, meskipun sumber daya terbatas atau birokrasi panjang tetap bisa dijalani dengan lebih terarah.
</t>
  </si>
  <si>
    <t>Menurut saya ada, salah satunya soal pemahaman dan kesadaran pelaku usaha sendiri, karena kalau tidak benar-benar mengerti pentingnya JPH, prosesnya jadi setengah-setengah dan sulit berjalan lancar.</t>
  </si>
  <si>
    <t>shintameleniawati@milkgitter.com</t>
  </si>
  <si>
    <t>Keripik Pisang (Kersang)</t>
  </si>
  <si>
    <t>ERMA WIJAYANTI</t>
  </si>
  <si>
    <t>ramof60899@wappol.com</t>
  </si>
  <si>
    <t>ES CINCAU ROKETO</t>
  </si>
  <si>
    <t>RAHMAWATI KIAT</t>
  </si>
  <si>
    <t>Implementasi Jaminan Produk Halal (JPH) di Indonesia menghadapi tantangan dalam hal komunikasi, sumber daya, disposisi, dan struktur birokrasi. Sosialisasi yang belum merata menyebabkan banyak pelaku usaha, terutama UMKM, kurang memahami prosedur dan pentingnya sertifikasi halal. Dari segi sumber daya, terbatasnya jumlah auditor dan lembaga pemeriksa halal membuat proses sertifikasi lambat, terutama di daerah. Komitmen pelaku usaha juga masih rendah, banyak yang belum patuh karena menganggap prosesnya rumit atau tidak mendesak. Selain itu, birokrasi antar lembaga seperti BPJPH, MUI, dan LPH belum terkoordinasi dengan baik, ditambah sistem digital yang belum optimal. Oleh karena itu, diperlukan perbaikan menyeluruh agar JPH dapat berjalan efektif dan merata.</t>
  </si>
  <si>
    <t xml:space="preserve">Ya, faktor komunikasi dan sumber daya manusia (SDM) ebih penting dalam implementasi JPH di Indonesia. Tanpa komunikasi yang efektif, pelaku usaha sulit memahami kewajiban dan prosedur sertifikasi halal. Sementara itu, keterbatasan SDM seperti auditor dan LPH menyebabkan proses sertifikasi lambat. Jika kedua faktor ini diperkuat, maka komitmen pelaku usaha dan perbaikan birokrasi akan lebih mudah tercapai.
</t>
  </si>
  <si>
    <t>Ya, selain komunikasi, sumber daya, disposisi, dan birokrasi, keberhasilan JPH juga dipengaruhi oleh **kebijakan insentif**, **peran konsumen**, dan **dukungan teknologi**. Insentif seperti subsidi membantu UMKM, sementara kesadaran konsumen mendorong pelaku usaha patuh. Infrastruktur digital yang baik juga mempercepat dan mempermudah proses sertifikasi.</t>
  </si>
  <si>
    <t>rahmawatikiat7@gmail.com</t>
  </si>
  <si>
    <t>YUDINAR CAKE</t>
  </si>
  <si>
    <t>tewak19723@tiofin.com</t>
  </si>
  <si>
    <t>opak gambir</t>
  </si>
  <si>
    <t>EKY NURSETIYAWATI</t>
  </si>
  <si>
    <t>Tantangan yang saya rasakan paling besar dalam implementasi JPH adalah soal komunikasi yang kadang belum jelas dan berubah-ubah sehingga membingungkan kami sebagai pelaku usaha kecil. Dari sisi sumber daya, keterbatasan tenaga dan biaya membuat proses pemenuhan persyaratan terasa berat, apalagi jika harus menyesuaikan dengan standar baru yang memerlukan pendampingan khusus. Disposisi atau sikap dari pihak yang berwenang juga berpengaruh, karena kalau tidak ada kemauan untuk membantu atau memberi arahan yang praktis, prosesnya jadi lambat. Sementara struktur birokrasi yang panjang membuat setiap langkah terasa berbelit-belit, mulai dari pengajuan, verifikasi, sampai keluar sertifikat. Hal-hal ini sering membuat waktu yang dibutuhkan lebih lama dari yang kami harapkan, padahal usaha kecil seperti kami butuh kejelasan dan kepastian agar bisa tetap berjalan.</t>
  </si>
  <si>
    <t xml:space="preserve">Menurut saya faktor komunikasi jauh lebih penting karena itu yang menjadi dasar dari semua proses. Kalau informasinya jelas, sederhana, dan konsisten, pelaku usaha kecil seperti saya bisa lebih mudah menyesuaikan diri. Setelah itu baru soal sumber daya, karena tanpa dukungan tenaga, biaya, dan akses pendampingan, kami kesulitan memenuhi standar yang ditetapkan. Birokrasi juga penting, tapi kalau komunikasi dan sumber daya sudah baik, jalur yang panjang sekalipun masih bisa diikuti dengan lebih sabar. Jadi urutannya memang dimulai dari bagaimana pesan disampaikan, lalu bagaimana kemampuan kami difasilitasi, baru kemudian soal teknis birokrasi.
</t>
  </si>
  <si>
    <t>Menurut saya ada, yaitu soal kesadaran dan pemahaman konsumen. Kalau masyarakat semakin paham pentingnya JPH, maka permintaan pasar akan mendorong usaha kecil seperti saya untuk lebih serius mengurusnya. Selain itu dukungan teknologi juga berpengaruh, misalnya sistem pendaftaran atau pengajuan yang mudah diakses secara online, sehingga kami tidak harus bolak-balik ke kantor. Faktor lain adalah pendampingan dari pihak terkait atau lembaga keagamaan, karena kalau ada yang bisa membimbing langsung, prosesnya terasa lebih ringan dan tidak membingungkan.</t>
  </si>
  <si>
    <t>ekynursetiyawat@moongit.com</t>
  </si>
  <si>
    <t>Madu Desa Mbak Eky</t>
  </si>
  <si>
    <t>NUR INDAHWATI</t>
  </si>
  <si>
    <t>wogoxi3181@wsneon.com</t>
  </si>
  <si>
    <t>BERKAH CAHAYA</t>
  </si>
  <si>
    <t>SAHUR VERYDICA</t>
  </si>
  <si>
    <t>habybullahefendi95@gmail.com</t>
  </si>
  <si>
    <t xml:space="preserve">Keripik Pisang </t>
  </si>
  <si>
    <t>FATMAWATI</t>
  </si>
  <si>
    <t>watif0299@gmail.com</t>
  </si>
  <si>
    <t>BAKERI</t>
  </si>
  <si>
    <t>SUPENO</t>
  </si>
  <si>
    <t>Banyak banget tantangan yang kami hadapi, terutama soal sosialisasi yang masih kurang merata. Komunikasi dari pemerintah kadang nggak sampai ke kami, jadi informasinya kurang jelas. Soal biaya sertifikasi halal juga lumayan berat buat UMKM kecil kayak kami.  Prosesnya juga kadang ribet, berbelit-belit, dan butuh waktu lama. Selain itu, tenaga pendampingnya juga masih terbatas, jadi banyak yang kesulitan.</t>
  </si>
  <si>
    <t>Menurut saya, kesadaran dan pemahaman dari pelaku usaha itu sendiri juga sangat penting. Banyak dari kami, terutama yang skala kecil, belum sepenuhnya mengerti kenapa sertifikasi halal ini penting, bukan cuma buat konsumen muslim tapi juga buat memperluas pasar.  Selain itu, dukungan dari lembaga keuangan juga bisa jadi faktor. Kadang kami butuh modal untuk memperbaiki fasilitas produksi agar sesuai standar JPH. Kalau ada skema pembiayaan khusus buat sertifikasi halal, pasti akan sangat membantu.</t>
  </si>
  <si>
    <t xml:space="preserve"> ada ,kesadaran dan pemahaman dari pelaku usaha itu sendiri juga sangat penting. Banyak dari kami, terutama yang skala kecil, belum sepenuhnya mengerti kenapa sertifikasi halal ini penting, bukan cuma buat konsumen muslim tapi juga buat memperluas pasar.  Selain itu, dukungan dari lembaga keuangan juga bisa jadi faktor. Kadang kami butuh modal untuk memperbaiki fasilitas produksi agar sesuai standar JPH. Kalau ada skema pembiayaan khusus buat sertifikasi halal, pasti akan sangat membantu.</t>
  </si>
  <si>
    <t>supeno@moongit.com</t>
  </si>
  <si>
    <t>Sempolan Om Peno</t>
  </si>
  <si>
    <t>KEDAI BU YANTI</t>
  </si>
  <si>
    <t>ANA SARTIKA</t>
  </si>
  <si>
    <t>Tantangan terbesarnya ya komunikasi yang belum merata, banyak pelaku UMKM makanan belum paham aturan JPH karena informasinya tidak sampai ke daerah. Sumber daya juga terbatas, biaya sertifikasi mahal buat kami yang skala kecil. Ditambah lagi disposisi kadang kurang mendukung, seperti proses yang terlalu panjang dan butuh banyak dokumen. Belum lagi struktur birokrasinya yang masih rumit, harus bolak-balik antar instansi, bikin capek dan lama.</t>
  </si>
  <si>
    <t>Iya, menurut saya komunikasi dan birokrasi paling penting. Karena kalau informasi soal JPH sampai dengan jelas dan prosesnya mudah, pasti lebih banyak pelaku UMKM yang mau ikut. Sekarang banyak yang malah takut dan bingung mulai dari mana. Padahal kalau sistemnya sederhana dan didukung pelatihan atau pendampingan, kami jadi lebih percaya diri. Biaya itu penting, tapi kalau prosesnya transparan dan cepat, kami lebih rela investasi. Jadi, kemudahan akses informasi dan pelayanan birokrasi yang lancar itu kunci utamanya.</t>
  </si>
  <si>
    <t>Ada, yaitu dukungan dari komunitas dan pelaku usaha itu sendiri. Kalau sudah ada contoh UMKM yang sukses dengan sertifikasi JPH dan hasilnya terlihat—misalnya omzet naik atau lebih mudah masuk pasar—yang lain jadi termotivasi. Jadi, peran tokoh atau pelaku kunci di lingkungan kami sangat besar. Selain itu, ketersediaan penyedia jasa sertifikasi halal yang dekat dan terjangkau juga pengaruh banget, karena kalau harus ke kota besar, biaya dan waktu jadi tambah besar. Jadi, jaringan dukungan lokal itu penting, tapi sering terlupakan.</t>
  </si>
  <si>
    <t>sehowi9615@xedutv.com</t>
  </si>
  <si>
    <t>AYAM KOREA MBA ANA</t>
  </si>
  <si>
    <t>SUJI RAHAYU</t>
  </si>
  <si>
    <t>rahayusuji675@gmail.com</t>
  </si>
  <si>
    <t>YOGI JUS</t>
  </si>
  <si>
    <t>PRAWITO</t>
  </si>
  <si>
    <t>cimolhotlegendprawito@gmail.com</t>
  </si>
  <si>
    <t>CIMOL HOT</t>
  </si>
  <si>
    <t>WAGINO</t>
  </si>
  <si>
    <t>Tantangan terbesar ada pada komunikasi yang kadang kurang jelas, keterbatasan biaya dan tenaga, sikap pelaku usaha yang masih ragu, serta birokrasi yang cukup rumit dan memakan waktu.</t>
  </si>
  <si>
    <t xml:space="preserve">Ya, menurut saya komunikasi lebih penting karena tanpa penjelasan yang jelas banyak pelaku usaha bingung, dan birokrasi juga sangat berpengaruh karena proses yang panjang bisa menghambat usaha berjalan lancar.
</t>
  </si>
  <si>
    <t>yaitu soal kesadaran dan pemahaman konsumen, karena jika permintaan produk bersertifikat halal semakin tinggi, pelaku usaha akan lebih terdorong untuk mengikuti JPH.</t>
  </si>
  <si>
    <t>wagino@yogirt.com</t>
  </si>
  <si>
    <t>martabak telur</t>
  </si>
  <si>
    <t>Aulia Fitri Handayani</t>
  </si>
  <si>
    <t>Padang Pariaman</t>
  </si>
  <si>
    <t xml:space="preserve">Komunikasi sama petugas kadang ribet, bikin bingung. </t>
  </si>
  <si>
    <t xml:space="preserve">komunikasi yang jelas itu penting banget. </t>
  </si>
  <si>
    <t>Dukungan komunitas pedagang bikin lebih mudah.</t>
  </si>
  <si>
    <t>Sate Padang</t>
  </si>
  <si>
    <t>SUSIYATI</t>
  </si>
  <si>
    <t>Tantangan terbesar yang saya hadapi dalam implementasi JPH sebenarnya muncul dari beberapa sisi. Dari segi komunikasi, sering kali informasi mengenai persyaratan dan prosedur belum disampaikan dengan jelas atau berbeda-beda antar pihak, sehingga membuat saya bingung harus mengikuti alur yang mana. Dari sisi sumber daya, keterbatasan modal dan waktu menjadi kendala karena proses sertifikasi membutuhkan biaya tambahan serta dokumen yang cukup banyak, sementara usaha kecil seperti saya harus tetap berjalan setiap hari. Dari aspek disposisi, semangat untuk patuh pada aturan sebenarnya ada, hanya saja kadang merasa terbebani karena prosedurnya panjang dan memerlukan kesabaran lebih. Lalu untuk struktur birokrasi, jalurnya terasa rumit dan berlapis, kadang harus bolak-balik antar instansi atau menunggu cukup lama sehingga membuat proses tidak efisien bagi pelaku usaha skala kecil. Semua ini membuat saya merasa perlu adanya pendampingan yang lebih praktis agar pelaku UMKM tidak kewalahan dalam mengikuti aturan yang berlaku.</t>
  </si>
  <si>
    <t xml:space="preserve">Ya, menurut saya faktor komunikasi menjadi yang paling penting karena kalau dari awal informasi jelas, sederhana, dan seragam, maka pelaku usaha akan lebih mudah menyiapkan apa yang dibutuhkan. Sumber daya juga berpengaruh besar karena tanpa dukungan biaya dan tenaga, prosesnya terasa berat bagi UMKM. Struktur birokrasi dan disposisi tetap penting, tapi biasanya bisa dihadapi kalau ada kejelasan alur dan kemudahan akses. Jadi, ketika komunikasi dan dukungan sumber daya diperkuat, kendala di bagian lain cenderung lebih mudah diatasi.
</t>
  </si>
  <si>
    <t>Menurut saya ada, salah satunya adalah faktor teknologi. Saat ini banyak UMKM masih kesulitan mengakses atau menggunakan sistem online yang dipakai dalam proses JPH, padahal itu jadi pintu utama untuk pendaftaran dan pengurusan dokumen. Selain itu, faktor pendampingan lapangan juga sangat berpengaruh, karena tanpa adanya bimbingan langsung, banyak pelaku usaha kecil kebingungan menafsirkan aturan teknis. Faktor budaya dan kesadaran konsumen pun ikut menentukan, karena jika permintaan produk bersertifikat halal semakin kuat, maka pelaku usaha akan lebih termotivasi untuk segera menyesuaikan diri.</t>
  </si>
  <si>
    <t>wafagex264@cmheia.com</t>
  </si>
  <si>
    <t>BASRENG TEH YATI</t>
  </si>
  <si>
    <t>BIYAMIN</t>
  </si>
  <si>
    <t>Ya, ada faktor lain yang juga berpengaruh terhadap keberhasilan implementasi JPH di Indonesia, yaitu aspek budaya dan kesadaran masyarakat. Tingkat kesadaran konsumen terhadap pentingnya produk halal sangat memengaruhi permintaan pasar, yang pada akhirnya mendorong pelaku usaha untuk serius mengurus sertifikasi. Jika masyarakat kurang peduli, maka pelaku usaha pun cenderung mengabaikannya.
Selain itu, faktor dukungan teknologi juga penting. Digitalisasi dalam proses pendaftaran, pengawasan, dan pelacakan produk halal akan sangat membantu mempercepat dan mempermudah alur sertifikasi, sehingga birokrasi menjadi lebih efisien. Faktor lain yang tidak kalah berpengaruh adalah dukungan politik dan kebijakan pemerintah, karena tanpa komitmen kuat dari pembuat kebijakan, pelaksanaan JPH akan terhambat meskipun sistem dan sumber daya sudah tersedia</t>
  </si>
  <si>
    <t>uteguh452@gmail.com</t>
  </si>
  <si>
    <t>Jus Buah Lek Min</t>
  </si>
  <si>
    <t>Dedi Putra</t>
  </si>
  <si>
    <t>Solok</t>
  </si>
  <si>
    <t>Modal terbatas bikin gerak usaha jadi susah. Banyak rencana pengembangan, tapi akhirnya ketahan karena dana nggak cukup. Misalnya mau beli alat produksi baru atau tambah karyawan, sering kehalang biaya. Jadi menurutku, modal itu fondasi utama yang bikin usaha bisa naik level.</t>
  </si>
  <si>
    <t>sumber daya manusia juga penting banget. Kadang kita punya produk bagus, tapi kalau tenaga kerja belum terlatih atau nggak paham urusan dokumen halal, ya tetap aja lambat prosesnya. Makanya aku anggap sumber daya ini faktor yang paling utama buat dorong usaha biar lebih maju.</t>
  </si>
  <si>
    <t>Untungnya, pasar kopi relatif stabil. Itu yang bikin semangat tetap ada buat urus halal. Kalau pasarnya jalan, ada jaminan produk kita laku, jadi rasa capek urus birokrasi halal bisa terobati. Intinya, stabilnya pasar kopi jadi pemicu semangat meski kita masih terbatas di modal sama SDM</t>
  </si>
  <si>
    <t>Kopi Solok</t>
  </si>
  <si>
    <t>NOK BARKAH</t>
  </si>
  <si>
    <t>Tantangan terbesar yang saya hadapi dalam implementasi JPH adalah soal komunikasi yang kadang kurang jelas antara pelaku usaha dengan pihak terkait, sehingga sering terjadi salah paham dalam pemenuhan syarat. Dari sisi sumber daya, kami masih terbatas baik dari segi biaya maupun tenaga yang paham detail proses sertifikasi, jadi butuh waktu lebih lama untuk menyesuaikan. Disposisi atau komitmen juga menjadi kendala karena banyak pelaku usaha kecil yang fokus utamanya tetap pada produksi dan penjualan, sehingga urusan administratif seperti JPH sering tertunda. Struktur birokrasi yang cukup panjang dan berlapis juga membuat proses tidak cepat, karena setiap tahapan butuh verifikasi dan persetujuan dari beberapa pihak. Semua itu membuat proses terasa berat bagi usaha kecil yang masih belajar berkembang.</t>
  </si>
  <si>
    <t xml:space="preserve">Ya, saya merasa ada faktor yang lebih penting daripada yang lain, terutama komunikasi dan struktur birokrasi. Komunikasi sangat berpengaruh karena jika informasi dari pihak terkait jelas dan mudah dipahami, pelaku usaha bisa lebih cepat menyesuaikan diri dengan aturan. Tanpa komunikasi yang baik, sering kali kami salah langkah atau harus mengulang proses yang sudah dilakukan. Struktur birokrasi juga penting karena alurnya masih panjang dan berlapis, sehingga membuat waktu dan biaya semakin besar. Sementara itu, faktor sumber daya dan disposisi sebenarnya bisa diusahakan oleh pelaku usaha secara bertahap, tetapi kalau komunikasi dan birokrasi tidak mendukung, usaha sekecil apa pun untuk menyesuaikan jadi terhambat.
</t>
  </si>
  <si>
    <t>Menurut saya ada, salah satunya adalah tingkat pemahaman masyarakat tentang pentingnya JPH itu sendiri. Kalau konsumen makin sadar akan pentingnya produk halal, pelaku usaha juga akan lebih termotivasi untuk serius mengurus sertifikasi. Selain itu, dukungan teknologi juga berpengaruh, karena jika sistem pendaftaran dan verifikasi lebih sederhana dan digital, proses akan lebih cepat dan tidak membebani. Faktor lain adalah pendampingan dari pemerintah atau lembaga terkait, karena banyak pelaku UMKM yang butuh arahan praktis, bukan hanya aturan tertulis. Semua ini bisa membantu keberhasilan implementasi JPH lebih merata dan efektif.</t>
  </si>
  <si>
    <t>susiyanti@awgarstone.com</t>
  </si>
  <si>
    <t>Peyek barokah</t>
  </si>
  <si>
    <t>Cut Aina Rahmawati</t>
  </si>
  <si>
    <t>Pemilik UMKM Roti Canai</t>
  </si>
  <si>
    <t>Lhokseumawe</t>
  </si>
  <si>
    <t>sposisi petugas itu memang beda-beda, kadang kita ketemu yang ramah, enak diajak ngobrol, jadi proses terasa lebih ringan. Tapi ada juga yang gayanya kaku, malah bikin tegang, jadi kita sebagai pelaku UMKM jadi sungkan dan agak takut urus dokumen halal.</t>
  </si>
  <si>
    <t>sikap dan disposisi petugas itu penting banget, karena bisa ngaruh langsung ke semangat kita. Kalau pelayanannya baik, pasti kita lebih yakin jalanin prosesnya. Faktor lain yang nggak kalah penting adalah sosialisasi lewat pelatihan UMKM.</t>
  </si>
  <si>
    <t>danya pelatihan, kita jadi lebih ngerti alur, syarat, dan cara urus dokumen halal, jadi nggak bingung sendiri. Jadi intinya, kombinasi antara disposisi petugas yang suportif dan pelatihan yang jelas bisa bikin proses sertifikasi halal jauh lebih mudah dijalani</t>
  </si>
  <si>
    <t>Roti Canai &amp; snack</t>
  </si>
  <si>
    <t>FIRMAN SETIABUDI</t>
  </si>
  <si>
    <t>Tantangan terbesar ada pada komunikasi yang sering kurang jelas, keterbatasan biaya dan tenaga, disposisi yang belum seragam, serta birokrasi yang cukup rumit dan memakan waktu.</t>
  </si>
  <si>
    <t xml:space="preserve">Ya, saya merasa komunikasi lebih penting karena tanpa informasi yang jelas pelaku usaha sering bingung dan salah langkah, diikuti birokrasi yang rumit karena bisa langsung menghambat proses usaha.
</t>
  </si>
  <si>
    <t>Menurut saya faktor pendampingan dan edukasi juga sangat berpengaruh, karena banyak pelaku usaha kecil yang belum paham proses JPH dan butuh arahan langsung agar lebih mudah dijalankan.</t>
  </si>
  <si>
    <t>firman@yogirt.com</t>
  </si>
  <si>
    <t>Tempe Bu Rodiah</t>
  </si>
  <si>
    <t>Johan Pratama</t>
  </si>
  <si>
    <t>Pemilik UMKM Kuliner</t>
  </si>
  <si>
    <t>Jakarta Pusat</t>
  </si>
  <si>
    <t>Birokrasi di Jakarta lumayan ribet, banyak meja yang harus dilewati, dan kadang bikin capek mental juga. Menurutku struktur birokrasi paling penting, soalnya kalau alurnya jelas dari awal sampai akhir, kita nggak perlu buang waktu bolak-balik. Kalau petugas bisa kasih arahan yang runtut, UMKM kayak saya bisa lebih fokus ngurus produk daripada nyari-nyari dokumen. Selain itu, dukungan komunitas kuliner juga terasa banget. Kita bisa saling berbagi pengalaman, kasih tahu jalur cepat, bahkan bareng-bareng ikut pelatihan. Jadi meskipun birokrasi ribet, rasa kebersamaan dari komunitas itu yang bikin kita tetap semangat.</t>
  </si>
  <si>
    <t>Urus halal di Jakarta tuh berasa kayak maraton, panjang dan banyak tahapan. Kadang satu meja udah selesai, pindah lagi ke meja lain yang minta syarat tambahan. Menurutku struktur birokrasi yang rapi dan transparan itu penting banget, biar UMKM nggak bingung dan bisa hemat tenaga serta biaya. Kalau jalurnya jelas, pasti lebih gampang buat usaha kecil kayak saya. Nah, untungnya ada komunitas kuliner yang aktif, jadi kalau kita bingung, tinggal tanya di grup atau sharing sama teman-teman. Dukungan kayak gini bener-bener membantu, bikin proses ribet jadi lebih ringan karena kita nggak ngerasa sendirian</t>
  </si>
  <si>
    <t>alau ngomongin birokrasi di Jakarta, ya memang ribet, banyak banget meja yang harus dilewati. Satu langkah selesai, ada aja syarat lain yang muncul. Jadi menurutku yang paling penting adalah struktur birokrasi dibuat lebih simpel dan jelas, biar UMKM nggak buang energi cuma buat urus dokumen. Kalau sistemnya transparan dan gampang diakses, pasti prosesnya lebih lancar. Faktor lain yang nggak kalah penting itu dukungan komunitas kuliner. Kadang justru dari komunitas kita dapet info terbaru, trik, sampai motivasi buat terus maju. Jadi meskipun ribet, ada rasa percaya diri lebih kalau jalan bareng komunitas</t>
  </si>
  <si>
    <t>Nasi Uduk &amp; Ayam Geprek</t>
  </si>
  <si>
    <t>Kurangnya pendampingan pasca-sertifikasi untuk memastikan pelaku usaha tetap konsisten.</t>
  </si>
  <si>
    <t>Spring Roll Gen Z</t>
  </si>
  <si>
    <t>SITI IKARAIKATUN</t>
  </si>
  <si>
    <t>Kab Pati</t>
  </si>
  <si>
    <t>Ya, ada faktor lain yang juga berpengaruh terhadap keberhasilan implementasi JPH di Indonesia, yaitu aspek budaya dan kesadaran masyarakat. Tingkat kesadaran konsumen terhadap pentingnya produk halal sangat memengaruhi permintaan pasar, yang pada akhirnya mendorong pelaku usaha untuk serius mengurus sertifikasi. Jika masyarakat kurang peduli, maka pelaku usaha pun cenderung mengabaikannya.
Selain itu, faktor dukungan teknologi juga penting. Digitalisasi dalam proses pendaftaran, pengawasan, dan pelacakan produk halal akan sangat membantu mempercepat dan mempermudah alur sertifikasi, sehingga birokrasi menjadi lebih efisien. Faktor lain yang tidak kalah berpengaruh adalah dukungan politik dan kebijakan pemerintah, karena tanpa komitmen kuat dari pembuat kebijakan, pelaksanaan JPH akan terhambat meskipun sistem dan sumber daya sudah tersedia.</t>
  </si>
  <si>
    <t>sitiikaraikatun@milkgitter.com</t>
  </si>
  <si>
    <t>Kue Bagelen Kering</t>
  </si>
  <si>
    <t>SALWIN ALWI</t>
  </si>
  <si>
    <t xml:space="preserve">Ya, faktor komunikasi dan sumber daya manusia (SDM) lebih penting dalam implementasi JPH di Indonesia. Tanpa komunikasi yang efektif, pelaku usaha sulit memahami kewajiban dan prosedur sertifikasi halal. Sementara itu, keterbatasan SDM seperti auditor dan LPH menyebabkan proses sertifikasi lambat. Jika kedua faktor ini diperkuat, maka komitmen pelaku usaha dan perbaikan birokrasi akan lebih mudah tercapai.
</t>
  </si>
  <si>
    <t>alwiambon1990@gmail.com</t>
  </si>
  <si>
    <t>KUE PIE - SAHARA</t>
  </si>
  <si>
    <t>TOHIRON IMAM SAHRONI</t>
  </si>
  <si>
    <t>Tantangan terbesar yang saya hadapi dalam implementasi JPH adalah komunikasi yang kadang tidak jelas antara pelaku usaha dengan pihak terkait, sehingga sering terjadi kebingungan dalam memahami prosedur yang harus ditempuh. Dari sisi sumber daya, keterbatasan biaya dan waktu menjadi kendala karena prosesnya cukup panjang dan membutuhkan dokumen yang detail, sementara usaha kecil seperti saya masih terbatas dalam tenaga dan kemampuan administrasi. Untuk disposisi, terkadang ada perbedaan sikap dari petugas di lapangan yang membuat proses tidak konsisten, sehingga menambah beban bagi pelaku usaha. Struktur birokrasi juga masih terasa berbelit dengan banyak tahap yang harus dilalui, sehingga membuat proses sertifikasi halal tidak secepat yang diharapkan. Semua ini akhirnya membuat usaha kecil seperti saya harus ekstra sabar dan terus berusaha mencari jalan agar bisa memenuhi kewajiban tanpa mengorbankan keberlangsungan usaha.</t>
  </si>
  <si>
    <t xml:space="preserve">Menurut saya, faktor komunikasi adalah yang paling penting karena dari sana semua proses dimulai. Jika informasi jelas, prosedur bisa diikuti dengan lebih mudah dan pelaku usaha tidak salah langkah. Setelah itu, faktor sumber daya juga sangat berpengaruh karena tanpa biaya dan tenaga yang cukup, sulit untuk menyelesaikan persyaratan yang diminta. Struktur birokrasi yang berbelit akan semakin terasa jika komunikasi dan sumber daya tidak berjalan baik. Sementara disposisi juga penting, tapi menurut saya itu lebih kepada konsistensi sikap petugas, yang akan mendukung kelancaran proses jika tiga faktor lain sudah kuat. Jadi urutannya, komunikasi dan sumber daya lebih menentukan karena menjadi pondasi, baru setelah itu disposisi dan struktur birokrasi mengikuti.
</t>
  </si>
  <si>
    <t>Menurut saya ada, salah satunya adalah tingkat kesadaran dan pemahaman masyarakat serta konsumen terhadap pentingnya sertifikasi halal. Kalau permintaan dari konsumen tinggi, pelaku usaha akan lebih termotivasi untuk segera mengurusnya. Selain itu, dukungan dari asosiasi atau komunitas UMKM juga berpengaruh karena bisa menjadi tempat berbagi pengalaman dan informasi. Faktor teknologi juga cukup penting, misalnya kemudahan akses melalui aplikasi atau sistem online yang bisa mempercepat proses dan mengurangi tatap muka yang sering memakan waktu. Jadi hal-hal di luar kriteria tadi sebenarnya ikut menentukan kelancaran implementasi JPH bagi pelaku usaha kecil seperti saya.</t>
  </si>
  <si>
    <t>imam@maxamba.com</t>
  </si>
  <si>
    <t>cilok alami</t>
  </si>
  <si>
    <t>ERNA INTARTI</t>
  </si>
  <si>
    <t>Tumpang tindih peran antara BPJPH dan lembaga lain, membuat pelaku usaha tidak tahu harus bertanya ke mana.</t>
  </si>
  <si>
    <t>ernaintarti3411@gmail.com</t>
  </si>
  <si>
    <t>KEDAI GEROBAK PUTIH</t>
  </si>
  <si>
    <t>Margaret  Marlina</t>
  </si>
  <si>
    <t>Jakarta Selatan</t>
  </si>
  <si>
    <t>komunikasi yang jelas, simpel, dan ramah itu kunci banget, biar kita nggak salah langkah. Kalau petugas bisa pakai bahasa sehari-hari yang gampang dipahami, pasti proses jadi lebih cepat. Faktor lain yang penting juga dukungan dari pemerintah daerah, terutama lewat pelatihan. Saya pernah ikut pelatihan UMKM dan itu bener-bener ngebantu, jadi lebih ngerti prosedur, dokumen yang harus disiapkan, sampai tips praktis buat ngurus halal.</t>
  </si>
  <si>
    <t>pelayanan publik itu kuncinya ada di cara mereka ngomong sama kita... dukungan dari pemerintah daerah juga kerasa banget, misalnya lewat pelatihan-pelatihan singkat. Dari situ kita bisa belajar langsung teknis pengisian formulir sampai simulasi alur birokrasi, jadi lebih siap waktu beneran terjun.</t>
  </si>
  <si>
    <t>petugas harus lebih ramah dan pakai bahasa yang mudah dipahami. Itu kunci supaya kita nggak salah kaprah. Faktor lain yang sangat membantu adalah pelatihan dari pemerintah daerah. Lewat pelatihan, kita bisa dapet penjelasan step by step, plus bisa tanya langsung kalau ada yang nggak ngerti. Jadi pelatihan itu bener-bener jadi penyelamat buat UMKM kecil kayak kami</t>
  </si>
  <si>
    <t>Coffee Shop &amp; pastry</t>
  </si>
  <si>
    <t>YAYUK</t>
  </si>
  <si>
    <t>yayuk@moongit.com</t>
  </si>
  <si>
    <t>Mariyama Ayub</t>
  </si>
  <si>
    <t>KOTA TERNATE</t>
  </si>
  <si>
    <t xml:space="preserve">Ya, faktor **komunikasi** dan **sumber daya manusia (SDM)** lebih penting dalam implementasi JPH di Indonesia. Tanpa komunikasi yang efektif, pelaku usaha sulit memahami kewajiban dan prosedur sertifikasi halal. Sementara itu, keterbatasan SDM seperti auditor dan LPH menyebabkan proses sertifikasi lambat. Jika kedua faktor ini diperkuat, maka komitmen pelaku usaha dan perbaikan birokrasi akan lebih mudah tercapai.
</t>
  </si>
  <si>
    <t>Ya, faktor lain yang berpengaruh adalah **dukungan politik dan komitmen pemerintah**. Tanpa prioritas, anggaran, dan koordinasi yang kuat dari pusat dan daerah, implementasi JPH sulit berjalan efektif dan merata.</t>
  </si>
  <si>
    <t>amalyken@gmail.com</t>
  </si>
  <si>
    <t>MALUKU UTARA</t>
  </si>
  <si>
    <t>Malika Aneka Kue</t>
  </si>
  <si>
    <t>Muh Asep Saepudin</t>
  </si>
  <si>
    <t>Ngurus halal di Jawa Barat itu kadang berasa kayak ujian kesabaran, soalnya banyak syarat yang harus dipenuhi dan seringkali dokumennya numpuk. Menurutku yang paling penting itu struktur birokrasi dibuat jelas dan simpel, biar UMKM kayak saya nggak bolak-balik nanya ini itu. Kalau alurnya rapi, pasti lebih gampang. Faktor lain yang ngebantu itu dukungan komunitas pedagang Sunda. Mereka sering sharing pengalaman, kasih info jalur yang lebih cepat, bahkan kadang bikin bareng-bareng pelatihan. Jadi meskipun ribet, ada teman seperjuangan bikin semangat lagi.</t>
  </si>
  <si>
    <t>Proses birokrasi di Jawa Barat memang lumayan ribet, apalagi buat usaha kecil kayak saya. Syaratnya banyak, kadang bikin bingung sendiri harus mulai dari mana. Makanya menurutku struktur birokrasi itu kunci, kalau step by step-nya jelas, kita nggak bakal salah jalan. Untungnya, komunitas pedagang Sunda cukup solid. Dari mereka saya sering dapet info, tips praktis, bahkan motivasi biar nggak patah semangat. Jadi meski birokrasi ribet, adanya dukungan komunitas bikin proses terasa lebih ringan</t>
  </si>
  <si>
    <t>hal paling penting adalah struktur birokrasi yang transparan dan gampang diikuti. Kalau dari awal alurnya jelas, kita nggak perlu habisin waktu buat nebak-nebak. Faktor lain yang juga kerasa banget itu peran komunitas pedagang Sunda. Kita sering saling support, baik sekadar tukar informasi maupun bareng-bareng ikut program pemerintah. Dukungan kayak gini yang bikin saya tetap semangat ngurus halal meski ribetnya luar biasa</t>
  </si>
  <si>
    <t>Masakan Sunda (Nasi Timbel, Pepes Ikan)</t>
  </si>
  <si>
    <t>TURIYEM</t>
  </si>
  <si>
    <t>Penyebaran informasi yang tidak merata di media massa dan sosial, sehingga JPH hanya dikenal di kalangan tertentu</t>
  </si>
  <si>
    <t>turiyem71@mustikaagrosari.biz.id</t>
  </si>
  <si>
    <t>GULA JAWA MBA ULIP</t>
  </si>
  <si>
    <t>SELAMET SUKAWI</t>
  </si>
  <si>
    <t>Ya, dalam konteks implementasi JPH di Indonesia, ada faktor yang lebih penting dibandingkan lainnya, yaitu komunikasi dan sumber daya. Komunikasi menjadi kunci karena tanpa sosialisasi yang jelas dan merata, terutama kepada pelaku UMKM, sertifikasi halal akan sulit dipahami dan dianggap beban. Jika informasi disampaikan dengan baik, pelaku usaha akan lebih siap dan mau terlibat.
Selain itu, sumber daya juga sangat krusial karena meskipun komunikasi berjalan baik, tanpa tenaga auditor halal, laboratorium uji yang memadai, dan dukungan anggaran, proses sertifikasi tetap lambat. Disposisi dan struktur birokrasi memang penting, tetapi keduanya bisa berjalan lebih efektif jika komunikasi lancar dan sumber daya tersedia. Dengan kata lain, komunikasi dan sumber daya adalah pondasi utama yang menentukan berhasil atau tidaknya implementasi JPH di Indonesia</t>
  </si>
  <si>
    <t>selametsukawi@moongit.com</t>
  </si>
  <si>
    <t>Roti Bakar</t>
  </si>
  <si>
    <t>Riana Lestari</t>
  </si>
  <si>
    <t>Pemilik Usaha Bakery</t>
  </si>
  <si>
    <t>antangan terbesar itu ada di regulasi yang sering berubah-ubah. Kadang baru aja kita paham aturan yang lama, eh udah keluar aturan baru lagi. Buat UMKM kecil, ini bikin bingung karena harus adaptasi terus. Jadi yang paling penting itu konsistensi aturan, biar kita bisa nyusun strategi usaha lebih jelas. Faktor lain yang membantu tentu sosialisasi dari pemerintah, karena kalau ada penjelasan langsung, kita nggak perlu nebak-nebak sendiri.</t>
  </si>
  <si>
    <t>Masalah lain yang saya rasakan itu soal teknologi. Sekarang banyak proses sertifikasi halal yang dilakukan online, tapi nggak semua pelaku UMKM paham cara pakainya. Jadi menurutku pendampingan digital itu penting banget, supaya kita nggak salah input data atau gagal upload dokumen. Faktor lain yang bikin lebih mudah itu kalau ada aplikasi yang user friendly dan pelatihan singkat tentang cara pakainya</t>
  </si>
  <si>
    <t>tantangan lain bukan cuma urusan dokumen, tapi juga gimana bikin konsumen percaya. Label halal itu penting banget untuk meningkatkan kepercayaan pembeli, apalagi di daerah yang konsumennya sensitif soal halal. Jadi menurutku, dukungan konsumen dan loyalitas pasar itu faktor besar juga. Kalau konsumen aktif nanyain soal halal, otomatis jadi dorongan buat kita segera urus sertifikasinya</t>
  </si>
  <si>
    <t>Roti &amp; Brownies Kukus</t>
  </si>
  <si>
    <t>ZULKARNAIN ST PANGULU</t>
  </si>
  <si>
    <t xml:space="preserve">KOTA TERNATE </t>
  </si>
  <si>
    <t xml:space="preserve">Ya, komunikasi dan SDMadalah yang paling penting. Tanpa komunikasi yang jelas dan SDM yang memadai, proses sertifikasi halal sulit dipahami dan dilaksanakan secara efektif.
</t>
  </si>
  <si>
    <t>Ya, ada. Salah satu faktor penting yang tidak tercakup dalam kriteria sebelumnya adalah **dukungan politik dan komitmen pemerintah pusat dan daerah**. Keberhasilan implementasi JPH sangat bergantung pada sejauh mana pemerintah memberikan prioritas terhadap program ini, termasuk alokasi anggaran, regulasi yang mendukung, serta koordinasi lintas instansi. Tanpa komitmen politik yang kuat, pelaksanaan JPH bisa terhambat oleh lemahnya pengawasan, minimnya anggaran, atau kurangnya penguatan lembaga terkait. Jadi, dukungan politik menjadi landasan penting agar kebijakan JPH berjalan konsisten dan berkelanjutan di seluruh wilayah Indonesia.</t>
  </si>
  <si>
    <t>zulkarnainsutanpangulu@gmail.com</t>
  </si>
  <si>
    <t>Sate Padang Sutan Pangulu</t>
  </si>
  <si>
    <t>HADIROH</t>
  </si>
  <si>
    <t>PElaku usaha</t>
  </si>
  <si>
    <t>Tantangan birokrasi adalah kurangnya jaminan bahwa proses sertifikasi akan berjalan cepat, bahkan bagi mereka yang sudah memenuhi semua persyaratan.</t>
  </si>
  <si>
    <t>dovagot254@darkse.com</t>
  </si>
  <si>
    <t>GULA MERAH IRZA JAWI</t>
  </si>
  <si>
    <t>SUMPONO</t>
  </si>
  <si>
    <t>sumpono@moongit.com</t>
  </si>
  <si>
    <t>Sempolan</t>
  </si>
  <si>
    <t>SUNARMIN</t>
  </si>
  <si>
    <t>Tantangan terbesar dalam implementasi JPH di Indonesia adalah kurangnya **sosialisasi yang merata** (komunikasi), **terbatasnya auditor dan LPH** (sumber daya), **rendahnya kesadaran pelaku usaha** (disposisi), serta **koordinasi antar lembaga yang belum optimal** (struktur birokrasi). Keempatnya saling berkaitan dan menghambat kelancaran proses sertifikasi halal, terutama bagi pelaku usaha kecil dan di daerah terpencil.</t>
  </si>
  <si>
    <t xml:space="preserve">Ya, komunikasi dan sumber daya manusia (SDM) lebih penting dibanding faktor lainnya. Tanpa komunikasi yang efektif, pelaku usaha tidak memahami kewajiban sertifikasi halal. Sementara itu, tanpa SDM seperti auditor dan LPH yang cukup, proses sertifikasi tidak bisa berjalan lancar. Keduanya menjadi fondasi utama keberhasilan implementasi JPH.
</t>
  </si>
  <si>
    <t>Ya, ada. **Dukungan politik dan komitmen pemerintah** juga sangat berpengaruh. Tanpa kebijakan yang jelas, alokasi anggaran, dan koordinasi antar instansi, implementasi JPH sulit berjalan efektif dan berkelanjutan.</t>
  </si>
  <si>
    <t>ririaryanti36@gmail.com</t>
  </si>
  <si>
    <t>Bubur Ayam Bandung</t>
  </si>
  <si>
    <t>EKO BUWONO</t>
  </si>
  <si>
    <t>Kab. Pekalongan</t>
  </si>
  <si>
    <t>buwono@yogirt.com</t>
  </si>
  <si>
    <t>Wawan Kurniawan</t>
  </si>
  <si>
    <t>Garut</t>
  </si>
  <si>
    <t>Sumber daya memang masih terbatas, terutama soal modal buat ngembangin usaha. Mau beli alat baru atau tambah karyawan sering kepentok biaya, jadi rencana yang ada terpaksa ditunda. Menurutku modal itu yang paling krusial, karena tanpa modal cukup, usaha susah bergerak. Untungnya, pasar lokal Garut cukup stabil, permintaan tetap ada, jadi itu yang bikin semangat lebih tinggi untuk urus halal. Rasanya lebih yakin kalau sudah ada pasar yang siap nerima produk kita</t>
  </si>
  <si>
    <t>Buat ngembangin usaha butuh modal lumayan, tapi sering banget nggak sebanding sama pemasukan. Jadi menurutku modal itu benar-benar faktor utama. Tanpa dana cukup, kita kesulitan ikut prosedur halal yang memang butuh biaya tambahan. Tapi di sisi lain, pasar Garut lumayan stabil. Selama ada konsumen tetap, ada keyakinan kalau usaha kita bisa bertahan. Itu yang bikin saya nggak nyerah dan tetap semangat urus halal</t>
  </si>
  <si>
    <t>Banyak ide untuk ngembangin usaha, tapi ujung-ujungnya mandek karena biaya belum ada. Jadi menurut saya, modal itu pondasi paling penting buat maju. Meski begitu, kondisi pasar lokal Garut cukup mendukung. Konsumen masih stabil, produk masih dicari orang. Hal ini yang jadi motivasi besar, soalnya kalau pasar tenang, kita jadi lebih berani keluar biaya buat urus halal.</t>
  </si>
  <si>
    <t>Minuman Bandrek &amp; Bajigur</t>
  </si>
  <si>
    <t>SENA WIJAYA</t>
  </si>
  <si>
    <t>KAB. LOMBOK TENGAH</t>
  </si>
  <si>
    <t xml:space="preserve">Ya, komunikasi dan sumber daya manusia (SDM) lebih penting dibanding faktor lainnya. Tanpa komunikasi yang efektif, pelaku usaha tidak memahami kewajiban sertifikasi halal. Sementara itu, tanpa SDM seperti auditor dan LPH yang cukup, proses sertifikasi tidak bisa berjalan lancar. Keduanya menjadi fondasi utama keberhasilan implementasi JPH.
</t>
  </si>
  <si>
    <t>Ya, ada. Dukungan politik dan komitmen pemerintah juga sangat berpengaruh. Tanpa kebijakan yang jelas, alokasi anggaran, dan koordinasi antar instansi, implementasi JPH sulit berjalan efektif dan berkelanjutan.</t>
  </si>
  <si>
    <t>xajeki9013@deligy.com</t>
  </si>
  <si>
    <t>Nusa Tenggara Barat</t>
  </si>
  <si>
    <t>GULA MERAH PAK SENA WIJAYA</t>
  </si>
  <si>
    <t>DIAN PUSPITA SARI</t>
  </si>
  <si>
    <t>sidoarjo</t>
  </si>
  <si>
    <t>dianpuspitasari14031989@gmail.com</t>
  </si>
  <si>
    <t>jawa timur</t>
  </si>
  <si>
    <t>Neng Siti Rohmah</t>
  </si>
  <si>
    <t>Tasikmalaya</t>
  </si>
  <si>
    <t>petugas itu menurutku berpengaruh banget. Kadang kita ketemu yang ramah, enak diajak ngobrol, jadi prosesnya ringan. Tapi ada juga yang kaku, bikin tegang, akhirnya kita jadi minder. Makanya disposisi itu penting biar UMKM kecil kayak saya nggak merasa takut ngurus dokumen halal. Faktor lain yang juga membantu banget adalah workshop halal. Dari pelatihan itu, kita jadi tahu alurnya gimana, dokumen apa aja yang harus siap, jadi lebih pede pas beneran ngurus.</t>
  </si>
  <si>
    <t>Kalau sikap petugas beda-beda, rasanya capek juga. Ada yang baik banget sampai bikin kita nyaman, tapi ada juga yang jutek, bikin suasana tegang. Buat UMKM, disposisi ini penting banget, karena kalau petugas ramah, kita lebih percaya diri. Kalau petugas kaku, malah bikin males urus. Untungnya sekarang ada workshop halal, di situ kita bisa belajar langsung, jadi pas ketemu birokrasi nggak terlalu bingung. Workshop itu bener-bener jadi bekal berharga.</t>
  </si>
  <si>
    <t>Kalau petugasnya ramah, kita ngerasa dihargai, jadi lebih berani tanya-tanya. Tapi kalau ketemu yang bikin tegang, malah jadi minder. Jadi sikap petugas itu penting banget buat dorong semangat. Selain itu, workshop halal juga membantu, soalnya dari situ kita bisa dapet gambaran jelas tentang prosedur, jadi nggak blank pas ngadepin proses resmi</t>
  </si>
  <si>
    <t>Keripik Tempe &amp; Singkong</t>
  </si>
  <si>
    <t>HARYATI</t>
  </si>
  <si>
    <t xml:space="preserve">Ya, komunikasi dan sumber daya manusia (SDM) ebih penting dibanding faktor lainnya. Tanpa komunikasi yang efektif, pelaku usaha tidak memahami kewajiban sertifikasi halal. Sementara itu, tanpa SDM seperti auditor dan LPH yang cukup, proses sertifikasi tidak bisa berjalan lancar. Keduanya menjadi fondasi utama keberhasilan implementasi JPH.
</t>
  </si>
  <si>
    <t>Tentu, berikut parafrase dari pernyataan tersebut:  **Komitmen pemerintah dan dukungan politik** turut menjadi faktor penting dalam keberhasilan implementasi JPH. Tanpa adanya regulasi yang tegas, pendanaan yang memadai, serta sinergi antar lembaga terkait, pelaksanaan JPH tidak akan optimal dan berkelanjutan.</t>
  </si>
  <si>
    <t>vagadol897@rehezb.com</t>
  </si>
  <si>
    <t>GULA AREN BU HARYATI</t>
  </si>
  <si>
    <t>Dadan Ramdani</t>
  </si>
  <si>
    <t>Cirebon</t>
  </si>
  <si>
    <t>struktur birokrasi harusnya dibuat lebih sederhana dan konsisten, biar nggak bikin pelaku usaha bingung. Faktor lain yang menurut saya penting adalah dukungan riset dari kampus-kampus di Jawa Barat. Kalau ada kerjasama dengan akademisi, kita bisa dapat masukan ilmiah yang bikin produk herbal lebih kuat posisinya di pasar sekaligus lebih siap masuk proses halal</t>
  </si>
  <si>
    <t>kalau birokrasi dibuat sederhana dan jelas, pasti UMKM lebih semangat ngurus halal. Soalnya kita nggak harus buang energi buat mikirin aturan yang berubah-ubah. Nah, faktor lain yang juga besar manfaatnya adalah riset dari kampus di Jawa Barat. Kalau ada penelitian soal bahan herbal dan standar halal, UMKM jadi lebih terbantu, nggak jalan sendiri.</t>
  </si>
  <si>
    <t>yang paling penting itu struktur birokrasi dibuat sederhana dan tetap, biar kita punya kepastian. Kalau setiap tahun berubah, ya UMKM jadi kelabakan. Untungnya ada dukungan dari kampus-kampus di Jawa Barat yang sering bikin riset. Itu bisa banget membantu UMKM herbal, karena kita bisa dapet dasar ilmiah buat produk sekaligus dukungan buat lolos uji halal.</t>
  </si>
  <si>
    <t>Herbal &amp; Jamu Tradisional</t>
  </si>
  <si>
    <t>TUMINI</t>
  </si>
  <si>
    <t>Tantangan terbesar ada di komunikasi yang kadang belum jelas, keterbatasan biaya dan tenaga untuk memenuhi semua syarat, sikap pelaku usaha yang masih bingung menyesuaikan aturan baru, serta birokrasi yang terasa rumit dan memakan waktu.</t>
  </si>
  <si>
    <t xml:space="preserve">Ya, menurut saya komunikasi lebih penting karena kalau informasinya jelas sejak awal, pelaku usaha bisa lebih mudah menyiapkan sumber daya dan mengikuti alur birokrasi tanpa banyak kebingungan.
</t>
  </si>
  <si>
    <t>Ada, salah satunya kesadaran dan pemahaman konsumen. Kalau permintaan dari konsumen terhadap produk bersertifikat halal makin tinggi, pelaku usaha juga lebih termotivasi untuk segera menyesuaikan diri.</t>
  </si>
  <si>
    <t>tumini@yogirt.com</t>
  </si>
  <si>
    <t>tempe kedelai</t>
  </si>
  <si>
    <t>GISUS PURWANTO</t>
  </si>
  <si>
    <t>Disposisi yang menganggap remeh urgensi sertifikasi halal, terutama bagi pelaku usaha yang produknya sudah dianggap "halal" secara turun-temurun.</t>
  </si>
  <si>
    <t>fifef53951@cmheia.com</t>
  </si>
  <si>
    <t>GULA MERAH SUMBER REJEKI</t>
  </si>
  <si>
    <t>Alex Hendra Gunawan</t>
  </si>
  <si>
    <t>Jakarta Barat</t>
  </si>
  <si>
    <t>umber daya yang terbatas itu jadi masalah paling besar, terutama dari sisi modal. Banyak ide buat ngembangin usaha, tapi ujung-ujungnya kehalang biaya. Ditambah lagi, SDM yang ngerti soal dokumen halal juga masih jarang, jadi prosesnya bisa melambat. Menurutku modal dan SDM itu fondasi utama. Tapi di sisi lain, pasar Jakarta yang luas bikin kita tetap semangat. Karena kalau produk udah dapat sertifikat halal, peluangnya jauh lebih besar di kota sebesar ini.</t>
  </si>
  <si>
    <t>Modal minim bikin langkah usaha serba terbatas, belum lagi butuh tenaga kerja yang benar-benar paham soal administrasi halal. Jadi, modal dan SDM itu kunci utama kalau mau jalan lancar. Untungnya, pasar Jakarta sangat besar dan potensial. Itu yang bikin saya tetap termotivasi, karena begitu sertifikasi halal beres, kesempatan untuk masuk ke lebih banyak konsumen terbuka lebar</t>
  </si>
  <si>
    <t>Tanpa modal cukup, kita susah banget buat ngembangin usaha. SDM juga penting, soalnya nggak semua orang ngerti urusan teknis dokumen halal. Jadi menurut saya, dua hal ini jadi prioritas utama. Tapi saya nggak putus asa, karena pasar Jakarta luas banget. Permintaan tinggi dari konsumen bikin saya yakin, meskipun proses ribet, urus halal tetap layak dijalani karena potensi hasilnya besar.</t>
  </si>
  <si>
    <t>Minuman Kekinian (Boba, Thai Tea)</t>
  </si>
  <si>
    <t>YULIANA TRISNAWATI</t>
  </si>
  <si>
    <t xml:space="preserve">Ya, komunikasi dan sumber daya manusia (SDM lebih penting dibanding faktor lainnya. Tanpa komunikasi yang efektif, pelaku usaha tidak memahami kewajiban sertifikasi halal. Sementara itu, tanpa SDM seperti auditor dan LPH yang cukup, proses sertifikasi tidak bisa berjalan lancar. Keduanya menjadi fondasi utama keberhasilan implementasi JPH.
</t>
  </si>
  <si>
    <t xml:space="preserve"> Komitmen pemerintah dan dukungan politik turut menjadi faktor penting dalam keberhasilan implementasi JPH. Tanpa adanya regulasi yang tegas, pendanaan yang memadai, serta sinergi antar lembaga terkait, pelaksanaan JPH tidak akan optimal dan berkelanjutan.</t>
  </si>
  <si>
    <t>hewosan430@shanreto.com</t>
  </si>
  <si>
    <t>GULA AREN BU YULIANA</t>
  </si>
  <si>
    <t>Mervina Damayanti</t>
  </si>
  <si>
    <t>Jakarta Timur</t>
  </si>
  <si>
    <t>tantangan besarnya justru ada di penggunaan sistem online untuk urus halal. Banyak UMKM kecil yang belum terbiasa pakai aplikasi atau portal digital, jadi sering bingung sendiri. Menurutku pendampingan digital itu penting banget, biar kita nggak salah input data. Faktor lain yang bantu itu pelatihan singkat, karena dengan simulasi langsung, kita bisa lebih percaya diri saat beneran ngurus</t>
  </si>
  <si>
    <t>saya sih lebih sering pusing karena aturan yang berubah-ubah. Baru aja kita paham regulasi yang lama, tiba-tiba ada aturan baru yang bikin harus adaptasi lagi. Buat UMKM, ini berat banget. Menurutku konsistensi regulasi itu penting biar kita nggak bolak-balik belajar ulang. Faktor lain yang bisa bantu tentu sosialisasi resmi dari pemerintah daerah, biar nggak cuma dengar kabar simpang siur</t>
  </si>
  <si>
    <t>masalah utama itu biaya yang lumayan besar buat urus sertifikat halal. Buat UMKM kecil, biaya tambahan kadang bikin mikir dua kali. Jadi menurutku subsidi atau keringanan biaya dari pemerintah itu penting banget. Faktor lain yang mendukung adalah dukungan komunitas UMKM, karena biasanya dari teman-teman kita bisa dapet info program bantuan atau jalur yang lebih ringan biayanya</t>
  </si>
  <si>
    <t>Roti &amp; Kue Modern</t>
  </si>
  <si>
    <t>JASMAN MUCHSININ</t>
  </si>
  <si>
    <t>Tantangan yang saya hadapi cukup beragam. Dari sisi komunikasi, seringkali informasi tentang aturan dan prosedur JPH tidak tersampaikan dengan jelas, sehingga membuat saya harus mencari tahu sendiri dan kadang membingungkan. Dari segi sumber daya, baik waktu maupun biaya, cukup berat karena usaha kecil seperti saya harus menyeimbangkan kebutuhan operasional dengan tambahan pengeluaran untuk proses sertifikasi. Untuk disposisi, ada rasa khawatir karena tidak semua pelaku usaha punya pemahaman yang sama mengenai pentingnya JPH, jadi kadang ada rasa kurang percaya diri apakah langkah yang saya ambil sudah sesuai atau belum. Sedangkan pada struktur birokrasi, prosesnya masih terbilang panjang dan melewati banyak tahapan, sehingga memerlukan kesabaran ekstra, dan terkadang membuat pengurusan jadi lebih lama dari yang saya bayangkan.</t>
  </si>
  <si>
    <t xml:space="preserve">Menurut saya, faktor komunikasi jauh lebih penting dibandingkan yang lain, karena kalau informasi sejak awal jelas dan mudah dipahami, pelaku usaha jadi tahu apa yang harus disiapkan dan bagaimana langkahnya. Sumber daya juga penting, tapi kalau prosedur dan syaratnya transparan, biasanya saya bisa lebih siap mengatur biaya dan waktu. Disposisi dan birokrasi menurut saya tetap berpengaruh, tapi akan lebih ringan kalau komunikasi antara lembaga terkait dengan pelaku usaha berjalan baik, karena kesalahpahaman bisa diminimalisir dan proses jadi lebih lancar.
</t>
  </si>
  <si>
    <t>menurut saya faktor pendampingan juga sangat berpengaruh. Banyak pelaku usaha kecil seperti saya yang butuh arahan langsung atau bimbingan teknis agar tidak salah langkah, jadi kalau ada pihak yang mendampingi prosesnya akan lebih mudah dijalani. Selain itu, faktor kesadaran konsumen juga penting, karena kalau permintaan terhadap produk bersertifikat halal semakin tinggi, pelaku usaha akan merasa lebih termotivasi untuk mengikuti aturan JPH dengan serius.</t>
  </si>
  <si>
    <t>jasman1893@ceknesia.com</t>
  </si>
  <si>
    <t>Es tungtung barokah</t>
  </si>
  <si>
    <t>KAMALUDIN</t>
  </si>
  <si>
    <t>Ya, ada. Dukungan politik dan komitmen pemerintah** juga sangat berpengaruh. Tanpa kebijakan yang jelas, alokasi anggaran, dan koordinasi antar instansi, implementasi JPH sulit berjalan efektif dan berkelanjutan.</t>
  </si>
  <si>
    <t>fasop41258@deligy.com</t>
  </si>
  <si>
    <t>SALE PISANG PAK KAMALUDIN</t>
  </si>
  <si>
    <t>Fauzan Al Bukhary</t>
  </si>
  <si>
    <t>Produsen Herba</t>
  </si>
  <si>
    <t>Jakarta Utara</t>
  </si>
  <si>
    <t>kendala terbesar ada di SDM. Banyak pelaku UMKM yang belum paham detail administrasi halal, jadi sering bingung pas ngisi dokumen. Jadi menurutku pelatihan dan pendampingan itu yang paling penting. Faktor lain yang sangat mendukung adalah keterlibatan komunitas UMKM, karena kita bisa belajar dari pengalaman sesama pelaku usaha.</t>
  </si>
  <si>
    <t>Kalau saya lebih melihat ke sisi pasar. Sertifikasi halal ini penting banget untuk meningkatkan kepercayaan konsumen. Jadi menurutku akses pasar dan loyalitas pembeli itu yang bikin kita termotivasi ngurus halal. Faktor lain, dukungan dari konsumen sendiri—yang sering nanya soal halal—jadi dorongan kuat biar kita serius urus sertifikat</t>
  </si>
  <si>
    <t>peran pemerintah dan komunitas itu kunci. Pemerintah harus lebih aktif kasih sosialisasi, bukan cuma lewat aturan di atas kertas. Menurutku dukungan lapangan lebih menentukan. Faktor lain yang juga terasa besar adalah komunitas UMKM, karena lewat mereka kita bisa dapet info, pelatihan, bahkan motivasi biar nggak nyerah</t>
  </si>
  <si>
    <t>Herbal &amp; Suplemen</t>
  </si>
  <si>
    <t>MARIYANTI</t>
  </si>
  <si>
    <t>Tantangan terbesar ada pada kurangnya pemahaman yang jelas, terbatasnya biaya dan tenaga, sikap pelaku usaha yang masih ragu, serta birokrasi yang sering lambat dan berbelit.</t>
  </si>
  <si>
    <t xml:space="preserve">Ya, menurut saya komunikasi dan birokrasi lebih penting karena pemahaman yang jelas dan proses yang sederhana sangat menentukan kelancaran dibanding faktor lain.
</t>
  </si>
  <si>
    <t>Ada, salah satunya kesadaran konsumen karena permintaan dari pasar sangat mempengaruhi motivasi pelaku usaha untuk menerapkan JPH.</t>
  </si>
  <si>
    <t>dariro7525@utliz.com</t>
  </si>
  <si>
    <t>Minuman tradisional Mariyanti</t>
  </si>
  <si>
    <t>M. Kafi Zulkifli</t>
  </si>
  <si>
    <t>Produsen Herbal Rumahan</t>
  </si>
  <si>
    <t>Aceh Tengah</t>
  </si>
  <si>
    <t>Birokrasi memang panjang banget, tahapannya berlapis-lapis sampai kadang bikin patah semangat. Menurut saya, struktur birokrasi itu faktor paling dominan, karena kalau alurnya jelas, kita bisa hemat tenaga dan waktu. Tapi ada hal lain yang juga bikin berat: regulasi yang sering berubah. UMKM kecil kayak kami jadi susah ngikutin, karena setiap kali mau paham aturan lama, sudah keluar aturan baru. Jadi kita butuh konsistensi aturan biar nggak bolak-balik adaptasi.</t>
  </si>
  <si>
    <t>Ngurus dokumen halal itu berasa maraton, panjang banget jalurnya. Kadang niat udah besar, tapi semangat turun karena ribetnya tahap demi tahap. Struktur birokrasi menurut saya harusnya dibikin lebih sederhana, biar pelaku usaha nggak kebingungan. Selain itu, regulasi juga sering berubah-ubah. Itu bikin UMKM kecil seperti kami kesulitan, karena harus belajar ulang setiap ada aturan baru. Padahal kemampuan kita terbatas, jadi kepastian regulasi itu penting banget.</t>
  </si>
  <si>
    <t>Jujur, birokrasi yang panjang sering bikin mental jatuh. Dari satu meja ke meja lain, syaratnya banyak dan bikin ribet. Menurut saya, struktur birokrasi itu yang paling dominan dan harus dibenahi. Tapi nggak cuma itu, regulasi yang sering berubah juga jadi tantangan besar. UMKM kecil kayak kami udah sibuk ngurus produksi, masih harus bolak-balik adaptasi dengan aturan baru. Jadinya kita kewalahan, dan malah bisa bikin proses halal jadi makin lama</t>
  </si>
  <si>
    <t>Obat Herbal Aceh</t>
  </si>
  <si>
    <t>RUDINI ISMA ZUHRIYANTI</t>
  </si>
  <si>
    <t>Tantangan yang saya hadapi cukup beragam. Dari sisi komunikasi, sering kali informasi tentang aturan dan prosedur JPH tidak sampai dengan jelas ke pelaku usaha kecil seperti saya, sehingga menimbulkan kebingungan saat harus melengkapi dokumen atau memahami alurnya. Dari sisi sumber daya, keterbatasan modal dan tenaga kerja membuat saya sulit menyiapkan semua persyaratan yang dibutuhkan, apalagi jika harus ada biaya tambahan untuk sertifikasi. Dari sisi disposisi, masih ada rasa ragu dan khawatir apakah proses yang saya jalani akan benar-benar lancar, karena pengalaman beberapa teman usaha kadang berbeda-beda. Sementara dari struktur birokrasi, alurnya terasa panjang dengan banyak tahap yang harus dilalui, sehingga memakan waktu dan kadang membuat usaha kecil seperti saya merasa tertinggal dibandingkan dengan usaha besar yang punya akses lebih mudah.</t>
  </si>
  <si>
    <t xml:space="preserve">Iya, menurut saya faktor komunikasi dan struktur birokrasi lebih berpengaruh dibandingkan yang lain. Kalau informasi yang diberikan jelas, mudah dipahami, dan bisa diakses oleh semua pelaku usaha, maka prosesnya jadi lebih ringan meskipun ada keterbatasan sumber daya. Namun jika komunikasi tidak lancar dan birokrasi terlalu rumit, pelaku usaha kecil akan kesulitan mengikuti langkah-langkahnya, sehingga waktu dan biaya yang keluar lebih besar. Struktur birokrasi yang panjang juga sering membuat semangat jadi turun, jadi menurut saya penyederhanaan alur dan kejelasan informasi jauh lebih menentukan keberhasilan implementasi JPH.
</t>
  </si>
  <si>
    <t>Ya, ada faktor budaya dan edukasi pelaku usaha yang juga penting. Banyak pelaku usaha kecil belum terbiasa dengan standar dan prosedur JPH, jadi meskipun aturan jelas, penerapannya bisa lambat karena kurangnya pemahaman atau kesadaran akan pentingnya sertifikasi halal. Dukungan dari komunitas usaha, pelatihan, dan pendampingan juga sangat membantu, karena memberikan contoh praktik langsung dan motivasi agar usaha mengikuti standar dengan benar. Jadi selain komunikasi, sumber daya, disposisi, dan birokrasi, edukasi dan budaya usaha juga sangat mempengaruhi keberhasilan implementasi JPH.</t>
  </si>
  <si>
    <t>rudini@yogirt.com</t>
  </si>
  <si>
    <t>Diandrina Nur Aini</t>
  </si>
  <si>
    <t>Pemilik Toko Kue</t>
  </si>
  <si>
    <t>Bukittinggi</t>
  </si>
  <si>
    <t>tantangan terbesarnya ada di biaya sertifikasi halal. Buat UMKM kecil, biaya tambahan ini lumayan berat, kadang bikin mikir dua kali buat ngurus. Menurutku bantuan subsidi atau keringanan dari pemerintah itu penting banget biar semua pelaku usaha bisa merasakan manfaat sertifikat halal. Faktor lain yang juga membantu adalah adanya program pembiayaan khusus untuk UMKM halal, jadi kita nggak terbebani sendirian</t>
  </si>
  <si>
    <t>Sekarang banyak proses sertifikasi halal pakai sistem online. Buat sebagian UMKM, ini jadi kendala karena nggak semua orang terbiasa dengan teknologi. Menurut saya, pendampingan digital harus diperkuat, biar kita nggak salah input data atau gagal upload dokumen. Faktor lain yang bisa bantu adalah aplikasi halal yang lebih simpel dan ramah pengguna, supaya UMKM bisa akses lebih mudah</t>
  </si>
  <si>
    <t>motivasi terbesar ngurus halal itu datang dari konsumen. Banyak pembeli yang sekarang lebih peduli sama label halal, jadi kalau produk kita belum punya, rasanya kurang dipercaya. Jadi menurutku akses pasar dan kepercayaan konsumen itu faktor penting. Faktor lain yang juga besar pengaruhnya adalah promosi dari pemerintah daerah untuk produk halal, biar makin banyak konsumen kenal dan yakin sama produk UMKM</t>
  </si>
  <si>
    <t>Kue Basah Minang</t>
  </si>
  <si>
    <t>MUHAMMAD ARIEF RAHMAN HAKIM</t>
  </si>
  <si>
    <t>Tantangan terbesar dalam implementasi JPH di Indonesia mencakup kurangnya sosialisasi (komunikasi), terbatasnya auditor dan LPH (sumber daya), rendahnya kesadaran pelaku usaha (disposisi), serta lemahnya koordinasi antar lembaga (struktur birokrasi). Keempatnya saling berkaitan dan menghambat proses sertifikasi halal secara efektif.</t>
  </si>
  <si>
    <t xml:space="preserve">Ya, Komunikasi dan SDM paling penting karena tanpa keduanya, pelaku usaha sulit memahami dan menjalankan proses sertifikasi halal secara efektif.
</t>
  </si>
  <si>
    <t>Ya, faktor lain yang juga berpengaruh adalah dukungan politik dan komitmen pemerintah. Tanpa regulasi yang kuat, pendanaan yang cukup, dan koordinasi antar instansi, implementasi JPH tidak akan berjalan optimal dan berkelanjutan.</t>
  </si>
  <si>
    <t>jekajob325@agafx.com</t>
  </si>
  <si>
    <t>SALE PISANG PAK M ARIEF R H</t>
  </si>
  <si>
    <t>Melvianus Andri Syahputra</t>
  </si>
  <si>
    <t>Produsen Kerupuk</t>
  </si>
  <si>
    <t>Payakumbuh</t>
  </si>
  <si>
    <t>Birokrasi panjang banget, jadi faktor utama yang bikin lambat</t>
  </si>
  <si>
    <t xml:space="preserve">Struktur birokrasi jelas paling penting. </t>
  </si>
  <si>
    <t>Regulasi sering berubah bikin makin bingung.</t>
  </si>
  <si>
    <t>Kerupuk Sanjai</t>
  </si>
  <si>
    <t>Tantangan internal BPJPH dalam membangun sistem dan budaya kerja yang efisien untuk melayani jutaan pelaku usaha.</t>
  </si>
  <si>
    <t>Sinta Lesty Sulastri</t>
  </si>
  <si>
    <t>Agam</t>
  </si>
  <si>
    <t>tantangan besarnya ada di sumber daya manusia. Banyak pelaku UMKM yang belum paham teknis administrasi halal, jadi sering bingung sendiri pas ngurus dokumen. Makanya, SDM yang terlatih itu penting banget. Faktor lain yang bisa bantu adalah adanya pendampingan khusus dari lembaga halal atau komunitas UMKM, biar kita nggak merasa jalan sendiri.</t>
  </si>
  <si>
    <t>Buat UMKM kecil, masalah utama ada di biaya sertifikasi halal. Prosesnya panjang dan butuh dana ekstra, kadang bikin kita mikir dua kali. Jadi menurut saya, keringanan biaya atau subsidi itu kunci biar lebih banyak UMKM mau ngurus halal. Faktor lain yang penting adalah program bantuan modal dari pemerintah atau bank, supaya beban biaya bisa lebih ringan</t>
  </si>
  <si>
    <t>Proses halal sekarang banyak lewat sistem online. Buat sebagian UMKM yang kurang melek teknologi, ini jadi masalah baru. Jadi menurut saya, pendampingan digital dan aplikasi yang lebih gampang dipakai itu penting banget. Faktor lain? Adanya pelatihan teknis soal cara pakai sistem online, biar UMKM bisa lebih percaya diri ngurus halal tanpa takut salah</t>
  </si>
  <si>
    <t>Gulai Itiak Lado Mudo</t>
  </si>
  <si>
    <t>SAMINO</t>
  </si>
  <si>
    <t>Tantangan terbesar bagi saya adalah komunikasi dan birokrasi, karena kadang informasi aturan sulit dipahami dan proses perizinan memakan waktu.</t>
  </si>
  <si>
    <t xml:space="preserve">Ya, menurut saya faktor kesadaran konsumen dan penyediaan bahan halal lebih penting, karena konsumen baru mau memilih produk halal jika tersedia dan informasinya jelas.
</t>
  </si>
  <si>
    <t>Ya, faktor kesadaran dan edukasi konsumen serta dukungan dari komunitas atau jaringan usaha juga sangat mempengaruhi keberhasilan implementasi JPH.</t>
  </si>
  <si>
    <t>samino@yogirt.com</t>
  </si>
  <si>
    <t>NASI GORENG</t>
  </si>
  <si>
    <t>Daffa Ilham</t>
  </si>
  <si>
    <t>Pengusaha Olahan Ikan</t>
  </si>
  <si>
    <t>Tanah Datar</t>
  </si>
  <si>
    <t>Kalau di usaha olahan ikan, tantangan terbesar itu ketersediaan bahan baku. Kadang pas musim paceklik, ikan bilih susah didapat, jadi produksi jadi nggak stabil. Menurutku ini penting banget, karena tanpa bahan baku kita nggak bisa jalan. Faktor lain yang bisa membantu itu adanya dukungan koperasi nelayan atau kerjasama dengan kelompok penangkap ikan, biar suplai bahan baku lebih terjamin</t>
  </si>
  <si>
    <t>masalah paling besar ada di pemasaran. Produk olahan ikan bilih sebenarnya banyak peminatnya, tapi promosi masih terbatas. Jadi menurutku strategi pemasaran yang lebih luas itu kunci, apalagi lewat platform digital. Faktor lain yang juga bisa bantu adalah dukungan pemerintah buat ikut pameran atau bazar UMKM, supaya produk kita makin dikenal orang</t>
  </si>
  <si>
    <t>Selain produksi, yang bikin ribet itu urusan perizinan. Prosesnya panjang, syaratnya banyak, bikin usaha kecil kayak saya jadi sering ketunda. Menurut saya, kalau perizinan lebih simpel, UMKM pasti lebih semangat ngurus halal. Faktor lain yang penting juga adalah sosialisasi dari petugas, biar kita lebih ngerti langkah-langkahnya</t>
  </si>
  <si>
    <t>Ikan Bilih Olahan</t>
  </si>
  <si>
    <t>Syarifah Murniati</t>
  </si>
  <si>
    <t>Pemilik Roti Tradisional</t>
  </si>
  <si>
    <t>Pariaman</t>
  </si>
  <si>
    <t>Untuk UMKM kecil kayak saya, biaya sertifikasi halal lumayan besar, jadi kadang bikin mikir dua kali. Menurutku kalau ada keringanan biaya atau subsidi dari pemerintah, pasti lebih banyak UMKM yang mau ngurus halal. Faktor lain yang bisa bantu adalah info soal program bantuan gratis atau diskon sertifikasi halal, biar kita nggak merasa terbebani sendiri.</t>
  </si>
  <si>
    <t>Banyak pelaku UMKM, termasuk saya, belum paham detail dokumen apa aja yang harus disiapkan. Akhirnya sering bolak-balik karena ada yang kurang. Menurut saya, pendampingan atau pelatihan singkat khusus roti tradisional sangat penting. Faktor lain yang bisa membantu juga adalah contoh dokumen sederhana dari pihak berwenang, jadi kita nggak bingung mulai dari mana</t>
  </si>
  <si>
    <t>sertifikasi halal itu penting, tapi prosesnya panjang banget. Sebagai UMKM kecil, waktu kita terbagi untuk produksi, jualan, dan urus rumah tangga. Jadi sering kewalahan kalau harus ngurus halal yang tahapannya banyak. Menurutku, penyederhanaan alur sertifikasi halal itu yang paling dibutuhkan. Faktor lain yang bisa bantu adalah adanya layanan jemput bola dari pemerintah, misalnya petugas datang langsung ke sentra UMKM.</t>
  </si>
  <si>
    <t>Roti Randang &amp; roti manis</t>
  </si>
  <si>
    <t>NANIK HARNINGSIH</t>
  </si>
  <si>
    <t>Ya, ada beberapa faktor yang menurut saya lebih penting, terutama terkait pemahaman dan ketersediaan bahan yang sesuai standar JPH. Sebagai pelaku usaha makanan, memastikan semua bahan halal dan proses produksinya sesuai ketentuan membuat konsumen lebih percaya. Selain itu, edukasi tentang JPH bagi staf dan pemasok juga sangat penting agar implementasinya konsisten. Faktor biaya dan kemudahan akses sertifikasi juga memengaruhi, karena jika prosesnya terlalu rumit atau mahal, UMKM bisa kesulitan memenuhinya. Jadi, fokus utama bagi kami adalah pemahaman, ketersediaan bahan halal, dan prosedur yang jelas.</t>
  </si>
  <si>
    <t xml:space="preserve">Ya, menurut saya ada faktor yang lebih penting, terutama pemahaman tentang standar halal dan ketersediaan bahan yang sesuai. Tanpa pemahaman yang jelas, proses produksi bisa salah dan konsumen kehilangan kepercayaan. Selain itu, akses ke sertifikasi halal yang mudah dan terjangkau juga krusial, karena banyak UMKM kesulitan jika prosedurnya rumit atau mahal. Edukasi bagi staf dan pemasok juga penting agar semua tahap produksi konsisten mengikuti JPH. Jadi, fokus utama adalah pemahaman, bahan halal, dan prosedur yang jelas serta terjangkau.
</t>
  </si>
  <si>
    <t>Ya, saya rasa budaya dan kesadaran konsumen juga mempengaruhi. Kalau konsumen semakin peduli produk halal, pelaku usaha jadi lebih termotivasi untuk menerapkan JPH. Selain itu, dukungan dari komunitas atau asosiasi UMKM juga membantu, misalnya berbagi pengalaman atau sumber daya untuk mempermudah sertifikasi. Faktor teknologi, seperti sistem pencatatan bahan dan proses produksi digital, juga bisa mempermudah implementasi JPH.</t>
  </si>
  <si>
    <t>nanik123@yogirt.com</t>
  </si>
  <si>
    <t>Efri Syafrial</t>
  </si>
  <si>
    <t>Pengusaha Durian</t>
  </si>
  <si>
    <t>Lima Puluh Kota</t>
  </si>
  <si>
    <t>Kalau di olahan durian, masalahnya ada di bahan tambahan. Kadang kita pakai campuran seperti susu, cokelat, atau tepung yang harus jelas status halalnya. Jadi menurutku sertifikasi halal penting banget biar konsumen yakin. Tantangannya, kita harus teliti banget cari bahan yang sudah bersertifikat halal. Faktor lain yang bisa membantu itu adanya database bahan halal yang gampang diakses UMKM.</t>
  </si>
  <si>
    <t>Durian segar mungkin jelas halal, tapi kalau sudah jadi olahan kayak pancake durian, es krim, atau dodol durian, proses produksinya jadi lebih rumit. Harus pastikan semua alat dan bahan pendukung halal. Menurutku pendampingan teknis dari lembaga halal itu penting banget. Faktor lain, adanya pelatihan khusus buat produk olahan buah bisa bikin kita lebih siap.</t>
  </si>
  <si>
    <t>sertifikat halal itu bukan cuma soal dokumen, tapi juga kunci pemasaran. Banyak konsumen, terutama di luar daerah, yang lebih percaya kalau produk olahan durian ada label halalnya. Tantangannya, proses dapat label itu panjang. Jadi menurutku alur sertifikasi harus dipermudah. Faktor lain yang membantu adalah promosi dari pemerintah untuk produk UMKM halal, supaya lebih mudah masuk pasar modern</t>
  </si>
  <si>
    <t>Durian &amp; olahan durian</t>
  </si>
  <si>
    <t>ROSANA</t>
  </si>
  <si>
    <t>sampang</t>
  </si>
  <si>
    <t>rosanaana102@gmail.com</t>
  </si>
  <si>
    <t>kedai mama rose</t>
  </si>
  <si>
    <t>Mirna Yuniarti</t>
  </si>
  <si>
    <t>Solok Selatan</t>
  </si>
  <si>
    <t>Kalau di usaha obat herbal, masalah utama ada di bahan baku. Nggak semua pemasok kasih jaminan halal untuk ekstrak tanaman atau bahan tambahan kayak kapsul. Jadi kita sering ragu, padahal konsumen sekarang makin peduli. Menurutku sertifikasi halal di bahan baku itu penting banget. Faktor lain yang bisa bantu adalah kerjasama dengan kampus atau laboratorium buat uji bahan, biar UMKM herbal lebih percaya diri pas ngurus halal</t>
  </si>
  <si>
    <t>Produksi obat herbal Minang biasanya masih tradisional, kadang belum ada standarisasi yang rapi. Nah, pas masuk ke sertifikasi halal, itu jadi tantangan karena banyak hal teknis yang harus dipenuhi. Menurut saya, pendampingan teknis khusus untuk UMKM herbal sangat dibutuhkan. Faktor lain yang bisa bantu adalah pelatihan soal standar produksi halal, biar usaha kecil kayak kami bisa menyesuaikan dari awal</t>
  </si>
  <si>
    <t>biaya sertifikasi halal itu lumayan memberatkan. Ditambah lagi prosesnya panjang, jadi kadang bikin patah semangat. Menurut saya, kalau ada subsidi khusus untuk produk herbal tradisional, itu bakal sangat membantu. Faktor lain yang penting juga adalah layanan cepat atau jalur khusus untuk UMKM kecil, jadi kita nggak harus buang waktu terlalu banyak hanya buat urus administrasi</t>
  </si>
  <si>
    <t>Obat Herbal Minang</t>
  </si>
  <si>
    <t>ENDANG SUGIYANTI</t>
  </si>
  <si>
    <t>Tantangan terbesar biasanya ada pada birokrasi dan akses informasi, karena proses sertifikasi lama dan kadang sulit dipahami, sementara sumber daya terbatas untuk menyesuaikan produk.</t>
  </si>
  <si>
    <t xml:space="preserve">Ya, menurut saya faktor edukasi konsumen dan ketersediaan bahan bersertifikat halal lebih penting, karena tanpa pemahaman konsumen dan akses bahan halal, implementasi JPH tidak akan efektif.
</t>
  </si>
  <si>
    <t>Ya, faktor budaya dan kebiasaan konsumsi juga mempengaruhi, karena konsumen lebih mudah menerima produk halal jika sudah sesuai dengan pola makan dan kepercayaan mereka.</t>
  </si>
  <si>
    <t>dagira1@laconciergerie247.com</t>
  </si>
  <si>
    <t>BUBUR SUMSUM BU ENDANG</t>
  </si>
  <si>
    <t>Marlina Hasibuan</t>
  </si>
  <si>
    <t>Padangsidimpuan</t>
  </si>
  <si>
    <t>Kalau di toko kue, tantangan paling besar itu di bahan tambahan. Ada butter, pewarna, keju, atau perisa yang kadang kita nggak tahu status halalnya. Jadi menurutku sertifikasi halal penting banget, biar konsumen yakin. Faktor lain yang bisa bantu adalah adanya daftar bahan baku halal yang gampang diakses, jadi kita nggak perlu bingung tiap kali mau belanja bahan</t>
  </si>
  <si>
    <t>Bikin kue itu pakai banyak alat dan kadang produksi bareng dengan produk lain. Nah, pas urus halal, semua proses ini harus jelas sesuai standar. Itu lumayan ribet buat UMKM kecil kayak saya. Jadi menurutku pendampingan teknis sertifikasi halal untuk usaha bakery penting banget.</t>
  </si>
  <si>
    <t>iaya sertifikasi halal, lumayan terasa berat buat toko kue skala kecil. Padahal label halal ini penting banget buat ningkatin kepercayaan pembeli. Jadi menurut saya subsidi atau potongan biaya itu solusi utama. Faktor lain yang juga bisa bantu adalah dukungan pemerintah untuk promosi produk UMKM yang sudah halal, biar toko kue bisa lebih mudah bersaing dengan brand besar.</t>
  </si>
  <si>
    <t>Bolu Gulung &amp; kue kering</t>
  </si>
  <si>
    <t>ARTIMI</t>
  </si>
  <si>
    <t>probolinggo</t>
  </si>
  <si>
    <t>artimitempuran@gmail.com</t>
  </si>
  <si>
    <t>kedai mak timi</t>
  </si>
  <si>
    <t>ERWIN</t>
  </si>
  <si>
    <t>Tantangan utama dalam pelaksanaan JPH di Indonesia mencakup minimnya penyuluhan yang menyeluruh (komunikasi), keterbatasan jumlah auditor dan LPH (sumber daya), kurangnya kepedulian dan pemahaman pelaku usaha (disposisi), serta belum maksimalnya sinergi antar lembaga terkait (struktur birokrasi). Keempat faktor ini saling memengaruhi dan menjadi hambatan dalam memperlancar proses sertifikasi halal, khususnya bagi usaha kecil dan wilayah yang sulit dijangkau.</t>
  </si>
  <si>
    <t>Ya, komunikasi dan sumber daya manusia (SDM) merupakan faktor yang paling krusial dalam implementasi JPH di Indonesia. Tanpa komunikasi yang jelas, pelaku usaha tidak memahami kewajiban dan prosedur sertifikasi halal. Sementara itu, tanpa SDM yang memadai seperti auditor halal dan petugas LPH, proses sertifikasi tidak dapat berjalan lancar. Kedua faktor ini menjadi dasar utama agar pelaksanaan JPH dapat diterima, dijalankan, dan diawasi secara efektif.</t>
  </si>
  <si>
    <t>Ya, faktor lain yang juga berpengaruh adalah dukungan politik dan komitmen pemerintah. Tanpa regulasi yang kuat, pendanaan yang cukup, dan koordinasi antar instansi, implementasi JPH tidak akan berjalan optimal dan berkelanjutan</t>
  </si>
  <si>
    <t>aimatte@hellsmoney.com</t>
  </si>
  <si>
    <t>PEPES IKAN ERWIN</t>
  </si>
  <si>
    <t>Tantangan terbesar biasanya ada pada komunikasi dan sumber daya. Banyak informasi tentang JPH yang belum tersampaikan dengan jelas ke pelaku usaha kecil, sehingga kadang bingung harus mulai dari mana. Dari sisi sumber daya, biaya dan waktu untuk sertifikasi bisa menjadi beban, apalagi bagi UMKM. Disposisi atau sikap internal juga penting; jika tim atau pemilik kurang percaya diri atau tidak terlalu peduli soal halal, implementasinya jadi lambat. Terakhir, struktur birokrasi kadang rumit dan memakan waktu, membuat proses sertifikasi terasa berat dan membingungkan. Semua ini saling terkait dan perlu perhatian agar JPH bisa dijalankan dengan lancar.</t>
  </si>
  <si>
    <t xml:space="preserve">Ya, menurut saya ada beberapa faktor yang lebih penting dalam implementasi JPH di Indonesia. Pertama, pemahaman dan kesadaran pelaku usaha tentang standar halal sangat krusial, karena tanpa pemahaman yang baik, penerapan JPH bisa tidak konsisten. Kedua, ketersediaan bahan baku yang sudah bersertifikat halal juga menentukan kelancaran proses, karena jika sulit diperoleh, pelaku usaha akan kesulitan memenuhi standar. Selain itu, dukungan regulasi dan kemudahan prosedur sertifikasi dari pemerintah sangat mempengaruhi implementasi, terutama bagi UMKM yang sumber dayanya terbatas. Faktor pendidikan konsumen juga penting, karena permintaan terhadap produk halal yang jelas akan mendorong pelaku usaha lebih serius menjalankan JPH. Semua faktor ini saling berkaitan, dan perhatian lebih pada faktor-faktor tersebut bisa mempercepat dan mempermudah implementasi JPH secara efektif.
</t>
  </si>
  <si>
    <t>Ya, saya rasa faktor budaya dan kebiasaan konsumen juga mempengaruhi. Jika masyarakat sudah terbiasa memilih produk halal dan menuntut transparansi, pelaku usaha lebih termotivasi untuk menerapkan JPH. Selain itu, akses terhadap pelatihan atau informasi teknis tentang halal juga penting, karena tanpa pengetahuan yang cukup, implementasi bisa salah atau setengah jalan. Dukungan dari jaringan usaha atau komunitas UMKM yang saling berbagi pengalaman juga sangat membantu agar proses lebih mudah dan efektif.</t>
  </si>
  <si>
    <t>marsini@awgarstone.com</t>
  </si>
  <si>
    <t>PEYEK</t>
  </si>
  <si>
    <t>Jayadi Hutapea</t>
  </si>
  <si>
    <t>Produsen Kopi Sidikalang</t>
  </si>
  <si>
    <t>Dairi</t>
  </si>
  <si>
    <t xml:space="preserve">Birokrasi ribet banget, kayak nggak ada ujungnya. </t>
  </si>
  <si>
    <t>struktur birokrasi jelas paling dominan</t>
  </si>
  <si>
    <t>regulasi sering berubah-ubah, bikin bingung.</t>
  </si>
  <si>
    <t>Kopi Sidikalang</t>
  </si>
  <si>
    <t>RUWANTO</t>
  </si>
  <si>
    <t>Kurangnya kesadaran masyarakat akan pentingnya memilih produk bersertifikat halal, yang seharusnya bisa mendorong pelaku usaha untuk mengurusnya.</t>
  </si>
  <si>
    <t>temal55589@qtsaver.com</t>
  </si>
  <si>
    <t xml:space="preserve">TAHU CAMPUR </t>
  </si>
  <si>
    <t>RATIH PURWATI</t>
  </si>
  <si>
    <t>Tantangan utama dalam pelaksanaan JPH di Indonesia mencakup minimnya penyuluhan yang menyeluruh (komunikasi), keterbatasan jumlah auditor dan LPH (sumber daya), kurangnya kepedulian dan pemahaman pelaku usaha (disposisi), serta belum maksimalnya sinergi antar lembaga terkait (struktur birokrasi). Keempat faktor ini saling memengaruhi dan menjadi hambatan dalam memperlancar proses sertifikasi halal, khususnya bagi usaha kecil dan wilayah yang sulit dijangkau</t>
  </si>
  <si>
    <t>botob13595@nweal.com</t>
  </si>
  <si>
    <t>ENDOG LEWO BU RTAIH</t>
  </si>
  <si>
    <t>Novi Novella Lubis</t>
  </si>
  <si>
    <t>Kalau warung makan, tantangan paling besar ada di bahan baku. Kadang daging, bumbu, atau minyak goreng dari supplier nggak jelas status halalnya. Kita jadi was-was, apalagi konsumen sekarang makin peduli. Jadi menurut saya sertifikasi halal dari rantai pasok itu penting banget. Faktor lain yang bisa bantu adalah pengawasan dan pendataan supplier halal yang jelas, biar kita lebih tenang</t>
  </si>
  <si>
    <t>Masak di warung itu kan rame, banyak menu sekaligus. Nah, waktu ngurus halal, semua proses harus sesuai standar, mulai dari alat masak sampai kebersihan dapur. Itu lumayan ribet kalau nggak ada arahan. Menurutku, pendampingan teknis soal dapur halal itu penting banget buat warung kecil kayak saya. Faktor lain yang bisa bantu adalah pelatihan langsung di lapangan, bukan cuma teori.</t>
  </si>
  <si>
    <t>Urus halal itu biayanya lumayan, jadi buat warung kecil suka mikir-mikir dulu. Padahal kalau ada label halal, konsumen lebih percaya dan warung juga lebih rame. Jadi menurut saya subsidi atau keringanan biaya sertifikasi halal harus diperbanyak. Faktor lain yang penting juga adalah promosi dari pemerintah untuk warung makan halal, biar kita bisa bersaing sama restoran besar</t>
  </si>
  <si>
    <t>Soto Medan &amp; nasi lemak</t>
  </si>
  <si>
    <t>JUWARIAH</t>
  </si>
  <si>
    <t>Kurangnya data akurat mengenai jumlah dan jenis UMKM yang perlu disertifikasi menjadi tantangan dalam perencanaan dan alokasi sumber daya.</t>
  </si>
  <si>
    <t>juwariah@yogirt.com</t>
  </si>
  <si>
    <t>TEMPE KEDELAI BU JUWARIAH</t>
  </si>
  <si>
    <t>IRINE KHARISMA PUTRI</t>
  </si>
  <si>
    <t>malang</t>
  </si>
  <si>
    <t>putriirine21@gmail.com</t>
  </si>
  <si>
    <t>susu kedelai</t>
  </si>
  <si>
    <t>Zen Arifin Nasution</t>
  </si>
  <si>
    <t>Labuhan Batu</t>
  </si>
  <si>
    <t>Sumber daya jadi kendala, apalagi soal biaya</t>
  </si>
  <si>
    <t xml:space="preserve">sumber daya itu paling utama. </t>
  </si>
  <si>
    <t>Permintaan pasar luar daerah bikin kita makin semangat</t>
  </si>
  <si>
    <t>Keripik Ubi &amp; Pisang</t>
  </si>
  <si>
    <t>Mariance Br Sinaga</t>
  </si>
  <si>
    <t>Simalungun</t>
  </si>
  <si>
    <t>masalahnya sering ada di bahan tambahan. Misalnya margarin, cokelat, atau pewarna makanan, kadang kita nggak yakin status halalnya. Jadi sertifikasi halal itu penting banget biar pembeli lebih percaya. Faktor lain yang bisa bantu adalah adanya daftar bahan tambahan yang sudah bersertifikat halal, jadi kita tinggal pilih tanpa bingung</t>
  </si>
  <si>
    <t>waktu urus halal, semua proses harus sesuai standar, mulai dari alat, kebersihan, sampai cara penyimpanan. Itu cukup ribet buat skala usaha kecil. Menurut saya pendampingan teknis sertifikasi halal buat usaha bakery rumahan itu sangat penting</t>
  </si>
  <si>
    <t>subsidi atau potongan biaya sangat dibutuhkan. Faktor lain yang bisa bantu adalah promosi khusus dari pemerintah daerah untuk UMKM roti tradisional halal, biar produk kita lebih dikenal dan laku</t>
  </si>
  <si>
    <t>Roti Ketawa &amp; Roti Manis</t>
  </si>
  <si>
    <t>SAFRUDIN</t>
  </si>
  <si>
    <t>Tantangan terbesar bagi saya adalah birokrasi yang panjang dan komunikasi yang kadang kurang jelas, sehingga proses sertifikasi dan penerapan JPH terasa lambat dan membingungkan.</t>
  </si>
  <si>
    <t xml:space="preserve">Ya, menurut saya faktor sertifikasi halal dan pemahaman konsumen paling penting karena langsung memengaruhi kepercayaan dan pilihan konsumen.
</t>
  </si>
  <si>
    <t>Ya, faktor edukasi konsumen dan kesadaran pelaku usaha tentang pentingnya halal juga sangat mempengaruhi keberhasilan implementasi JPH.</t>
  </si>
  <si>
    <t>dakop44490@cmheia.com</t>
  </si>
  <si>
    <t>SIOMAY SAMBAL KACANG OM SAFRUDIN</t>
  </si>
  <si>
    <t>Paundra Sitohang</t>
  </si>
  <si>
    <t>Langkat</t>
  </si>
  <si>
    <t>Kalau durian segar mungkin jelas halal, tapi begitu jadi olahan kayak pancake, es krim, atau dodol durian, tantangannya beda. Kita harus pastikan semua bahan tambahan halal, mulai dari susu sampai perisa. Jadi menurut saya, sertifikasi halal itu penting banget buat jaminan ke konsumen. Faktor lain yang bisa bantu adalah adanya panduan khusus untuk produk olahan buah, biar kita nggak salah langkah</t>
  </si>
  <si>
    <t>Buat usaha kecil, biaya ini lumayan berat, apalagi kalau prosesnya lama. Menurutku, kalau ada keringanan biaya atau jalur cepat buat UMKM, pasti lebih semangat ngurus halal. Faktor lain yang juga penting adalah dukungan pemerintah daerah untuk promosikan produk UMKM halal, biar konsumen lebih mudah kenal produk kita</t>
  </si>
  <si>
    <t>label halal itu bukan cuma formalitas, tapi juga senjata pemasaran. Konsumen lebih percaya kalau produk durian olahan ada logo halalnya. Tantangannya, proses dapat label itu panjang dan melelahkan. Jadi menurutku struktur birokrasi harus lebih jelas dan simpel. Faktor lain yang bisa bantu adalah program promosi bersama untuk produk halal, biar UMKM lebih mudah masuk pasar modern.</t>
  </si>
  <si>
    <t>Durian Medan &amp; olahan</t>
  </si>
  <si>
    <t>DESI ARISMAWATI</t>
  </si>
  <si>
    <t>KOTA SEMARANG</t>
  </si>
  <si>
    <t>Tantangan terbesar bagi saya adalah birokrasi yang rumit dan kurangnya informasi yang jelas, sehingga proses sertifikasi terasa lambat dan membingungkan.</t>
  </si>
  <si>
    <t xml:space="preserve">Ya, faktor paling penting menurut saya adalah pemahaman tentang sertifikasi halal dan edukasi konsumen, karena tanpa itu produk sulit diterima dan dipercaya oleh masyarakat.
</t>
  </si>
  <si>
    <t>vYa, dukungan dari jaringan pemasok dan mitra usaha juga penting, karena kalau mereka belum memenuhi standar halal, sulit bagi usaha kita untuk konsisten menjaga produk halal.</t>
  </si>
  <si>
    <t>jenseyvancauwenberg@giayhieucu.com</t>
  </si>
  <si>
    <t>KUE SUS</t>
  </si>
  <si>
    <t>Serenita Br Manalu</t>
  </si>
  <si>
    <t>Humbang Hasundutan</t>
  </si>
  <si>
    <t>Kalau di usaha herbal Batak, bahan baku kadang jadi tantangan. Ada tanaman yang diolah dengan cara tradisional, tapi campuran kapsul atau pengawetnya belum tentu jelas status halalnya. Jadi sertifikasi halal itu penting banget biar konsumen percaya</t>
  </si>
  <si>
    <t>Banyak obat herbal Batak masih diproduksi secara tradisional, jadi pas masuk sertifikasi halal sering keteteran karena harus ikut standar produksi modern. Menurutku pendampingan teknis buat menyesuaikan cara produksi itu penting banget</t>
  </si>
  <si>
    <t>biaya sertifikasi halal yang cukup tinggi buat skala kecil. Padahal, sertifikat halal ini bisa jadi nilai jual tambahan. Jadi menurutku subsidi atau keringanan biaya itu solusi utama. Faktor lain, edukasi ke konsumen juga penting, biar mereka ngerti bahwa obat herbal tradisional juga bisa bersertifikat halal, sehingga makin banyak yang percaya produk lokal.</t>
  </si>
  <si>
    <t>Obat Herbal Batak</t>
  </si>
  <si>
    <t>RIKA AYU PRASETYANINGSIH</t>
  </si>
  <si>
    <t>Tantangan terbesar dalam komunikasi adalah menyatukan pemahaman antara regulator, pelaku usaha, dan masyarakat tentang definisi dan makna "produk halal."</t>
  </si>
  <si>
    <t>rikaayuprasetyaningsih@awgarstone.com</t>
  </si>
  <si>
    <t xml:space="preserve">ES BUAH </t>
  </si>
  <si>
    <t>DIYAH AYU WULANDARI</t>
  </si>
  <si>
    <t>diah08753@gmail.com</t>
  </si>
  <si>
    <t>nastar</t>
  </si>
  <si>
    <t>KUSMAYADI</t>
  </si>
  <si>
    <t>hekeje8053@baxidy.com</t>
  </si>
  <si>
    <t>ENDOG LEWO PAK YADI</t>
  </si>
  <si>
    <t>ENDANG PURWANTI</t>
  </si>
  <si>
    <t xml:space="preserve">Kab Pekalongan </t>
  </si>
  <si>
    <t>higoyad350@qtsaver.com</t>
  </si>
  <si>
    <t>INDAH YANI</t>
  </si>
  <si>
    <t>Tantangan terbesar yang saya hadapi adalah kurangnya informasi yang jelas dan mudah dipahami tentang prosedur JPH, sehingga komunikasi antara pelaku usaha dan pihak berwenang sering terhambat. Selain itu, keterbatasan sumber daya, baik dari segi biaya maupun tenaga ahli untuk mengurus sertifikasi, membuat prosesnya menjadi lebih berat. Disposisi dari beberapa pihak terkait kadang kurang responsif, sehingga penyelesaian administrasi memakan waktu lama. Struktur birokrasi yang kompleks dan bertingkat juga membuat pengurusan dokumen menjadi lambat dan membingungkan, terutama bagi UMKM yang belum terbiasa menghadapi prosedur resmi. Semua hal ini membuat implementasi JPH terasa menantang, meski penting bagi kelangsungan usaha dan kepercayaan konsumen.</t>
  </si>
  <si>
    <t xml:space="preserve">Ya, menurut saya beberapa faktor memang lebih penting, terutama terkait kualitas bahan dan pemahaman tentang standar halal. Karena sebagai pelaku UMKM, memastikan bahan yang digunakan halal dan proses produksinya sesuai syariat membuat konsumen lebih percaya dan nyaman. Selain itu, pengetahuan tentang sertifikasi halal dan kemampuan mengelola dokumentasi juga penting agar usaha bisa memenuhi persyaratan resmi. Faktor lain seperti pelatihan karyawan dan kesadaran konsumen juga berpengaruh, tapi yang utama tetap pada kualitas bahan dan penerapan prosedur halal secara konsisten.
</t>
  </si>
  <si>
    <t>Ya, selain faktor yang sudah disebutkan, saya juga merasa bahwa dukungan dari komunitas bisnis dan konsistensi dalam penerapan standar halal sangat mempengaruhi keberhasilan implementasi JPH. Misalnya, jika pelaku usaha mendapat bimbingan, pelatihan, atau pengalaman dari sesama UMKM yang sudah bersertifikat halal, proses adaptasi akan lebih mudah. Selain itu, ketersediaan sumber daya, seperti tenaga ahli halal atau akses ke laboratorium pengujian, juga menjadi faktor penting karena tanpa itu sulit memastikan produk benar-benar sesuai standar. Sikap konsumen dan tren pasar juga berpengaruh; jika masyarakat lebih sadar dan menuntut produk halal, usaha akan lebih termotivasi untuk mengikuti regulasi JPH secara konsisten.</t>
  </si>
  <si>
    <t>indah87@mustikaagrosari.biz.id</t>
  </si>
  <si>
    <t>COMBRO BU INDAH</t>
  </si>
  <si>
    <t>ROMJANAH</t>
  </si>
  <si>
    <t xml:space="preserve">Kab. Pekalongan </t>
  </si>
  <si>
    <t>gonetak909@namlaks.com</t>
  </si>
  <si>
    <t>Es Serut</t>
  </si>
  <si>
    <t>RISUN</t>
  </si>
  <si>
    <t xml:space="preserve">Kab Purbalingga </t>
  </si>
  <si>
    <t>risun@yogirt.com</t>
  </si>
  <si>
    <t xml:space="preserve">Gula Merah </t>
  </si>
  <si>
    <t>TOYINAH</t>
  </si>
  <si>
    <t>toyinahjaw@yogirt.com</t>
  </si>
  <si>
    <t>Peyek</t>
  </si>
  <si>
    <t>DADANISWARA</t>
  </si>
  <si>
    <t>selirel347@mfyax.com</t>
  </si>
  <si>
    <t>ENDOG LEWO PAK DADAN</t>
  </si>
  <si>
    <t>NOKIYAH</t>
  </si>
  <si>
    <t>zubentatyana@futuresoulrecords.com</t>
  </si>
  <si>
    <t>Kue Kacang</t>
  </si>
  <si>
    <t>SUHYANA</t>
  </si>
  <si>
    <t>faktor lain yang juga berpengaruh adalah dukungan politik dan komitmen pemerintah. Tanpa regulasi yang kuat, pendanaan yang cukup, dan koordinasi antar instansi, implementasi JPH tidak akan berjalan optimal dan berkelanjutan.</t>
  </si>
  <si>
    <t>nowovin169@mfyax.com</t>
  </si>
  <si>
    <t>ENDOG LEWO PAK SUHYANA</t>
  </si>
  <si>
    <t>INDRIYANI</t>
  </si>
  <si>
    <t xml:space="preserve">Kab. Purworejo </t>
  </si>
  <si>
    <t>hetesa3064@utliz.com</t>
  </si>
  <si>
    <t xml:space="preserve">Minuman Tradisional </t>
  </si>
  <si>
    <t>NELIN YULIANTI</t>
  </si>
  <si>
    <t xml:space="preserve"> faktor lain yang juga berpengaruh adalah dukungan politik dan komitmen pemerintah. Tanpa regulasi yang kuat, pendanaan yang cukup, dan koordinasi antar instansi, implementasi JPH tidak akan berjalan optimal dan berkelanjutan.</t>
  </si>
  <si>
    <t>dalane8044@losvtn.com</t>
  </si>
  <si>
    <t>KUE KERING TEH FANNY</t>
  </si>
  <si>
    <t>SUKARNI</t>
  </si>
  <si>
    <t xml:space="preserve">Kab Rembang </t>
  </si>
  <si>
    <t>sukarni@awgarstone.com</t>
  </si>
  <si>
    <t>Rengginang</t>
  </si>
  <si>
    <t>FANNY FATIKASARI</t>
  </si>
  <si>
    <t>faktor lain yang juga berpengaruh adalah dukungan politik dan komitmen pemerintah. Tanpa regulasi yang kuat, pendanaan yang cukup, dan koordinasi antar instansi, implementasi JPH tidak akan berjalan optimal dan berkelanjutan</t>
  </si>
  <si>
    <t>fefedit645@rencr.com</t>
  </si>
  <si>
    <t>ENDOG LEWO TEH FANNY</t>
  </si>
  <si>
    <t>LATIFATUL ULFA</t>
  </si>
  <si>
    <t xml:space="preserve">Kab Sragen </t>
  </si>
  <si>
    <t>latifatululfa@yogirt.com</t>
  </si>
  <si>
    <t xml:space="preserve">Pangsit Goreng </t>
  </si>
  <si>
    <t>SITI FARIKHATUN</t>
  </si>
  <si>
    <t>Tantangan terbesar bagi saya biasanya di birokrasi, karena proses sertifikasi dan izin kadang lama dan rumit, ditambah sumber daya terbatas untuk memahami semua persyaratan JPH.</t>
  </si>
  <si>
    <t xml:space="preserve">Ya, faktor pengetahuan dan kesadaran konsumen paling penting karena semakin banyak orang memahami pentingnya JPH, semakin besar permintaan produk halal, sehingga pelaku usaha terdorong untuk menerapkan standar JPH.
</t>
  </si>
  <si>
    <t>Ya, dukungan dari komunitas dan pemasaran produk halal juga penting, karena tanpa promosi dan penerimaan pasar, penerapan JPH saja tidak cukup membuat usaha berkembang.</t>
  </si>
  <si>
    <t>hatun@maxamba.com</t>
  </si>
  <si>
    <t>keripik talas</t>
  </si>
  <si>
    <t>YOGIK S. MAULANA</t>
  </si>
  <si>
    <t>Tantangan terbesar biasanya birokrasi yang panjang dan kurangnya informasi jelas, jadi komunikasi dan sumber daya sering terhambat.</t>
  </si>
  <si>
    <t xml:space="preserve">Ya, kualitas bahan dan sertifikasi halal paling penting karena langsung memengaruhi kepercayaan konsumen.
</t>
  </si>
  <si>
    <t>Ya, kesadaran dan edukasi konsumen juga penting karena permintaan pasar mendorong pelaku usaha untuk patuh JPH.</t>
  </si>
  <si>
    <t>yogiktanjungbumi2024@gmail.com</t>
  </si>
  <si>
    <t>TELUR ASIN BAPAK SLAMET</t>
  </si>
  <si>
    <t>TADIYA ALANSYAH</t>
  </si>
  <si>
    <t>Kurangnya kolaborasi antara BPJPH dan asosiasi pengusaha dalam mempercepat implementasi.</t>
  </si>
  <si>
    <t>tadiyaalansyah@awgarstone.com</t>
  </si>
  <si>
    <t>TEMPE TADIYA</t>
  </si>
  <si>
    <t>MOH. PURWANTO</t>
  </si>
  <si>
    <t>Tantangan terbesar bagi saya biasanya ada di sisi sumber daya dan birokrasi. Untuk sumber daya, tidak semua UMKM punya akses mudah ke informasi atau pelatihan tentang JPH, sehingga kadang bingung bagaimana memulai. Sedangkan birokrasi bisa membuat proses sertifikasi dan izin terasa lama dan rumit. Di sisi komunikasi, informasi kadang kurang tersampaikan dengan jelas ke pelaku usaha kecil, dan disposisi sebagian orang masih belum sepenuhnya sadar pentingnya JPH, jadi motivasi untuk menjalankan standar halal bisa berbeda-beda. Semua itu membuat implementasi JPH tidak selalu mudah bagi UMKM.</t>
  </si>
  <si>
    <t xml:space="preserve">Ya, saya merasa beberapa faktor memang lebih penting, terutama terkait dengan pemahaman dan kepatuhan terhadap sertifikasi halal. Hal ini karena konsumen semakin sadar akan kehalalan produk, jadi jika produk kita sudah jelas halal, kepercayaan dan loyalitas pelanggan akan lebih mudah terbentuk. Selain itu, faktor pengawasan dan pemenuhan standar juga penting agar proses produksi benar-benar sesuai syariah. Faktor edukasi bagi pelaku usaha juga krusial, karena tanpa pemahaman yang baik, implementasi JPH bisa sulit dijalankan secara konsisten. Jadi, meskipun semua faktor penting, fokus pada pemahaman, kepatuhan, dan edukasi menurut saya paling berpengaruh terhadap keberhasilan implementasi JPH di UMKM.
</t>
  </si>
  <si>
    <t>Ya, menurut saya dukungan dari konsumen dan pasar juga sangat mempengaruhi. Kalau konsumen aktif memilih produk halal dan menghargai sertifikasi, UMKM akan lebih termotivasi untuk mengikuti JPH. Selain itu, akses ke teknologi atau peralatan produksi yang sesuai standar juga penting, karena tanpa itu sulit menjaga konsistensi halal. Juga, kerjasama dengan supplier yang sudah bersertifikat halal memengaruhi keberhasilan implementasi. Jadi faktor eksternal seperti permintaan pasar dan jaringan supplier bisa sama pentingnya dengan faktor internal.</t>
  </si>
  <si>
    <t>mp6916766@gmail.com</t>
  </si>
  <si>
    <t>Susu Kedelai Murni</t>
  </si>
  <si>
    <t>MUJIATI</t>
  </si>
  <si>
    <t>Tantangan terbesar biasanya birokrasi yang panjang dan sulitnya mendapatkan informasi yang jelas, sementara sumber daya terbatas membuat penerapan JPH jadi lambat.</t>
  </si>
  <si>
    <t xml:space="preserve">Ya, faktor pemahaman konsumen dan ketersediaan bahan halal paling penting karena tanpa keduanya, penerapan JPH sulit diterima dan konsisten.
</t>
  </si>
  <si>
    <t>Ya, kesadaran dan edukasi konsumen juga penting karena tanpa permintaan atau pemahaman, sertifikasi halal kurang berdampak.</t>
  </si>
  <si>
    <t>shmujiati@gmail.com</t>
  </si>
  <si>
    <t>PECEL B SUPAN 1</t>
  </si>
  <si>
    <t>Birokrasi yang tidak adaptif terhadap kebutuhan pelaku usaha dan perubahan pasar.</t>
  </si>
  <si>
    <t>dam304@crazy18.xyz</t>
  </si>
  <si>
    <t>Kripik pisang sale</t>
  </si>
  <si>
    <t>SITI FATIMAH</t>
  </si>
  <si>
    <t>Tantangan terbesar biasanya terkait sumber daya dan birokrasi. Untuk UMKM, biaya dan waktu untuk mendapatkan sertifikasi halal sering menjadi hambatan, apalagi jika harus memahami prosedur yang panjang. Dari sisi komunikasi, informasi tentang persyaratan JPH kadang sulit dijangkau atau tidak jelas, sehingga membuat prosesnya membingungkan. Disposisi atau sikap internal juga penting; tidak semua staf atau pelaku usaha sepenuhnya memahami pentingnya JPH, jadi konsistensi penerapan bisa terpengaruh. Struktur birokrasi yang kompleks kadang membuat proses menjadi lambat dan melelahkan, sehingga membutuhkan kesabaran ekstra untuk bisa memenuhi semua persyaratan.</t>
  </si>
  <si>
    <t xml:space="preserve">Ya, saya merasa ada beberapa faktor yang lebih penting dalam implementasi JPH di Indonesia. Salah satunya adalah pemahaman dan kesadaran pelaku usaha terhadap peraturan halal. Tanpa pemahaman yang cukup, penerapan JPH akan sulit dilakukan secara konsisten. Faktor lain yang penting adalah ketersediaan bahan baku yang sudah bersertifikat halal, karena meskipun proses produksi halal, jika bahan bakunya tidak jelas, sertifikasi sulit didapat. Selain itu, dukungan dari pemerintah dan kemudahan akses sertifikasi juga sangat berpengaruh, terutama bagi UMKM yang memiliki sumber daya terbatas. Semua faktor ini saling terkait; pemahaman, bahan baku, dan regulasi yang jelas akan memudahkan pelaku usaha menerapkan JPH secara efektif.
</t>
  </si>
  <si>
    <t>Ya, faktor lain yang juga penting adalah edukasi konsumen dan kesadaran pasar. Jika konsumen semakin peduli pada produk halal, pelaku usaha akan lebih termotivasi untuk menerapkan JPH secara konsisten. Selain itu, jaringan atau kemitraan dengan supplier yang terpercaya juga mempengaruhi, karena bahan baku halal yang stabil sangat krusial. Teknologi dan sistem pencatatan internal yang baik juga membantu memastikan semua proses sesuai standar JPH, terutama bagi usaha yang mulai berkembang.</t>
  </si>
  <si>
    <t>firajaya137@gmail.com</t>
  </si>
  <si>
    <t>Syafira Cake</t>
  </si>
  <si>
    <t>KONIDAH</t>
  </si>
  <si>
    <t>Sikap enggan menginternalisasi Sistem Jaminan Halal (SJH) di tingkat internal perusahaan.</t>
  </si>
  <si>
    <t>demkosrg@lokajjfs.website</t>
  </si>
  <si>
    <t>TAPE KETAN</t>
  </si>
  <si>
    <t>IRIANI SETIAWATI</t>
  </si>
  <si>
    <t>Tantangan terbesar biasanya di birokrasi yang rumit dan kurangnya informasi jelas, sehingga proses sertifikasi jadi lama dan membingungkan.</t>
  </si>
  <si>
    <t xml:space="preserve">Ya, saya rasa kualitas bahan dan sertifikasi halal lebih penting karena langsung memengaruhi kepercayaan konsumen.
</t>
  </si>
  <si>
    <t>Ya, kesadaran dan edukasi konsumen juga penting, karena permintaan halal yang tinggi mendorong pelaku usaha lebih serius menjalankan JPH.</t>
  </si>
  <si>
    <t>tehracik@gmail.com</t>
  </si>
  <si>
    <t>teh racik Bu Heri Jooos</t>
  </si>
  <si>
    <t>NUR KHOLIFAH</t>
  </si>
  <si>
    <t>Sikap pasif dari pelaku usaha yang menunggu pemerintah datang untuk sosialisasi, bukan proaktif mencari tahu.</t>
  </si>
  <si>
    <t>nurkho@awgarstone.com</t>
  </si>
  <si>
    <t>Batagor Ikan Spesial</t>
  </si>
  <si>
    <t>SARINO</t>
  </si>
  <si>
    <t>Birokrasi yang tidak menjamin kecepatan proses, meskipun semua persyaratan sudah lengkap.</t>
  </si>
  <si>
    <t>jeveli3404@tbeebk.com</t>
  </si>
  <si>
    <t>ARI DWI CAHYANTI</t>
  </si>
  <si>
    <t>Tantangan terbesar biasanya ada di birokrasi dan sumber daya. Proses sertifikasi kadang lama dan membutuhkan dokumen yang banyak, sehingga menyulitkan UMKM dengan kapasitas terbatas. Selain itu, kurangnya pemahaman tentang JPH membuat komunikasi dengan pihak terkait tidak selalu lancar, dan kadang pelatihan atau panduan yang tersedia belum cukup jelas. Dari sisi disposisi, ada juga tantangan menjaga konsistensi semua staf dalam menerapkan standar halal, apalagi jika tim masih kecil dan multitugas.</t>
  </si>
  <si>
    <t xml:space="preserve">Ya, menurut saya ada faktor-faktor yang lebih penting, terutama terkait bahan baku dan pemahaman tentang sertifikasi halal. Bahan baku yang jelas kehalalannya sangat memengaruhi kepercayaan konsumen dan kelangsungan usaha, karena konsumen lebih nyaman membeli produk yang terjamin halal. Selain itu, pengetahuan dan pemahaman pelaku usaha tentang prosedur sertifikasi JPH juga krusial agar prosesnya lancar dan tidak menimbulkan kesalahan yang bisa merugikan usaha. Faktor lain seperti pelatihan karyawan dan penerapan SOP halal juga penting, karena semua lini usaha harus konsisten menjaga standar halal agar sertifikasi tidak hanya formalitas, tapi benar-benar tercermin dalam praktik sehari-hari.
</t>
  </si>
  <si>
    <t>Ya, salah satunya adalah kesadaran dan permintaan konsumen. Jika konsumen semakin peduli pada produk halal, pelaku usaha akan lebih termotivasi untuk menerapkan JPH dengan serius. Selain itu, dukungan teknologi, seperti aplikasi atau sistem digital untuk pencatatan dan pelacakan bahan baku halal, juga sangat membantu memperlancar implementasi, meskipun tidak termasuk kriteria komunikasi, sumber daya, disposisi, atau birokrasi.</t>
  </si>
  <si>
    <t>aridwicahyanti99@gmail.com</t>
  </si>
  <si>
    <t>RISOLMAYOKAKCACA</t>
  </si>
  <si>
    <t>AGUNG PRASTYA RIZKY</t>
  </si>
  <si>
    <t>Tantangan terbesar dalam implementasi Jaminan Produk Halal (JPH) di Indonesia bisa dilihat dari beberapa sisi yang saling terkait. Dari aspek komunikasi, masih banyak pelaku usaha—terutama UMKM—yang kurang memahami pentingnya sertifikasi halal, sehingga sosialisasi yang dilakukan belum sepenuhnya efektif. Dari sisi sumber daya, baik SDM maupun infrastruktur, jumlah auditor halal, laboratorium, serta lembaga pemeriksa halal belum sebanding dengan besarnya kebutuhan sertifikasi di seluruh Indonesia. Kemudian dari segi disposisi, meski ada komitmen dari pemerintah, masih ditemui kendala dalam konsistensi pelaksanaan di lapangan, terutama terkait koordinasi antar lembaga. Sementara itu, dari aspek struktur birokrasi, regulasi dan alur pengurusan sertifikasi halal dinilai masih cukup rumit dan memakan waktu, sehingga menimbulkan kesan bahwa prosesnya sulit dan mahal. Semua faktor ini berpadu sehingga membuat implementasi JPH belum berjalan optimal sesuai dengan target yang diharapkan.</t>
  </si>
  <si>
    <t>Ya, ada faktor tertentu yang lebih krusial dibandingkan yang lain dalam implementasi JPH di Indonesia, yaitu komunikasi dan sumber daya. Komunikasi menjadi kunci karena pemahaman masyarakat, khususnya pelaku UMKM, masih terbatas tentang kewajiban dan manfaat sertifikasi halal. Tanpa sosialisasi yang efektif, kebijakan akan sulit diterima dan dijalankan. Sementara itu, sumber daya—baik auditor halal, laboratorium, maupun dukungan infrastruktur—menjadi penentu kelancaran proses sertifikasi. Jika jumlahnya tidak memadai, akan terjadi penumpukan permohonan dan menimbulkan persepsi negatif di kalangan pelaku usaha.
Meski disposisi dan struktur birokrasi juga penting, keduanya akan lebih mudah diatasi jika komunikasi berjalan lancar dan sumber daya mencukupi. Dengan kata lain, tanpa kesadaran masyarakat dan dukungan kapasitas yang memadai, implementasi JPH akan selalu terhambat meskipun ada komitmen birokrasi.</t>
  </si>
  <si>
    <t>Ya, ada faktor lain yang cukup berpengaruh, yaitu aspek budaya dan tingkat kesadaran religius masyarakat. Di beberapa daerah, masih ada anggapan bahwa produk lokal otomatis halal tanpa perlu sertifikasi, sehingga menurunkan urgensi untuk mengurus label halal. Selain itu, dukungan teknologi juga sangat menentukan, misalnya sistem pendaftaran online yang mudah diakses akan mempercepat proses dan mengurangi hambatan birokrasi. Faktor ekonomi juga tidak kalah penting, karena sebagian pelaku UMKM masih menganggap biaya sertifikasi halal sebagai beban tambahan, bukan investasi jangka panjang.</t>
  </si>
  <si>
    <t>uninuninu69@gmail.com</t>
  </si>
  <si>
    <t>FIDAYATUL MUFIDAH</t>
  </si>
  <si>
    <t>Tantangan terbesar biasanya birokrasi yang panjang dan informasi yang belum jelas, sehingga kadang sulit memahami prosedur dan menyesuaikan usaha dengan aturan JPH.</t>
  </si>
  <si>
    <t xml:space="preserve">Ya, saya rasa kualitas bahan dan kepatuhan pada standar halal paling penting, karena langsung memengaruhi kepercayaan konsumen dan kelangsungan usaha.
</t>
  </si>
  <si>
    <t>Ya, kesadaran dan edukasi konsumen juga penting, karena permintaan yang meningkat akan mendorong pelaku usaha lebih serius menerapkan JPH.</t>
  </si>
  <si>
    <t>hisyamazhari@gmail.com</t>
  </si>
  <si>
    <t>NURIYAH</t>
  </si>
  <si>
    <t>sragen</t>
  </si>
  <si>
    <t>nuriyah123@yogirt.com</t>
  </si>
  <si>
    <t>ikan bandeng</t>
  </si>
  <si>
    <t xml:space="preserve">PRDUKSI IKAN BANDENG </t>
  </si>
  <si>
    <t>PARLAN</t>
  </si>
  <si>
    <t>mariaapril516@gmail.com</t>
  </si>
  <si>
    <t>Miler Pak Sueb</t>
  </si>
  <si>
    <t>Parlan</t>
  </si>
  <si>
    <t>Ya, dalam konteks implementasi JPH di Indonesia, ada faktor yang lebih penting dibandingkan lainnya, yaitu komunikasi dan sumber daya. Komunikasi menjadi kunci karena tanpa sosialisasi yang jelas dan merata, terutama kepada pelaku UMKM, sertifikasi halal akan sulit dipahami dan dianggap beban. Jika informasi disampaikan dengan baik, pelaku usaha akan lebih siap dan mau terlibat.  Selain itu, sumber daya juga sangat krusial karena meskipun komunikasi berjalan baik, tanpa tenaga auditor halal, laboratorium uji yang memadai, dan dukungan anggaran, proses sertifikasi tetap lambat. Disposisi dan struktur birokrasi memang penting, tetapi keduanya bisa berjalan lebih efektif jika komunikasi lancar dan sumber daya tersedia. Dengan kata lain, komunikasi dan sumber daya adalah pondasi utama yang menentukan berhasil atau tidaknya implementasi JPH di Indonesia.</t>
  </si>
  <si>
    <t>parlan@yogirt.com</t>
  </si>
  <si>
    <t xml:space="preserve">Bubur kacang hijau </t>
  </si>
  <si>
    <t>PARTIMAH</t>
  </si>
  <si>
    <t>kediri</t>
  </si>
  <si>
    <t>nimassucicahya8a@gmail.com</t>
  </si>
  <si>
    <t>INDUSTRI TAHU BERKAH</t>
  </si>
  <si>
    <t xml:space="preserve">ILHAM SETIAWAN </t>
  </si>
  <si>
    <t>Sikap kurang peduli dari sebagian pelaku usaha, yang masih menganggap sertifikasi halal sebagai beban, bukan sebagai alat strategis untuk bisnis mereka.</t>
  </si>
  <si>
    <t>ASNUNING B.</t>
  </si>
  <si>
    <t>asnuningbemba@gmail.com</t>
  </si>
  <si>
    <t>Getuk A2 Jaya</t>
  </si>
  <si>
    <t>AYU NINGRUM</t>
  </si>
  <si>
    <t>Birokrasi yang berbelit-belit dan tumpang tindih kewenangan antarlembaga menciptakan kebingungan dan memperlambat proses pengurusan sertifikat.</t>
  </si>
  <si>
    <t>mockhdaffi@gmail.com</t>
  </si>
  <si>
    <t>Es Podeng Kedai Jadul</t>
  </si>
  <si>
    <t>SYAHRONI KUSUMO RATMAJA</t>
  </si>
  <si>
    <t>Tantangan terbesar biasanya ada di kombinasi komunikasi dan birokrasi. Informasi tentang standar halal kadang sulit diakses atau kurang jelas, sehingga perlu waktu ekstra untuk memahami prosedurnya. Dari sisi sumber daya, biaya dan waktu untuk sertifikasi bisa menjadi beban bagi UMKM kecil. Disposisi atau kesadaran internal juga terkadang kurang merata, beberapa staf belum sepenuhnya paham pentingnya JPH. Struktur birokrasi yang panjang dan prosedur yang rumit membuat proses sertifikasi terasa lambat, padahal konsumen menuntut produk halal yang cepat tersedia. Semua ini membuat implementasi JPH jadi lebih menantang, meski niat dan kesadaran untuk melakukannya ada.</t>
  </si>
  <si>
    <t xml:space="preserve">Ya, saya merasa beberapa faktor lebih penting, terutama terkait pemahaman tentang standar halal dan ketersediaan bahan yang sudah bersertifikasi halal. Sebagai pelaku UMKM, memastikan semua bahan dan proses produksi sesuai syariat itu penting untuk menjaga kepercayaan konsumen. Selain itu, dukungan dari pemerintah dalam bentuk sosialisasi, pelatihan, dan bantuan sertifikasi sangat membantu agar UMKM bisa menerapkan JPH dengan benar tanpa terbebani biaya atau prosedur yang terlalu rumit. Faktor lain seperti kesadaran konsumen juga penting karena permintaan yang tinggi akan produk halal mendorong pelaku usaha lebih serius dalam implementasi JPH. Semua faktor ini saling berkaitan, tapi pemahaman dan dukungan praktis menjadi yang paling menentukan keberhasilan penerapan JPH.
</t>
  </si>
  <si>
    <t>Ya, ada faktor budaya dan kebiasaan konsumsi masyarakat yang juga memengaruhi. Jika konsumen lebih sadar dan menuntut produk halal, pelaku usaha akan lebih termotivasi untuk patuh pada JPH. Selain itu, akses ke pelatihan dan informasi praktis tentang penerapan JPH juga penting, karena banyak UMKM yang ingin menerapkan tapi kurang tahu caranya. Dukungan komunitas atau jaringan usaha juga membantu, karena bisa saling berbagi pengalaman dan tips agar implementasi lebih mudah.</t>
  </si>
  <si>
    <t>rofianan2015@gmail.com</t>
  </si>
  <si>
    <t>ARI SULISTYOWATI DIAH PRIHATIN, SH</t>
  </si>
  <si>
    <t>KAB. JEMBER</t>
  </si>
  <si>
    <t>Kurangnya dana untuk sosialisasi dan operasional membatasi kemampuan pemerintah menjangkau lebih banyak UMKM.</t>
  </si>
  <si>
    <t>ari216709@gmail.com</t>
  </si>
  <si>
    <t>DAPUR RENGGANIS</t>
  </si>
  <si>
    <t>ELSA SALSABILA NUR PUTRI</t>
  </si>
  <si>
    <t>Tantangan terbesar biasanya ada pada birokrasi dan komunikasi. Proses sertifikasi panjang dan informasi kadang kurang jelas, jadi perlu waktu dan usaha ekstra untuk memenuhinya.</t>
  </si>
  <si>
    <t xml:space="preserve">Ya, karena faktor kesadaran konsumen dan ketersediaan bahan halal sangat menentukan keberhasilan implementasi JPH. Kalau konsumen peduli dan bahan mudah didapat, penerapannya lebih lancar.
</t>
  </si>
  <si>
    <t>Ya, edukasi dan kesadaran karyawan serta konsumen sangat berpengaruh. Kalau mereka paham pentingnya halal, implementasinya akan lebih mudah dan konsisten.</t>
  </si>
  <si>
    <t>nurwatiendang07@gmail.com</t>
  </si>
  <si>
    <t>Keripik Pisang SH</t>
  </si>
  <si>
    <t>ZUHROTUL KHOLIS</t>
  </si>
  <si>
    <t>Tantangan terbesar biasanya terkait komunikasi dan birokrasi. Sering kali informasi tentang JPH tidak tersampaikan dengan jelas, sehingga bingung harus mulai dari mana. Dari sisi sumber daya, biaya untuk sertifikasi dan pelatihan kadang cukup berat untuk UMKM kecil. Disposisi atau kesadaran tim juga penting, kalau pekerja belum paham atau kurang peduli, penerapan jadi tidak maksimal. Struktur birokrasi yang panjang dan berlapis-lapis kadang membuat proses izin dan sertifikasi terasa lambat dan rumit. Semua ini bisa menghambat usaha untuk konsisten menerapkan standar halal.</t>
  </si>
  <si>
    <t xml:space="preserve">Ya, saya merasa beberapa faktor memang lebih penting, terutama terkait kualitas bahan dan pemahaman tentang sertifikasi halal. Bahan yang digunakan harus jelas asal-usulnya agar konsumen merasa aman dan percaya. Selain itu, pemahaman tentang prosedur JPH membantu kita menerapkan standar dengan benar, misalnya memastikan proses produksi bersih dan terpisah dari bahan non-halal. Faktor edukasi juga penting, karena tenaga kerja harus paham bagaimana menjaga kehalalan produk sejak awal hingga akhir. Semua ini berdampak langsung pada kepercayaan konsumen dan keberlangsungan usaha.
</t>
  </si>
  <si>
    <t>Ya, ada faktor budaya dan kebiasaan konsumen. Misalnya, pemahaman masyarakat tentang pentingnya produk halal bisa memengaruhi permintaan dan motivasi pelaku usaha untuk menerapkan JPH. Selain itu, akses ke teknologi atau alat produksi yang sesuai juga penting agar proses produksi bisa lebih efisien dan memenuhi standar halal. Dukungan jaringan usaha atau komunitas UMKM juga membantu berbagi pengalaman dan solusi praktis dalam penerapan JPH.</t>
  </si>
  <si>
    <t>kekekeisha097@gmail.com</t>
  </si>
  <si>
    <t>Gado-gado Keke</t>
  </si>
  <si>
    <t>DEDI KUSMANTORO</t>
  </si>
  <si>
    <t>Kesenjangan informasi digital menjadi tantangan komunikasi, di mana banyak UMKM kesulitan mengakses sistem online JPH.</t>
  </si>
  <si>
    <t>deddyyudha433@gmail.com</t>
  </si>
  <si>
    <t>ARRAZAQ</t>
  </si>
  <si>
    <t>NUR HASIM</t>
  </si>
  <si>
    <t>Tantangan terbesar bagi saya biasanya terkait birokrasi, karena proses sertifikasi dan izin kadang panjang dan membingungkan, meskipun sumber daya dan komunikasi juga penting.</t>
  </si>
  <si>
    <t xml:space="preserve">Ya, saya rasa faktor edukasi konsumen dan ketersediaan bahan halal lebih penting karena kalau konsumen paham dan bahan mudah didapat, penerapan JPH jadi lebih lancar.
</t>
  </si>
  <si>
    <t>Ya, faktor kesadaran dan motivasi pelaku usaha juga penting. Kalau kita sendiri tidak yakin atau tidak peduli dengan prinsip halal, implementasi JPH akan sulit meskipun semua kriteria lain terpenuhi.</t>
  </si>
  <si>
    <t>rizalfaza15@gmail.com</t>
  </si>
  <si>
    <t>TEMPE KACANG PAK HASIM</t>
  </si>
  <si>
    <t>SAMSUL ARIFIN</t>
  </si>
  <si>
    <t>Persepsi biaya yang mahal masih menghantui, meskipun program sertifikasi gratis tersedia, karena informasi ini belum tersebar luas.</t>
  </si>
  <si>
    <t>lontongnyus@yopmail.com</t>
  </si>
  <si>
    <t>LONTONG FAIZ</t>
  </si>
  <si>
    <t>SUSIATI</t>
  </si>
  <si>
    <t>Tantangan terbesar biasanya ada di komunikasi dan sumber daya. Banyak informasi tentang JPH belum tersampaikan secara jelas ke UMKM, jadi kadang bingung harus mulai dari mana. Dari sisi sumber daya, biaya dan waktu untuk sertifikasi bisa jadi kendala, apalagi untuk usaha kecil. Disposisi atau sikap internal juga kadang menjadi hambatan, misalnya belum semua tim sadar pentingnya halal. Struktur birokrasi kadang terasa rumit, banyak tahapan dan dokumen yang harus dipenuhi, sehingga prosesnya bisa lambat dan melelahkan.</t>
  </si>
  <si>
    <t xml:space="preserve">Ya, saya merasa beberapa faktor memang lebih penting, terutama terkait pemahaman dan kepatuhan terhadap standar JPH. Sebagai pelaku usaha, memastikan bahan baku halal dan proses produksinya sesuai syariah sangat krusial karena langsung memengaruhi kepercayaan konsumen. Selain itu, faktor sosialisasi dan edukasi juga penting, karena banyak UMKM yang belum sepenuhnya memahami prosedur sertifikasi halal. Dukungan dari pemerintah atau lembaga terkait, misalnya melalui pelatihan atau bantuan sertifikasi, juga mempercepat implementasi dan membuat proses lebih mudah. Jadi, kombinasi pemahaman, kepatuhan, dan dukungan eksternal menjadi faktor utama yang menentukan keberhasilan JPH di UMKM.
</t>
  </si>
  <si>
    <t>Ya, faktor budaya dan kesadaran konsumen juga berpengaruh. Kalau konsumen semakin sadar dan menuntut produk halal, pelaku usaha otomatis lebih termotivasi untuk mematuhi JPH. Selain itu, jaringan dan kemitraan dengan supplier yang sudah bersertifikat halal juga membantu memperlancar proses implementasi. Dukungan teknologi, seperti sistem manajemen atau aplikasi untuk memantau kepatuhan halal, juga semakin penting.</t>
  </si>
  <si>
    <t>mbaksusiati9@gmail.com</t>
  </si>
  <si>
    <t>CAPUCINO CINCAU</t>
  </si>
  <si>
    <t>MIRA PUSPITASARI</t>
  </si>
  <si>
    <t>Tantangan terbesar adalah birokrasi yang rumit dan kurangnya informasi yang jelas, sehingga proses sertifikasi terasa lambat dan membingungkan.</t>
  </si>
  <si>
    <t xml:space="preserve">Ya, faktor pemahaman regulasi dan kualitas bahan baku paling penting karena menentukan kehalalan produk dan kepercayaan konsumen.
</t>
  </si>
  <si>
    <t>Ya, kesadaran dan minat konsumen terhadap produk halal juga sangat mempengaruhi, karena permintaan yang tinggi mendorong pelaku usaha lebih serius menjalankan JPH.</t>
  </si>
  <si>
    <t>mira06puspitasari@gmail.com</t>
  </si>
  <si>
    <t>MIRA RUJAK</t>
  </si>
  <si>
    <t>MURTAMA</t>
  </si>
  <si>
    <t>Tantangan edukasi adalah mengubah pandangan pelaku usaha, dari sekadar kewajiban menjadi sebuah peluang ekonomi.</t>
  </si>
  <si>
    <t>apenkue@yopmail.com</t>
  </si>
  <si>
    <t>WINARTININGSIH</t>
  </si>
  <si>
    <t>Proses manual yang dominan di beberapa tahapan birokrasi membuat pengurusan sertifikasi lamban dan tidak efisien.</t>
  </si>
  <si>
    <t>wimixon790@zekzo.com</t>
  </si>
  <si>
    <t>PENTOL TELUR MBAK WIN</t>
  </si>
  <si>
    <t>MATHOSIM</t>
  </si>
  <si>
    <t>KAB. PASURUAN</t>
  </si>
  <si>
    <t>Tantangan terbesar biasanya terkait sumber daya dan birokrasi. Sebagai UMKM, kadang sulit punya modal atau tenaga ahli untuk memastikan semua proses sesuai standar halal. Proses sertifikasi juga terasa panjang dan rumit, sehingga butuh kesabaran dan waktu ekstra. Dari sisi komunikasi, terkadang informasi tentang aturan atau prosedur JPH kurang jelas atau sulit dijangkau, jadi kita harus ekstra mencari tahu. Untuk disposisi, tantangan muncul jika tim atau mitra usaha belum sepenuhnya memahami pentingnya halal, sehingga implementasinya tidak konsisten. Semua hal ini membuat proses JPH terasa berat meski tujuannya jelas.</t>
  </si>
  <si>
    <t xml:space="preserve">Ya, menurut saya ada beberapa faktor yang lebih penting dalam implementasi JPH di Indonesia, terutama terkait kesadaran konsumen dan ketersediaan bahan baku halal. Kesadaran konsumen penting karena jika masyarakat tidak memahami atau tidak peduli soal halal, usaha makanan dan minuman akan sulit menerapkan JPH secara konsisten. Sementara ketersediaan bahan baku halal menjadi kunci karena tanpa bahan baku yang jelas status halalnya, produk yang dihasilkan pun tidak bisa dijamin halal. Selain itu, regulasi dan sertifikasi juga berperan besar; UMKM butuh prosedur yang jelas dan mudah dijangkau agar bisa mematuhi standar halal tanpa terbebani biaya dan proses yang rumit. Faktor-faktor ini saling berkaitan dan menjadi fondasi utama agar JPH bisa diterapkan secara efektif di usaha makanan dan minuman.
</t>
  </si>
  <si>
    <t>Ya, salah satunya adalah dukungan dari komunitas dan jaringan usaha. Kalau sesama pelaku UMKM saling berbagi pengalaman, tips, atau bahkan supplier bahan baku halal, proses implementasi JPH jadi lebih mudah. Selain itu, edukasi konsumen juga memengaruhi keberhasilan; semakin banyak orang yang menuntut produk halal, semakin termotivasi kita untuk konsisten menerapkannya. Faktor teknologi juga penting, misalnya penggunaan aplikasi atau sistem untuk mencatat dan memantau proses produksi agar sesuai standar halal.</t>
  </si>
  <si>
    <t>mathosimhalal@gmail.com</t>
  </si>
  <si>
    <t>SINOM DUPI</t>
  </si>
  <si>
    <t>ADE KURNIA</t>
  </si>
  <si>
    <t>Tantangan terbesar biasanya terkait komunikasi dan birokrasi, karena informasi kadang sulit diakses dan prosesnya lambat, sementara sumber daya terbatas.</t>
  </si>
  <si>
    <t xml:space="preserve">Ya, yang paling penting adalah pemahaman tentang standar halal dan ketersediaan bahan yang sesuai, karena itu langsung memengaruhi kepercayaan konsumen.
</t>
  </si>
  <si>
    <t>Ya, edukasi konsumen dan kesadaran pelaku usaha juga penting, karena tanpa itu, penerapan JPH tidak maksimal meski aturan sudah dipenuhi.</t>
  </si>
  <si>
    <t>ade243785@gmail.com</t>
  </si>
  <si>
    <t>sate KANG ADE</t>
  </si>
  <si>
    <t>FRANSISKA SRI NURYATI</t>
  </si>
  <si>
    <t xml:space="preserve">Tantangan utama disposisi adalah mengubah budaya pelaku usaha agar melihat JPH sebagai bagian integral dari jaminan mutu produk </t>
  </si>
  <si>
    <t>cblack01@pwyemail.com</t>
  </si>
  <si>
    <t>Bolu kering bu Siska</t>
  </si>
  <si>
    <t>YULIANNISA</t>
  </si>
  <si>
    <t>nisayulian5@gmail.com</t>
  </si>
  <si>
    <t>NOM SNACK</t>
  </si>
  <si>
    <t>MUHAMAD CANDRA</t>
  </si>
  <si>
    <t>Tantangan terbesar biasanya ada di sumber daya dan birokrasi. Kami sering kesulitan mendapatkan informasi yang jelas tentang prosedur sertifikasi halal, dan prosesnya kadang lama sehingga membingungkan. Dari sisi sumber daya, biaya dan akses ke pelatihan atau konsultan halal masih terbatas untuk UMKM. Untuk komunikasi, sosialisasi dari pihak berwenang kadang belum merata, jadi banyak pelaku usaha yang belum paham langkah-langkahnya. Sedangkan disposisi, sebagian pelaku usaha masih kurang termotivasi karena merasa prosesnya rumit dan memakan waktu. Semua ini membuat implementasi JPH jadi lebih berat untuk UMKM.</t>
  </si>
  <si>
    <t xml:space="preserve">Ya, menurut saya beberapa faktor memang lebih penting. Misalnya, pemahaman tentang bahan halal sangat krusial karena terkait langsung dengan kepercayaan konsumen. Selain itu, ketersediaan sertifikasi halal yang jelas juga penting agar usaha kami bisa dipercaya. Faktor pendidikan dan pelatihan bagi pelaku usaha juga berperan besar supaya kami tahu cara memastikan produk tetap halal dari bahan hingga proses produksi. Terakhir, dukungan regulasi dan sosialisasi dari pemerintah sangat membantu agar implementasi JPH lebih mudah dan konsisten di semua skala usaha. Semua faktor ini saling terkait dan menentukan keberhasilan penerapan JPH di UMKM.
</t>
  </si>
  <si>
    <t>Ya, salah satunya adalah kesadaran konsumen. Jika konsumen semakin peduli dengan produk halal, pelaku usaha akan lebih termotivasi untuk menerapkan JPH. Selain itu, jaringan dan kemitraan dengan pemasok bahan baku halal juga penting agar rantai produksi tetap sesuai standar. Faktor teknologi, seperti penggunaan aplikasi atau sistem digital untuk mempermudah pencatatan dan pelaporan halal, juga bisa sangat membantu. Semua ini mendukung keberhasilan implementasi JPH meski tidak langsung termasuk dalam komunikasi, sumber daya, disposisi, atau birokrasi.</t>
  </si>
  <si>
    <t>akilarizqicandra123@gmail.com</t>
  </si>
  <si>
    <t>JUS AKILA</t>
  </si>
  <si>
    <t xml:space="preserve">YULI ROCHMAWATI </t>
  </si>
  <si>
    <t xml:space="preserve">jombang </t>
  </si>
  <si>
    <t>yulirachma602@gmail.com</t>
  </si>
  <si>
    <t xml:space="preserve">jawa timur </t>
  </si>
  <si>
    <t>DONAT MENUL</t>
  </si>
  <si>
    <t>HENI SUPRIHATIN</t>
  </si>
  <si>
    <t>Tumpang tindih regulasi JPH dengan aturan lain dari kementerian terkait, menciptakan kebingungan di lapangan.</t>
  </si>
  <si>
    <t>kristoft@cwzemail.top</t>
  </si>
  <si>
    <t>Pisang isi cokelat</t>
  </si>
  <si>
    <t>Tantangan terbesar biasanya di sumber daya dan birokrasi karena proses sertifikasi panjang dan biaya cukup tinggi.</t>
  </si>
  <si>
    <t xml:space="preserve">Ya, paling penting adalah pemahaman bahan dan sertifikasi halal karena langsung memengaruhi kepercayaan konsumen.
</t>
  </si>
  <si>
    <t>Ya, edukasi konsumen dan kesadaran pelaku usaha juga penting karena memengaruhi permintaan dan kepatuhan terhadap JPH.</t>
  </si>
  <si>
    <t>KEDAI AKILA</t>
  </si>
  <si>
    <t>HOSAIMAH</t>
  </si>
  <si>
    <t>bondowoso</t>
  </si>
  <si>
    <t>dekdyah02@gmail.com</t>
  </si>
  <si>
    <t>AL-FAQIR</t>
  </si>
  <si>
    <t>AKHMAD RAFIK</t>
  </si>
  <si>
    <t>Tantangan terbesar bagi saya biasanya ada di komunikasi dan sumber daya. Kadang informasi tentang standar halal atau prosedur sertifikasi sulit dipahami atau tidak merata, jadi perlu waktu ekstra untuk mempelajari. Dari sisi sumber daya, biaya dan waktu untuk memenuhi persyaratan JPH cukup tinggi bagi UMKM kecil. Disposisi atau kesadaran internal juga kadang menjadi kendala, terutama jika tim belum terbiasa dengan prosedur baru. Struktur birokrasi terkadang terasa panjang dan rumit, sehingga proses sertifikasi bisa memakan waktu lebih lama dari yang diharapkan. Semua faktor ini membuat implementasi JPH butuh kesabaran dan perencanaan matang.</t>
  </si>
  <si>
    <t xml:space="preserve">Ya, saya merasa ada faktor-faktor tertentu yang lebih penting, terutama terkait pemahaman produk halal dan kepatuhan terhadap regulasi. Sebagai pelaku UMKM, memastikan bahan baku, proses produksi, dan penyajian sesuai standar JPH sangat krusial karena ini langsung memengaruhi kepercayaan konsumen. Selain itu, edukasi dan pelatihan tentang sertifikasi halal juga penting agar UMKM bisa menjalankan proses dengan benar tanpa salah langkah. Faktor pendukung seperti biaya sertifikasi, akses informasi, dan dukungan dari pemerintah juga menjadi penentu seberapa lancar implementasinya. Jadi, kombinasi pemahaman, kepatuhan, dan dukungan eksternal ini menurut saya lebih penting dibanding faktor lain yang sifatnya hanya administratif.
</t>
  </si>
  <si>
    <t>Ya, faktor lain yang penting adalah dukungan dari komunitas dan konsumen. Misalnya, permintaan konsumen terhadap produk halal bisa mendorong UMKM lebih serius menerapkan JPH. Selain itu, teknologi juga berperan, seperti sistem pencatatan bahan baku atau platform informasi sertifikasi yang memudahkan pelaku usaha. Motivasi pribadi dan pengalaman sebelumnya dalam mengelola usaha juga mempengaruhi seberapa lancar implementasi JPH, karena semakin paham dan terbiasa, prosesnya jadi lebih mudah.</t>
  </si>
  <si>
    <t>chelindaifnuurzhyanfa@gmail.com</t>
  </si>
  <si>
    <t>KEDAI AJENG</t>
  </si>
  <si>
    <t>ARMANTO</t>
  </si>
  <si>
    <t>Tantangan terbesar biasanya ada pada komunikasi dan struktur birokrasi. Sosialisasi tentang JPH masih terbatas, sehingga banyak informasi penting yang sulit sampai ke UMKM. Proses sertifikasi sering terasa rumit dan memakan waktu, apalagi bagi usaha kecil yang punya sumber daya terbatas. Selain itu, keterbatasan modal dan tenaga ahli membuat implementasi jadi lebih berat. Kadang juga ada kebingungan dalam disposisi tanggung jawab, misalnya siapa yang harus mengurus bagian tertentu, sehingga koordinasi jadi lambat.</t>
  </si>
  <si>
    <t xml:space="preserve">Ya, saya merasa ada faktor yang lebih penting, terutama terkait pemahaman tentang sertifikasi halal dan akses bahan baku yang halal. Banyak pelaku usaha UMKM masih kesulitan memahami prosedur JPH, sehingga sosialisasi dan pelatihan menjadi sangat penting. Selain itu, harga dan ketersediaan bahan baku halal juga memengaruhi kemampuan kami untuk memproduksi makanan dan minuman sesuai standar. Dukungan dari pemerintah atau lembaga terkait, misalnya melalui kemudahan proses sertifikasi dan bantuan informasi, juga sangat membantu agar implementasi JPH bisa berjalan lancar tanpa membebani usaha kecil.
</t>
  </si>
  <si>
    <t>Ya, faktor edukasi konsumen dan kesadaran pasar juga sangat memengaruhi. Jika konsumen lebih memahami pentingnya produk halal, permintaan meningkat, sehingga pelaku usaha lebih termotivasi untuk menerapkan JPH. Selain itu, dukungan teknologi, seperti aplikasi untuk memantau sertifikasi atau sumber bahan baku halal, juga membantu memperlancar implementasi, meskipun tidak termasuk dalam kriteria komunikasi, sumber daya, disposisi, atau birokrasi.</t>
  </si>
  <si>
    <t>armantopena@gmail.com</t>
  </si>
  <si>
    <t>YULIATIN</t>
  </si>
  <si>
    <t>ya3414202@gmail.com</t>
  </si>
  <si>
    <t>SUSU BERKAH</t>
  </si>
  <si>
    <t xml:space="preserve">Bambang suwito </t>
  </si>
  <si>
    <t xml:space="preserve">pu yais </t>
  </si>
  <si>
    <t>berdikarikopi@yopmail.com</t>
  </si>
  <si>
    <t>Berdikari</t>
  </si>
  <si>
    <t>FITRIANA PRILANINGSIH</t>
  </si>
  <si>
    <t>sekah54196@darkse.com</t>
  </si>
  <si>
    <t>takoyaki bu FITRIANA PRILANINGSIH</t>
  </si>
  <si>
    <t>LAILY PERMATA SARI</t>
  </si>
  <si>
    <t>pekalongan</t>
  </si>
  <si>
    <t>lailypermatasari@awgarstone.com</t>
  </si>
  <si>
    <t>PERINTIS JAYA SNACK</t>
  </si>
  <si>
    <t>WINARSIH</t>
  </si>
  <si>
    <t>semarang</t>
  </si>
  <si>
    <t>9nvofnerz9@rentforsale7.com</t>
  </si>
  <si>
    <t>Cilung</t>
  </si>
  <si>
    <t>TRIAWAN</t>
  </si>
  <si>
    <t>Akses layanan yang tidak merata, terutama di luar Jawa, menjadi tantangan besar.</t>
  </si>
  <si>
    <t>postcycy@atlantackd.com</t>
  </si>
  <si>
    <t>Cilok Traiwan</t>
  </si>
  <si>
    <t>ADIK SURYANI</t>
  </si>
  <si>
    <t>puYAIS</t>
  </si>
  <si>
    <t>tegal</t>
  </si>
  <si>
    <t>Nur Hayati</t>
  </si>
  <si>
    <t>nurhayati80@ceknesia.com</t>
  </si>
  <si>
    <t xml:space="preserve">jawa tengah </t>
  </si>
  <si>
    <t>Keong Tepung Crispy Nurhayati</t>
  </si>
  <si>
    <t>ANA LISTIANA</t>
  </si>
  <si>
    <t>Pengawasan pasca-sertifikasi yang lemah karena keterbatasan sumber daya, sehingga kepatuhan sulit dipantau.</t>
  </si>
  <si>
    <t>gejife6215@hidelux.com</t>
  </si>
  <si>
    <t>CILOK ANA</t>
  </si>
  <si>
    <t>DENNY PUTRANTO MARIS</t>
  </si>
  <si>
    <t>dennyblitar@gmail.com</t>
  </si>
  <si>
    <t>"Minuman Tradisional ""JLS"" (Jahe, Lemon, Serai)"</t>
  </si>
  <si>
    <t>DEWI LESTARI</t>
  </si>
  <si>
    <t>Pelaksanaan skema self-declare bagi UMKM masih menghadapi tantangan dalam hal verifikasi kebenaran data yang disampaikan.</t>
  </si>
  <si>
    <t>xoreb87488@bizatop.com</t>
  </si>
  <si>
    <t>KUE PUTU AYU MBAK DEWI</t>
  </si>
  <si>
    <t>MUKLISIN</t>
  </si>
  <si>
    <t>Keterbatasan teknologi informasi untuk membangun sistem JPH yang sepenuhnya terintegrasi.</t>
  </si>
  <si>
    <t>alma36483c@cabovertrans.com</t>
  </si>
  <si>
    <t>bolu karamel</t>
  </si>
  <si>
    <t>HARDI SUWITO</t>
  </si>
  <si>
    <t>Tantangan komunikasi terbesar adalah menyatukan pemahaman tentang makna "produk halal" di antara semua pihak.</t>
  </si>
  <si>
    <t>feled34826@goulink.com</t>
  </si>
  <si>
    <t>Goreng Tahu Isi Warung Pak Hardi</t>
  </si>
  <si>
    <t>MAR KAMAH</t>
  </si>
  <si>
    <t>Lemahnya penegakan hukum bagi pelanggar, sehingga tidak ada efek jera yang membuat kepatuhan rendah.</t>
  </si>
  <si>
    <t>vladimirshefer@samcloudq.com</t>
  </si>
  <si>
    <t>BURJO BU MAR</t>
  </si>
  <si>
    <t>SOIM</t>
  </si>
  <si>
    <t>Komunikasi yang kurang efektif dalam menjelaskan manfaat sertifikasi halal bagi produk non-konsumsi, seperti feedstock industri.</t>
  </si>
  <si>
    <t>fijim85709@pixatate.com</t>
  </si>
  <si>
    <t>Gula merah kelapa Soim</t>
  </si>
  <si>
    <t>MAT SUBANDI</t>
  </si>
  <si>
    <t>KAB. DEMAK</t>
  </si>
  <si>
    <t>Birokrasi yang masih terfragmentasi di tingkat provinsi dan kabupaten/kota, menyulitkan implementasi terpadu.</t>
  </si>
  <si>
    <t>matsubandi@awgarstone.com</t>
  </si>
  <si>
    <t>Es Campur Bunda Sarimah</t>
  </si>
  <si>
    <t>AMIATI</t>
  </si>
  <si>
    <t>pelaku  usaha</t>
  </si>
  <si>
    <t>Sumber daya yang minim untuk melakukan riset pasar terkait preferensi konsumen terhadap produk halal.</t>
  </si>
  <si>
    <t>fua.d.has543@gmail.com</t>
  </si>
  <si>
    <t>AMIATI GULA MERAH</t>
  </si>
  <si>
    <t>KHOJALI</t>
  </si>
  <si>
    <t>Tantangan disposisi pada level konsumen untuk lebih aktif mencari produk bersertifikat halal.</t>
  </si>
  <si>
    <t>khojali110279@milkgitter.com</t>
  </si>
  <si>
    <t>Jus Buah Bang Khojali</t>
  </si>
  <si>
    <t>RISWATI</t>
  </si>
  <si>
    <t>Birokrasi yang belum sepenuhnya responsif terhadap feedback atau keluhan dari pelaku usaha.</t>
  </si>
  <si>
    <t>riswat@milkgitter.com</t>
  </si>
  <si>
    <t>Telur Asin SRJ</t>
  </si>
  <si>
    <t>NUR MUHAMMAD</t>
  </si>
  <si>
    <t>Kurangnya insentif spesifik dari pemerintah untuk mendorong UMKM non-makanan bersertifikasi halal.</t>
  </si>
  <si>
    <t>nurmuhammad@moongit.com</t>
  </si>
  <si>
    <t>Siomay Ikan Rapatio Enak</t>
  </si>
  <si>
    <t>RASINAH</t>
  </si>
  <si>
    <t>Ada juga yang ragu karena merasa prosedurnya tetap rumit meski gratis, sehingga masih menunda mendaftar.</t>
  </si>
  <si>
    <t>rasinah@yogirt.com</t>
  </si>
  <si>
    <t>gula merah bubuk</t>
  </si>
  <si>
    <t>WARYATI</t>
  </si>
  <si>
    <t>Proses verifikasi bisa lama karena menumpuk di BPJPH dan LPH.</t>
  </si>
  <si>
    <t>iliebarb@homeremedynews.com</t>
  </si>
  <si>
    <t xml:space="preserve">keripik pisang </t>
  </si>
  <si>
    <t>ILMIYATUN NI'MAH</t>
  </si>
  <si>
    <t>Beberapa UMK masih menggunakan bahan yang belum jelas status kehalalannya, sehingga sulit memenuhi persyaratan SEHATI.</t>
  </si>
  <si>
    <t>Es Lilin Bu Ilmi</t>
  </si>
  <si>
    <t>MUSTOFA</t>
  </si>
  <si>
    <t>Sebagian pelaku usaha merasa sertifikat halal bukan prioritas, sehingga meski ada program gratis tetap enggan mengurus.</t>
  </si>
  <si>
    <t>cahaw84990@onecbm.com</t>
  </si>
  <si>
    <t>Nasi goreng mas yuli</t>
  </si>
  <si>
    <t>ARIS SETIAWAN</t>
  </si>
  <si>
    <t>Pendaftaran dilakukan secara online, tapi banyak UMK di daerah terpencil kesulitan karena keterbatasan internet atau gaptek.</t>
  </si>
  <si>
    <t>arissetiawan@yogirt.com</t>
  </si>
  <si>
    <t>PRDUKSI RUMAHAN PAK ARIS</t>
  </si>
  <si>
    <t>WAHYU SUTEJO</t>
  </si>
  <si>
    <t>Karena antrian panjang di BPJPH dan LPH, banyak UMK harus menunggu berbulan-bulan untuk keluar sertifikat.</t>
  </si>
  <si>
    <t>silan32699@sfpixel.com</t>
  </si>
  <si>
    <t>Es Cendol Bang Tejo</t>
  </si>
  <si>
    <t>SLAMET RIYADI</t>
  </si>
  <si>
    <t>Sosialisasi program sering tidak sampai ke UMK di daerah, sehingga banyak pelaku usaha tidak tahu cara mendaftar.</t>
  </si>
  <si>
    <t>blade5321@sangitasinha.click</t>
  </si>
  <si>
    <t>Es kado pak Slamet</t>
  </si>
  <si>
    <t>SUKARWI</t>
  </si>
  <si>
    <t>Program SEHATI mensyaratkan adanya pendamping, tapi jumlah pendamping belum merata di semua daerah.</t>
  </si>
  <si>
    <t>sukarwi@moongit.com</t>
  </si>
  <si>
    <t>Es Tebu Pak Wi</t>
  </si>
  <si>
    <t>SETIA TEGUH PANULUNG</t>
  </si>
  <si>
    <t xml:space="preserve">kab Pati </t>
  </si>
  <si>
    <t>Dokumen seperti NIB, NPWP, KTP, daftar produk, dan bahan baku seringkali membingungkan bagi UMK yang belum terbiasa dengan birokrasi.</t>
  </si>
  <si>
    <t>setiateguhpanulung@moongit.com</t>
  </si>
  <si>
    <t>Onde-onde &amp; Molen mini</t>
  </si>
  <si>
    <t>CHOLIDA FADILA ABIDIN</t>
  </si>
  <si>
    <t>KOTA KUPANG</t>
  </si>
  <si>
    <t>kemalalvaro0@gmail.com</t>
  </si>
  <si>
    <t>KEDAI FADILAH</t>
  </si>
  <si>
    <t>SUNARSIH AMARADJA</t>
  </si>
  <si>
    <t>risna.amaradja7@gmail.com</t>
  </si>
  <si>
    <t>GORENGAN BAROKAH</t>
  </si>
  <si>
    <t>Eric Jaya Saputra</t>
  </si>
  <si>
    <t>Produsen Keripik Ubi</t>
  </si>
  <si>
    <t>Barito Selatan</t>
  </si>
  <si>
    <t>Kadang informasi aturan halal disampaikan dengan bahasa teknis banget, jadi UMKM kayak saya sering salah paham. Kalau aja penjelasannya lebih simpel dan rutin ada sosialisasi, pasti kita lebih gampang ngikutin tanpa takut salah langkah</t>
  </si>
  <si>
    <t>Birokrasi juga lumayan panjang, bolak-balik urus dokumen bikin tenaga dan waktu kebuang</t>
  </si>
  <si>
    <t>kalau alurnya jelas dan praktis, kita bisa lebih fokus ke produksi sambil tetap beresin sertifikasi halal.</t>
  </si>
  <si>
    <t>eric.jaya.saputra01@gmail.com</t>
  </si>
  <si>
    <t>Kalimantan Tengah</t>
  </si>
  <si>
    <t>Kuliner (Keripik)</t>
  </si>
  <si>
    <t>Diva Rahmadani Noor</t>
  </si>
  <si>
    <t>Pemilik Warung Soto Banjar</t>
  </si>
  <si>
    <t>Palangka Raya</t>
  </si>
  <si>
    <t>biaya uji halal itu lumayan berat buat usaha kecil. Modal kita terbatas, jadi sumber daya jelas jadi kendala utama. Kalau ada subsidi atau bantuan dari pemerintah, pasti prosesnya jauh lebih ringan.</t>
  </si>
  <si>
    <t>Sikap petugas juga punya pengaruh besar. Ada yang ramah bikin kita pede, tapi ada juga yang kaku sampai bikin minder. disposisi ini penting, karena kalau petugas sabar dan komunikatif, prosesnya terasa lebih lancar dan nggak menakutkan.</t>
  </si>
  <si>
    <t>diva.rahmadani.noor02@gmail.com</t>
  </si>
  <si>
    <t>Kuliner (Warung Makan)</t>
  </si>
  <si>
    <t>MARWIAH CH.S.ULUMANDO</t>
  </si>
  <si>
    <t>aktor lain yang juga berpengaruh adalah dukungan politik dan komitmen pemerintah. Tanpa regulasi yang kuat, pendanaan yang cukup, dan koordinasi antar instansi, implementasi JPH tidak akan berjalan optimal dan berkelanjutan.</t>
  </si>
  <si>
    <t>marwiahchadijah@gmail.com</t>
  </si>
  <si>
    <t>CHADIJAH CH.S. ULUMANDO</t>
  </si>
  <si>
    <t>Liana Andayani</t>
  </si>
  <si>
    <t>Produsen Minuman Jahe Instan</t>
  </si>
  <si>
    <t>Kotawaringin Timur</t>
  </si>
  <si>
    <t xml:space="preserve">Komunikasi soal aturan halal, banyak istilah teknis yang bikin bingung. Buat saya komunikasi ini yang paling penting, biar nggak salah langkah pas ngurus sertifikasi. </t>
  </si>
  <si>
    <t>Sumber daya juga jadi tantangan. Uji lab itu biayanya lumayan, sementara modal terbatas. Kalau ada subsidi atau dukungan dari pemerintah, usaha kecil kayak kami bisa lebih gampang penuhi standar halal. Support komunitas UMKM bikin kita semangat terus.</t>
  </si>
  <si>
    <t>Struktur birokrasi menurut saya juga bikin capek, alurnya panjang dan bolak-balik. Kalau jalurnya dipersingkat pasti lebih gampang. Dorongan keluarga bikin saya tetap yakin jalanin proses halal ini meski lama.</t>
  </si>
  <si>
    <t>Minuman (Herbal)</t>
  </si>
  <si>
    <t>Yansen Dwi Pratama</t>
  </si>
  <si>
    <t>Pelaku Usaha Herbal</t>
  </si>
  <si>
    <t>Katingan</t>
  </si>
  <si>
    <t xml:space="preserve">komunikasi dari pihak terkait. Kadang informasinya telat sampai, jadi bingung harus mulai dari mana. komunikasi yang jelas lebih penting, biar nggak salah langkah.  Sosialisasi rutin di daerah pelosok juga penting banget. </t>
  </si>
  <si>
    <t>sebenarnya produk rotan nggak serumit makanan soal uji lab. Tapi biaya administrasi dan pengurusan tetap terasa berat. Jadi sumber daya masih jadi tantangan</t>
  </si>
  <si>
    <t>Birokrasi panjang, harus bolak-balik dokumen. Menurut saya struktur birokrasi paling dominan. Dukungan sesama pengrajin rotan juga bikin lebih semangat ngejalanin proses halal.</t>
  </si>
  <si>
    <t>yandwi.pratama04@gmail.com</t>
  </si>
  <si>
    <t>Minuman Herbal</t>
  </si>
  <si>
    <t>SUSIANI</t>
  </si>
  <si>
    <t>susiani191178@gmail.com</t>
  </si>
  <si>
    <t>Ayam Geprek Susi</t>
  </si>
  <si>
    <t>Muti Norhayati Dewi</t>
  </si>
  <si>
    <t>Kapuas</t>
  </si>
  <si>
    <t>Biaya uji halal untuk kue kering lumayan bikin pusing, apalagi modal kecil. Jadi menurut saya sumber daya paling berat. Konsumen sekarang makin peduli halal, jadi kita mau nggak mau harus jalani biar tetap dipercaya.</t>
  </si>
  <si>
    <t>Komunikasi soal aturan halal kadang kurang jelas, sering bingung sama istilah teknis. Menurut saya komunikasi paling penting biar UMKM kecil kayak saya nggak salah jalan. Workshop halal yang sering diadain kampus atau dinas itu sangat membantu.</t>
  </si>
  <si>
    <t>Birokrasi panjang bikin usaha kecil kehilangan waktu produksi. Menurut saya struktur birokrasi paling dominan. Dorongan keluarga bikin saya tetap semangat ngurus halal.</t>
  </si>
  <si>
    <t>muti.dewi05@gmail.com</t>
  </si>
  <si>
    <t>HADIJAH TUSSA'ADIAH P. ULUMANDO</t>
  </si>
  <si>
    <t>ulumandohadijah3@gmail.com</t>
  </si>
  <si>
    <t>SALDIFA MINUMAN</t>
  </si>
  <si>
    <t>Ezza Agus Rahman</t>
  </si>
  <si>
    <t>Produsen Minyak Kelapa</t>
  </si>
  <si>
    <t>Kotawaringin Barat</t>
  </si>
  <si>
    <t xml:space="preserve">biaya uji lab, jujur lumayan mahal buat usaha kecil. Jadi menurut saya sumber daya paling penting, karena tanpa modal tambahan ya proses halal susah jalan. </t>
  </si>
  <si>
    <t xml:space="preserve">Komunikasi soal aturan kadang telat dan bahasanya teknis banget, bikin bingung harus ngikutin standar yang mana. Makanya buat saya komunikasi paling penting, biar produk herbal tradisional kayak minyak kelapa ini tetap bisa jalan lancar. </t>
  </si>
  <si>
    <t>Birokrasi panjang, dokumen harus bolak-balik. Menurut saya struktur birokrasi. Dorongan pasar yang makin peduli produk halal bikin tetap semangat</t>
  </si>
  <si>
    <t>ezzarahman06@gmail.com</t>
  </si>
  <si>
    <t>Minuman/ Oil Herbal</t>
  </si>
  <si>
    <t>IDA INDRAWATI</t>
  </si>
  <si>
    <t>ida18081974@gmail.com</t>
  </si>
  <si>
    <t>Aneka Jus Annisa</t>
  </si>
  <si>
    <t>BLKK YAYASAN ALFA OMEGA</t>
  </si>
  <si>
    <t>blkkyaokupang@gmail.com</t>
  </si>
  <si>
    <t>NUSA TENGGARA TIMUR</t>
  </si>
  <si>
    <t>DIAGLOS Jus Kunyit</t>
  </si>
  <si>
    <t>OKTOVIANA HANING</t>
  </si>
  <si>
    <t>xiaomi.lite990@gmail.com</t>
  </si>
  <si>
    <t>KANTIN ANGGA</t>
  </si>
  <si>
    <t>HAPSARI UMAR</t>
  </si>
  <si>
    <t>yodoye4399@baxidy.com</t>
  </si>
  <si>
    <t>Jus Ceria</t>
  </si>
  <si>
    <t>Asep Suherman</t>
  </si>
  <si>
    <t>Produsen Keripik Singkong</t>
  </si>
  <si>
    <t>Serang</t>
  </si>
  <si>
    <t>komunikasi sama sumber daya, karena kadang info yang nyampe ke pelaku usaha nggak jelas, ditambah jumlah auditor dan fasilitas yang terbatas bikin proses jadi lama.</t>
  </si>
  <si>
    <t>komunikasi dan sumber daya jauh lebih krusial daripada disposisi atau birokrasi, soalnya tanpa dua hal itu, aturan bagus pun susah jalan.</t>
  </si>
  <si>
    <t>kesadaran pelaku usaha dan dukungan teknologi digital; kalau orang udah paham pentingnya halal dan sistem online-nya gampang dipakai, proses JPH bisa jauh lebih lancar.</t>
  </si>
  <si>
    <t>asepsuherman42@gmail.com</t>
  </si>
  <si>
    <t>banten</t>
  </si>
  <si>
    <t>Neng Siti Maryati</t>
  </si>
  <si>
    <t>Pemilik Warung Nasi Uduk</t>
  </si>
  <si>
    <t>Pandeglang</t>
  </si>
  <si>
    <t>birokrasi yang ribet dan disposisi yang kurang konsisten, jadi sering bikin proses sertifikasi halal terasa lambat dan membingungkan.</t>
  </si>
  <si>
    <t>struktur birokrasi sama disposisi petugas, karena kalau aparatnya komitmen dan alurnya simpel, komunikasi dan sumber daya bisa lebih gampang diatur.</t>
  </si>
  <si>
    <t>soal biaya dan dukungan politik; kalau ada subsidi atau dukungan regulasi yang kuat, pelaku usaha bakal lebih semangat ikut proses JPH.</t>
  </si>
  <si>
    <t>nmaryati57@gmail.com</t>
  </si>
  <si>
    <t>Ujang Jaelani</t>
  </si>
  <si>
    <t>Produsen Obat Herbal</t>
  </si>
  <si>
    <t>Lebak</t>
  </si>
  <si>
    <t>komunikasi soal standar halal untuk herbal, soalnya pelaku usaha kadang bingung bahan mana yang boleh, mana yang harus diuji lagi.</t>
  </si>
  <si>
    <t>sumber daya paling penting, terutama jumlah laboratorium dan auditor yang ngerti produk herbal, biar proses sertifikasi nggak molor.</t>
  </si>
  <si>
    <t>riset dan literasi konsumen; kalau orang paham pentingnya halal di obat herbal, produsen juga lebih terdorong buat ikut aturan.</t>
  </si>
  <si>
    <t>jaelani63@gmail.com</t>
  </si>
  <si>
    <t>Euis Kartini</t>
  </si>
  <si>
    <t>Cilegon</t>
  </si>
  <si>
    <t>komunikasi soal bahan tambahan, misalnya pewarna atau pengawet, karena nggak semua pelaku usaha kue basah tahu status halalnya.</t>
  </si>
  <si>
    <t>umber daya, terutama jumlah auditor dan pendamping halal buat UMKM kecil, biar mereka nggak bingung ngurusin sertifikasi.</t>
  </si>
  <si>
    <t>biaya sertifikasi, kadang bikin pelaku usaha kecil mundur duluan sebelum mulai proses</t>
  </si>
  <si>
    <t>skartini34@gmail.com</t>
  </si>
  <si>
    <t>Deden Rohman</t>
  </si>
  <si>
    <t>Produsen Kopi Bubuk</t>
  </si>
  <si>
    <t>Kota Serang</t>
  </si>
  <si>
    <t>komunikasi soal bahan campuran seperti creamer, gula, atau flavor tambahan, karena ini yang sering bikin status halal produk kopi bubuk jadi rumit.</t>
  </si>
  <si>
    <t>sumber daya, sebab tanpa auditor dan fasilitas uji yang cukup, proses sertifikasi bisa makan waktu lama.</t>
  </si>
  <si>
    <t>teknologi digital, misalnya sistem online pendaftaran halal yang user-friendly biar pelaku usaha kopi bubuk nggak repot.</t>
  </si>
  <si>
    <t>denrohman71@gmail.com</t>
  </si>
  <si>
    <t>Teti Nurjanah</t>
  </si>
  <si>
    <t>Produsen Minuman Herbal</t>
  </si>
  <si>
    <t>Tantangan paling kerasa ada di sumber daya, karena nggak semua lab punya fasilitas buat uji ekstrak herbal, jadi prosesnya sering molor.</t>
  </si>
  <si>
    <t>ang paling penting itu komunikasi, biar pelaku usaha tahu jelas bahan mana yang harus diperiksa, soalnya banyak campuran herbal dari berbagai daerah.</t>
  </si>
  <si>
    <t>literasi konsumen, kalau masyarakat makin paham pentingnya halal di produk herbal, otomatis produsen juga lebih serius ngurus sertifikasi.</t>
  </si>
  <si>
    <t>tetinur29@gmail.com</t>
  </si>
  <si>
    <t>Minuman kesehatan</t>
  </si>
  <si>
    <t>Encep Kurnia</t>
  </si>
  <si>
    <t>Pedagang Soto Banten</t>
  </si>
  <si>
    <t>komunikasi, soalnya banyak pedagang kecil yang nggak paham syarat detail sertifikasi halal.</t>
  </si>
  <si>
    <t>sumber daya lebih penting, terutama pendamping halal yang bisa bimbing pedagang UMKM biar nggak bingung ngurus berkas</t>
  </si>
  <si>
    <t>biaya sertifikasi, karena buat pedagang kaki lima, biaya tambahan bisa jadi beban besar.</t>
  </si>
  <si>
    <t>kurnia86@gmail.com</t>
  </si>
  <si>
    <t>Neneng Rukmini</t>
  </si>
  <si>
    <t>Produsen Skincare Herbal</t>
  </si>
  <si>
    <t>Tangerang Selatan</t>
  </si>
  <si>
    <t>Tantangan terberat ada di komunikasi antar lembaga, kadang aturan dari BPOM, JPH, dan standar kosmetik belum sinkron, bikin pelaku usaha bingung.</t>
  </si>
  <si>
    <t>Yang paling penting buat saya itu disposisi petugas, kalau mereka bisa mendampingi dengan sabar, pelaku usaha merasa dimudahkan.</t>
  </si>
  <si>
    <t>dukungan teknologi digital, seperti aplikasi pendaftaran halal yang user-friendly, biar proses lebih cepat.</t>
  </si>
  <si>
    <t>rukmini91@gmail.com</t>
  </si>
  <si>
    <t>Dadan Firmansyah</t>
  </si>
  <si>
    <t>Produsen Dodol</t>
  </si>
  <si>
    <t>komunikasi, soalnya banyak produsen kecil belum ngerti detail bahan tambahan apa aja yang harus dicek kehalalannya.</t>
  </si>
  <si>
    <t>sumber daya lebih penting, terutama keberadaan pendamping halal yang bisa bantu UMKM tradisional kayak produsen dodol.</t>
  </si>
  <si>
    <t>biaya produksi, karena kalau harus nambah biaya sertifikasi, sering dianggap memberatkan usaha kecil.</t>
  </si>
  <si>
    <t>firmansyah55@gmail.com</t>
  </si>
  <si>
    <t>Detti Rukayah</t>
  </si>
  <si>
    <t>struktur birokrasi, prosedurnya panjang padahal produk kopi warung biasanya sederhana.</t>
  </si>
  <si>
    <t>komunikasi, biar pedagang ngerti langkah-langkahnya dengan bahasa yang mudah.</t>
  </si>
  <si>
    <t>kesadaran pelanggan, kalau konsumen warung kopi makin peduli halal, pemilik warung pasti lebih semangat ngurus sertifikat.</t>
  </si>
  <si>
    <t>etirukayah64@gmail.com</t>
  </si>
  <si>
    <t>Minuman &amp; Makanan</t>
  </si>
  <si>
    <t>Ayi Sutisna</t>
  </si>
  <si>
    <t>Produsen Sambal</t>
  </si>
  <si>
    <t>disposisi petugas, kadang pemilik warung merasa kurang didampingi dan bingung sendiri soal dokumen.</t>
  </si>
  <si>
    <t>struktur birokrasi yang simpel, supaya pedagang kecil nggak takut duluan pas mau daftar</t>
  </si>
  <si>
    <t>dukungan komunitas/kelompok pedagang, karena kalau ada program bareng-bareng sertifikasi halal, semua jadi lebih ringan.</t>
  </si>
  <si>
    <t>ayisutisna48@gmail.com</t>
  </si>
  <si>
    <t>Yayah Komariah</t>
  </si>
  <si>
    <t>Produsen Minuman Rempah</t>
  </si>
  <si>
    <t>komunikasi soal standar halal, karena kadang produsen bingung bahan rempah campuran mana yang perlu diuji lebih lanjut.</t>
  </si>
  <si>
    <t>struktur birokrasi yang ringkas lebih penting, karena kalau alurnya terlalu panjang UMKM bisa mundur duluan.</t>
  </si>
  <si>
    <t>kesadaran konsumen lokal, makin banyak yang peduli label halal di minuman tradisional bikin produsen lebih termotivasi.</t>
  </si>
  <si>
    <t>ykomariah39@gmail.com</t>
  </si>
  <si>
    <t>Minuman  Kesehatan</t>
  </si>
  <si>
    <t>H. Oman Sulaeman</t>
  </si>
  <si>
    <t>Pemilik Warung Makan Sunda</t>
  </si>
  <si>
    <t>disposisi petugas, pedagang kadang merasa nggak ada yang dampingi dari awal sampai akhir proses.</t>
  </si>
  <si>
    <t>struktur birokrasi yang dipermudah, biar pedagang kecil nggak takut duluan.</t>
  </si>
  <si>
    <t>kesadaran konsumen, karena kalau pelanggan makin peduli halal, warung nasi akan lebih termotivasi ngurus JPH.</t>
  </si>
  <si>
    <t>ho.sulaeman67@gmail.com</t>
  </si>
  <si>
    <t>Iis Mulyani</t>
  </si>
  <si>
    <t>Produsen Roti Tradisional</t>
  </si>
  <si>
    <t>komunikasi soal bahan tambahan kayak pengembang, emulsifier, atau mentega impor, karena produsen kecil sering nggak tahu status halalnya.</t>
  </si>
  <si>
    <t>biaya sertifikasi, karena buat produsen roti rumahan, tambahan biaya ini lumayan berat.</t>
  </si>
  <si>
    <t>iismulyani73@gmail.com</t>
  </si>
  <si>
    <t>Dedi Permana</t>
  </si>
  <si>
    <t>Tantangan terbesar biasanya ada di komunikasi soal standar halal untuk bahan tambahan. Produsen kue kering sering pakai butter, margarin, perisa, atau pewarna yang status halalnya nggak selalu jelas. Karena informasi yang nyampe ke pelaku usaha kadang terbatas, banyak yang bingung mana yang harus dicek lebih lanjut.</t>
  </si>
  <si>
    <t>umber daya adalah faktor paling penting. Produsen UMKM kue kering butuh pendamping halal yang sabar ngejelasin langkah-langkah, sekaligus lab uji yang terjangkau. Kalau sumber daya manusia dan fasilitas cukup, proses sertifikasi bisa jauh lebih cepat, jadi produsen nggak merasa ribet.</t>
  </si>
  <si>
    <t>biaya dan dukungan pasar. Banyak produsen kue kering skala rumahan yang mikir-mikir karena khawatir sertifikasi halal itu mahal. Padahal kalau ada program subsidi atau permintaan konsumen makin tinggi untuk produk halal, produsen akan lebih termotivasi buat ikut aturan JPH.</t>
  </si>
  <si>
    <t>dedipermana59@gmail.com</t>
  </si>
  <si>
    <t>Yuyun Sulastri</t>
  </si>
  <si>
    <t>komunikasi soal standar halal untuk proses produksi. Minyak kelapa terlihat sederhana, tapi dalam praktiknya sering pakai proses tambahan seperti fermentasi, penyaringan, atau pengemasan yang kadang menimbulkan kebingungan apakah semua tahap sudah sesuai standar halal.</t>
  </si>
  <si>
    <t>Produsen minyak kelapa kesehatan butuh auditor atau pendamping yang benar-benar paham proses pengolahan minyak. Ditambah lagi, fasilitas uji laboratorium harus cukup dan mudah dijangkau, supaya UMKM nggak kesulitan memastikan kehalalan produknya.</t>
  </si>
  <si>
    <t>esadaran konsumen dan dukungan pemerintah. Minyak kelapa banyak dipasarkan untuk kesehatan, jadi kalau konsumen lebih percaya produk yang sudah halal, otomatis produsen akan terdorong untuk sertifikasi.</t>
  </si>
  <si>
    <t>yusulastri84@gmail.com</t>
  </si>
  <si>
    <t>Produk Kesehatan</t>
  </si>
  <si>
    <t>Aang Ridwan</t>
  </si>
  <si>
    <t>Produsen Keripik Pisang</t>
  </si>
  <si>
    <t>Kota Tangerang</t>
  </si>
  <si>
    <t>komunikasi soal penggunaan bahan tambahan, kayak bumbu tabur, pewarna, atau minyak goreng curah. Banyak produsen keripik pisang skala rumahan yang hanya fokus pada produksi, tapi kurang paham apakah semua bahan pendukung sudah halal bersertifikat. Kadang informasi yang diterima juga minim, jadi mereka bingung sendiri saat diminta melengkapi dokumen.</t>
  </si>
  <si>
    <t>komunikasi dan sumber daya adalah faktor paling penting. Komunikasi yang jelas bikin pelaku usaha ngerti tahap demi tahap sertifikasi halal. Sedangkan sumber daya, seperti pendamping halal yang bisa turun langsung dan laboratorium uji sederhana, sangat dibutuhkan supaya UMKM nggak merasa ditinggalkan. Kalau dua faktor ini kuat, produsen bisa lebih mudah jalani proses JPH.</t>
  </si>
  <si>
    <t>Banyak produsen keripik pisang adalah UMKM kecil dengan modal terbatas, jadi sertifikasi dianggap beban tambahan. Kalau ada subsidi biaya atau sertifikasi kolektif lewat asosiasi UMKM, tentu lebih ringan. Selain itu, makin banyak konsumen yang cari produk halal, makin besar motivasi produsen buat ikut sertifikasi.</t>
  </si>
  <si>
    <t>aangridwan44@gmail.com</t>
  </si>
  <si>
    <t>Produk Olahan</t>
  </si>
  <si>
    <t>Oom Kom</t>
  </si>
  <si>
    <t>komunikasi, soalnya banyak pemilik warung nggak ngerti jelas aturan sertifikasi halal, apalagi bahan masakan kan macam-macam.</t>
  </si>
  <si>
    <t>yang paling penting itu alur birokrasi yang gampang dan penjelasan yang jelas, biar pedagang kecil nggak takut duluan pas mau daftar.</t>
  </si>
  <si>
    <t>biaya sama kesadaran pembeli; kalau biaya bisa dibantu pemerintah dan pembeli makin peduli halal, pasti pemilik warung lebih semangat ngurus sertifikasi.</t>
  </si>
  <si>
    <t>oomkomalasari77@gmail.com</t>
  </si>
  <si>
    <t>Eman Suryana</t>
  </si>
  <si>
    <t>Produsen Jahe Instan</t>
  </si>
  <si>
    <t>komunikasi soal bahan tambahan, misalnya gula, perisa, atau kemasan, karena produsen sering nggak tahu mana yang harus dicek kehalalannya.</t>
  </si>
  <si>
    <t>biaya dan dukungan pasar; kalau ada bantuan biaya dari pemerintah dan makin banyak konsumen cari produk halal, produsen jahe instan pasti lebih semangat ngurus sertifikat</t>
  </si>
  <si>
    <t>emansuryana58@gmail.com</t>
  </si>
  <si>
    <t>Minuman Kesehatan</t>
  </si>
  <si>
    <t>Roro Dewi Sartika</t>
  </si>
  <si>
    <t xml:space="preserve">Pemilik Kafe </t>
  </si>
  <si>
    <t>komunikasi, karena banyak pemilik kafe belum paham detail aturan halal untuk minuman campuran, topping, atau bahan impor.</t>
  </si>
  <si>
    <t>struktur birokrasi yang sederhana, biar prosesnya nggak ribet dan pemilik kafe bisa lebih mudah ngurus.</t>
  </si>
  <si>
    <t>kesadaran pelanggan, karena kalau konsumen kafe makin peduli halal, pemilik kafe pasti lebih semangat buat ikut sertifikasi.</t>
  </si>
  <si>
    <t>dewisartika93@gmail.com</t>
  </si>
  <si>
    <t>Ahmad fauzan</t>
  </si>
  <si>
    <t>pemilik UMKM Kopi</t>
  </si>
  <si>
    <t>bandar lampung</t>
  </si>
  <si>
    <t>Yang paling bikin kerasa itu urusan birokrasi yang ribet banget. Kadang harus bolak-balik ngurus dokumen, dari satu meja ke meja lain, jadi makan waktu dan energi. Kalau jalurnya dibuat lebih simpel dan jelas, UMKM kayak aku bisa lebih cepat beresin urusan halal tanpa harus terlalu lama ninggalin usaha sehari-hari.</t>
  </si>
  <si>
    <t>struktur birokrasi ini jadi faktor paling berat. Karena di situ semua proses ditentukan—kalau alurnya panjang, ya otomatis lama dan ribet. Tapi kalau alurnya jelas, ringkas, dan ada pendampingan, pelaku usaha bisa lebih fokus ke produksi sambil tetap nurut sama aturan.</t>
  </si>
  <si>
    <t>dukungan komunitas kopi lokal. Kadang teman-teman sesama pelaku usaha kasih tips, pengalaman, bahkan saling bantu soal dokumen. Jadi meskipun ribet, ada rasa kebersamaan yang bikin nggak gampang nyerah.</t>
  </si>
  <si>
    <t>ahmadifauzan42@gmail.com</t>
  </si>
  <si>
    <t>Minuman (kopi lampung)</t>
  </si>
  <si>
    <t>Nisrina Siti Rahmawati</t>
  </si>
  <si>
    <t>produsen kripik pisang</t>
  </si>
  <si>
    <t>Banyak banget istilah teknis yang dipakai petugas, sementara UMKM kecil kayak aku nggak semuanya paham bahasa ribet begitu. Akhirnya sering bingung sendiri, takut salah isi dokumen, atau malah kelewat syarat penting.</t>
  </si>
  <si>
    <t>komunikasi ini jauh lebih penting dibanding yang lain. Soalnya kalau penjelasannya jelas, pakai bahasa sederhana, otomatis kita lebih gampang ngikutin alurnya. Jadi nggak ada salah paham, dan proses sertifikasi bisa jalan lebih lancar tanpa harus buang waktu buat tanya-tanya terus.</t>
  </si>
  <si>
    <t>sosialisasi rutin. Kalau ada update aturan baru, sebaiknya disampaikan langsung ke UMKM lewat pertemuan, pelatihan, atau media yang gampang diakses</t>
  </si>
  <si>
    <t>nisrinarahma57@gmail.com</t>
  </si>
  <si>
    <t>kuliner kripik</t>
  </si>
  <si>
    <t>Seption Ridho</t>
  </si>
  <si>
    <t>Produsen Seruit</t>
  </si>
  <si>
    <t>pesawaran</t>
  </si>
  <si>
    <t xml:space="preserve">Masalah paling terasa ada di biaya uji halal, apalagi dengan kondisi modal yang terbatas. Itu bikin sumber daya terasa jadi faktor paling penting dalam proses sertifikasi. </t>
  </si>
  <si>
    <t xml:space="preserve">Kalau ada subsidi atau keringanan biaya, pasti beban UMKM jadi lebih ringan dan lebih semangat buat jalanin prosesnya. </t>
  </si>
  <si>
    <t>sekarang pasar makin peduli sama produk halal. Jadi mau nggak mau, meski berat, pelaku usaha harus tetap berusaha nyelesain sertifikasi biar produk bisa diterima konsumen dengan lebih baik.</t>
  </si>
  <si>
    <t>septionridho83@gmail.com</t>
  </si>
  <si>
    <t>kuliner tradisional</t>
  </si>
  <si>
    <t>Ahmadi Fauzan</t>
  </si>
  <si>
    <t>Pemilik UMKM Kopi</t>
  </si>
  <si>
    <t>Struktur birokrasi ini jadi faktor paling berat. Karena di situ semua proses ditentukan—kalau alurnya panjang, ya otomatis lama dan ribet. Tapi kalau alurnya jelas, ringkas, dan ada pendampingan, pelaku usaha bisa lebih fokus ke produksi sambil tetap nurut sama aturan.</t>
  </si>
  <si>
    <t>Dukungan komunitas kopi lokal. Kadang teman-teman sesama pelaku usaha kasih tips, pengalaman, bahkan saling bantu soal dokumen. Jadi meskipun ribet, ada rasa kebersamaan yang bikin nggak gampang nyerah.</t>
  </si>
  <si>
    <t>Minuman (Kopi Lampung)</t>
  </si>
  <si>
    <t>Komunikasi ini jauh lebih penting dibanding yang lain. Soalnya kalau penjelasannya jelas, pakai bahasa sederhana, otomatis kita lebih gampang ngikutin alurnya. Jadi nggak ada salah paham, dan proses sertifikasi bisa jalan lebih lancar tanpa harus buang waktu buat tanya-tanya terus.</t>
  </si>
  <si>
    <t>Sosialisasi rutin. Kalau ada update aturan baru, sebaiknya disampaikan langsung ke UMKM lewat pertemuan, pelatihan, atau media yang gampang diakses</t>
  </si>
  <si>
    <t>Sekarang pasar makin peduli sama produk halal. Jadi mau nggak mau, meski berat, pelaku usaha harus tetap berusaha nyelesain sertifikasi biar produk bisa diterima konsumen dengan lebih baik.</t>
  </si>
  <si>
    <t>Kuliner Tradisional</t>
  </si>
  <si>
    <t>Aisyah Khairunnisa</t>
  </si>
  <si>
    <t>Pemilik Kosmetik Rumahan</t>
  </si>
  <si>
    <t>metro</t>
  </si>
  <si>
    <t xml:space="preserve">Biaya sertifikasi halal emang kerasa banget berat buat usaha kecil, kadang bikin mikir ulang mau lanjut atau nggak. </t>
  </si>
  <si>
    <t xml:space="preserve">sumber daya jadi hal yang paling penting, soalnya kalau ada modal dan dana yang cukup, proses uji sampai sertifikasi bisa lebih lancar tanpa terlalu terbebani. </t>
  </si>
  <si>
    <t>Faktor lain yang bikin tetap kuat adalah dukungan dari teman-teman sesama pelaku usaha, mereka sering berbagi pengalaman dan tips biar kita nggak salah langkah. Ditambah lagi dorongan keluarga juga jadi energi tambahan, bikin tetap semangat meskipun jalurnya panjang dan penuh tantangan.</t>
  </si>
  <si>
    <t>aisyahknisa29@gmail.com</t>
  </si>
  <si>
    <t xml:space="preserve">Sumber daya jadi hal yang paling penting, soalnya kalau ada modal dan dana yang cukup, proses uji sampai sertifikasi bisa lebih lancar tanpa terlalu terbebani. </t>
  </si>
  <si>
    <t>Kosmetik Herbal</t>
  </si>
  <si>
    <t>Abdul Karim</t>
  </si>
  <si>
    <t>Sikap petugas sering jadi kendala, ada yang ramah bikin proses lancar tapi ada juga yang kaku bikin minder.</t>
  </si>
  <si>
    <t>Disposisi petugas penting banget, karena kalau mereka sabar dan komunikatif, UMKM jadi lebih percaya diri ngurus sertifikasi.</t>
  </si>
  <si>
    <t>Pelatihan dari kampus atau lembaga pendamping juga sangat membantu, soalnya bisa kasih penjelasan tambahan biar pelaku usaha nggak salah langkah.</t>
  </si>
  <si>
    <t>abdulkarim61@gmail.com</t>
  </si>
  <si>
    <t>Minuman (Kopi Bubuk)</t>
  </si>
  <si>
    <t>Nurul Hidayah</t>
  </si>
  <si>
    <t>Produsen Kue Lapis</t>
  </si>
  <si>
    <t xml:space="preserve">Biaya tambahan untuk uji bahan memang jadi beban besar, terutama buat usaha kecil yang modalnya terbatas. </t>
  </si>
  <si>
    <t xml:space="preserve">Sumber daya jelas jadi faktor paling penting, karena tanpa cukup modal, proses sertifikasi halal terasa berat. </t>
  </si>
  <si>
    <t>Dukungan dari pemerintah juga seharusnya lebih nyata, bukan cuma sekadar wacana. Kalau ada bantuan dana atau subsidi yang benar-benar turun ke pelaku UMKM, proses halal bisa lebih ringan dijalani dan bikin semangat tetap jalan.</t>
  </si>
  <si>
    <t>nurulhdyh74@gmail.com</t>
  </si>
  <si>
    <t>Abdul karim</t>
  </si>
  <si>
    <t>produsen kopi bubuk</t>
  </si>
  <si>
    <t>lampung barat</t>
  </si>
  <si>
    <t>Produsen Sambal Tempoyak</t>
  </si>
  <si>
    <t xml:space="preserve">Jujur rasanya capek banget kalau harus bolak-balik ngurus halal, soalnya alurnya panjang dan berbelit. </t>
  </si>
  <si>
    <t xml:space="preserve">Struktur birokrasi menurutku jadi faktor paling bikin ribet, karena kalau jalurnya nggak jelas kita jadi buang waktu dan tenaga. </t>
  </si>
  <si>
    <t>Punya teman sesama UMKM yang sering kasih tips itu bener-bener nolong banget, jadi walaupun ribet tetap ada semangat karena bisa saling dukung dan berbagi pengalaman.</t>
  </si>
  <si>
    <t>hasanbasri95@gmail.com</t>
  </si>
  <si>
    <t>Kuliner (Sambal)</t>
  </si>
  <si>
    <t>Zainab Fatimah</t>
  </si>
  <si>
    <t xml:space="preserve">Info soal aturan halal itu sering banget datangnya telat, jadi bikin pelaku usaha kecil kayak aku suka ketinggalan update. </t>
  </si>
  <si>
    <t xml:space="preserve">Komunikasi itu paling penting, kalau penjelasannya jelas dan pakai bahasa sederhana, kita jadi nggak bingung. </t>
  </si>
  <si>
    <t>Sosialisasi ke desa-desa, biar pelaku usaha di kampung juga bisa paham aturan halal tanpa harus nunggu info belakangan.</t>
  </si>
  <si>
    <t>zainabfatimah38@gmail.com</t>
  </si>
  <si>
    <t>Yusuf Al Ghifari</t>
  </si>
  <si>
    <t xml:space="preserve">Uji lab itu mahal banget dan jujur bikin pusing buat usaha kecil, karena modal yang ada sering kali nggak cukup nutup semua biaya. </t>
  </si>
  <si>
    <t xml:space="preserve">Faktor sumber daya jelas paling berat, soalnya tanpa dana yang cukup, proses halal bisa jadi ketahan lama. </t>
  </si>
  <si>
    <t>Konsumen sekarang makin cerewet soal produk halal. Mau nggak mau, kita harus usaha lebih keras buat penuhi standar, karena kalau nggak, bisa-bisa produk kita ditinggal pembeli.</t>
  </si>
  <si>
    <t>yusufghifari67@gmail.com</t>
  </si>
  <si>
    <t>Maryam Lestari</t>
  </si>
  <si>
    <t>Proses halal yang panjang sering bikin usaha kecil kehilangan fokus utama. Waktu yang harusnya dipakai untuk produksi malah habis buat ngurus alur sertifikasi yang muter-muter, jadi terasa melelahkan dan bikin produktivitas turun.</t>
  </si>
  <si>
    <t>Struktur birokrasi adalah faktor yang paling berat. Alurnya terlalu banyak tahap dan syarat yang kadang nggak jelas, jadi pelaku usaha kayak saya harus bolak-balik urus dokumen. Kalau aja birokrasi dibuat lebih sederhana dan praktis, UMKM pasti lebih cepat menyelesaikan kewajiban halal.</t>
  </si>
  <si>
    <t>Permintaan konsumen terhadap produk halal semakin tinggi, jadi meskipun prosesnya ribet dan makan waktu, kami tetap berusaha jalanin. Pasar yang peduli halal bikin usaha punya semangat tambahan untuk bertahan dan berkembang.</t>
  </si>
  <si>
    <t>maryamlestari22@gmail.com</t>
  </si>
  <si>
    <t>Minuman Tradisional</t>
  </si>
  <si>
    <t>Imam Syafii</t>
  </si>
  <si>
    <t>Produsen Dodol Lampung</t>
  </si>
  <si>
    <t>Lampung Utara</t>
  </si>
  <si>
    <t xml:space="preserve">Komunikasi jadi salah satu tantangan utama. Kadang penjelasan dari petugas terlalu teknis, bikin UMKM bingung harus mulai dari mana. </t>
  </si>
  <si>
    <t>Komunikasi ini sangat penting, karena kalau informasinya jelas dan pakai bahasa sederhana, kita bisa menghindari kesalahan kecil yang bisa memperlambat proses sertifikasi halal.</t>
  </si>
  <si>
    <t>Struktur birokrasi juga terasa berat. Proses yang panjang dan harus bolak-balik mengurus syarat sering bikin pelaku usaha kehilangan fokus pada produksi. birokrasi ini yang paling menentukan, sebab kalau alurnya dibuat lebih praktis, UMKM bisa lebih cepat menyelesaikan sertifikasi tanpa terbebani.</t>
  </si>
  <si>
    <t>imamsyafii89@gmail.com</t>
  </si>
  <si>
    <t>Kuliner (Dodol)</t>
  </si>
  <si>
    <t>Salma Zahra</t>
  </si>
  <si>
    <t>Produsen Kopi Jahe</t>
  </si>
  <si>
    <t>Komunikasi sering susah dipahami karena banyak istilah teknis yang bikin bingung. Menurut saya, komunikasi yang jelas dan pakai bahasa sederhana itu paling penting supaya UMKM nggak salah langkah.</t>
  </si>
  <si>
    <t>Kalau komunikasinya lancar, pelaku usaha jadi lebih percaya diri dalam menjalani proses sertifikasi halal. Jadi nggak ragu lagi buat nanya kalau ada yang kurang paham.</t>
  </si>
  <si>
    <t>Faktor lain yang juga bantu banget adalah sharing dari komunitas UMKM. Dari sana kita bisa dapat pengalaman nyata dan tips praktis yang bikin proses halal terasa lebih mudah dijalani.</t>
  </si>
  <si>
    <t>salmazahra53@gmail.com</t>
  </si>
  <si>
    <t>Fathurrahman</t>
  </si>
  <si>
    <t>Produsen Ikan Asap</t>
  </si>
  <si>
    <t>Biaya uji produk halal memang tinggi banget, apalagi buat usaha kecil dengan modal terbatas. Makanya menurut saya sumber daya jadi faktor paling penting, karena tanpa dukungan finansial kita susah jalan.</t>
  </si>
  <si>
    <t>Kalau ada bantuan atau subsidi, beban UMKM pasti jauh lebih ringan dan bisa fokus menyelesaikan sertifikasi halal tanpa terlalu tertekan biaya.</t>
  </si>
  <si>
    <t>Faktor lain yang juga berpengaruh besar adalah permintaan konsumen. Sekarang banyak yang makin peduli sama produk halal, jadi itu jadi dorongan kuat buat kita tetap berusaha meskipun tantangannya berat.</t>
  </si>
  <si>
    <t>fathurrahman31@gmail.com</t>
  </si>
  <si>
    <t>Kuliner (Ikan)</t>
  </si>
  <si>
    <t>Rafika Nur Aini</t>
  </si>
  <si>
    <t>Produsen Brownies</t>
  </si>
  <si>
    <t>Ngurus dokumen halal tuh ribet banget, banyak syarat teknis yang bikin pusing. Menurutku bagian birokrasi ini yang paling bikin repot, karena kalau alurnya jelas dan simpel pasti UMKM bisa lebih cepat.</t>
  </si>
  <si>
    <t>Sering kali kita kebingungan harus mulai dari mana, jadi waktu kebuang cuma buat urusan administrasi. Kalau sistemnya dipermudah, pelaku usaha kecil bisa lebih fokus ke produksi.</t>
  </si>
  <si>
    <t>Pelatihan dari dinas UMKM. Dengan pelatihan, kita jadi lebih ngerti langkah-langkah sertifikasi halal dan nggak asal jalan sendiri.</t>
  </si>
  <si>
    <t>rafikanuraini76@gmail.com</t>
  </si>
  <si>
    <t>Ali Mustofa</t>
  </si>
  <si>
    <t>Produsen Sambal Lampung</t>
  </si>
  <si>
    <t>Kadang kalau ketemu petugas yang ramah, urusan halal jadi terasa lebih gampang. Tapi kalau yang kaku dan kaku banget, bikin minder. Makanya disposisi petugas itu penting banget buat pelaku UMKM kecil biar lebih percaya diri.</t>
  </si>
  <si>
    <t>Sikap yang enak dari petugas bisa bikin suasana jadi lebih nyaman, kita pun nggak takut buat nanya kalau ada yang kurang jelas. Itu sangat mempengaruhi kelancaran proses sertifikasi.</t>
  </si>
  <si>
    <t>Dukungan dari teman-teman UMKM. Sharing pengalaman mereka bikin kita lebih pede dan termotivasi buat terus maju walau prosesnya ribet.</t>
  </si>
  <si>
    <t>alimustofa44@gmail.com</t>
  </si>
  <si>
    <t>Hafidzah</t>
  </si>
  <si>
    <t>Produsen Pempek</t>
  </si>
  <si>
    <t>Proses sertifikasi halal memang terasa lama banget, bikin usaha kecil sering kehilangan fokus untuk produksi. Menurutku yang paling krusial adalah struktur birokrasi. Kalau alurnya jelas dan ringkas, pasti UMKM bisa lebih cepat selesai tanpa harus bolak-balik.</t>
  </si>
  <si>
    <t>Struktur birokrasi yang rumit sering bikin waktu habis di meja administrasi. Padahal, kalau sistemnya dibuat simpel dan transparan, pelaku usaha bisa lebih tenang jalanin proses tanpa merasa terbebani.</t>
  </si>
  <si>
    <t>Konsumen sekarang makin peduli dengan label halal, jadi meskipun proses ribet, mau nggak mau kita tetap harus ikuti supaya produk tetap dipercaya dan laku di pasaran.</t>
  </si>
  <si>
    <t>hafidzah58@gmail.com</t>
  </si>
  <si>
    <t>Ahmad Jamil</t>
  </si>
  <si>
    <t>Produsen Kopi Hitam</t>
  </si>
  <si>
    <t>Biaya uji laboratorium untuk sertifikasi halal memang mahal banget, dan itu jadi tantangan terbesar buat usaha kecil. Karena modal terbatas, sumber daya menurutku jadi faktor paling berat untuk dipenuhi.</t>
  </si>
  <si>
    <t>Kalau ada bantuan dana atau subsidi dari pemerintah atau lembaga terkait, proses ini pasti terasa lebih ringan. UMKM bisa lebih semangat jalanin sertifikasi tanpa takut terbebani terlalu besar.</t>
  </si>
  <si>
    <t>Dukungan dana juga bikin pelaku usaha bisa fokus ke produksi, bukan malah pusing mikirin biaya tambahan. Jadi, sumber daya finansial dan bantuan nyata sangat menentukan kelancaran proses halal.</t>
  </si>
  <si>
    <t>ahmadjamil63@gmail.com</t>
  </si>
  <si>
    <t>Salsabila Putri</t>
  </si>
  <si>
    <t>Produsen Susu Jahe</t>
  </si>
  <si>
    <t>Info soal aturan halal sering banget datangnya telat, jadi pelaku usaha kecil suka ketinggalan update penting. Menurutku komunikasi yang jelas dan tepat waktu itu kunci utama biar kita nggak salah langkah.</t>
  </si>
  <si>
    <t>Komunikasi juga sebaiknya pakai bahasa sederhana, jangan terlalu teknis, biar UMKM gampang paham tanpa harus bolak-balik nanya lagi. Kalau alurnya jelas, proses pasti lebih lancar.</t>
  </si>
  <si>
    <t>Sosialisasi di tingkat kecamatan juga perlu diperbanyak. Dengan cara ini, info bisa nyampe langsung ke pelaku usaha kecil di daerah tanpa harus nunggu lama atau cari sendiri.</t>
  </si>
  <si>
    <t>salsabilaputri27@gmail.com</t>
  </si>
  <si>
    <t>Minuman (Susu)</t>
  </si>
  <si>
    <t>Zaky Nurmansyah</t>
  </si>
  <si>
    <t>Produsen Lapis Legit</t>
  </si>
  <si>
    <t>Dokumen halal yang harus dipenuhi memang banyak banget, kadang bikin pusing karena detailnya ribet dan butuh waktu lama. Menurutku struktur birokrasi jadi faktor paling dominan yang bikin proses terasa berat.</t>
  </si>
  <si>
    <t>Kalau alurnya bisa dibuat lebih simpel dan transparan, pelaku UMKM nggak akan kebuang tenaga hanya buat urus dokumen. Itu bakal sangat membantu biar proses lebih cepat selesai.</t>
  </si>
  <si>
    <t>Support dari orang-orang terdekat bikin kita tetap kuat dan semangat buat jalanin sertifikasi halal sampai tuntas.</t>
  </si>
  <si>
    <t>zakynurman70@gmail.com</t>
  </si>
  <si>
    <t>Fatimah Zahra</t>
  </si>
  <si>
    <t>Komunikasi yang ribet dengan istilah teknis sering bikin bingung pelaku UMKM kecil. Karena itu menurutku komunikasi yang jelas, sederhana, dan gampang dipahami jadi faktor paling penting biar nggak salah langkah.</t>
  </si>
  <si>
    <t xml:space="preserve">Kalau penjelasan dari petugas disampaikan dengan bahasa yang lebih ringan, proses sertifikasi halal pasti lebih lancar dijalani. Komunikasi yang baik bisa ngurangin 
kebingungan dan bikin kita lebih percaya diri.
</t>
  </si>
  <si>
    <t>Faktor lain yang juga terasa membantu adalah adanya workshop khusus untuk UMKM. Lewat workshop, kita bisa belajar langsung, diskusi, dan dapat panduan praktis, jadi lebih paham cara jalanin proses halal.</t>
  </si>
  <si>
    <t>fatimahzahra91@gmail.com</t>
  </si>
  <si>
    <t>Jenny Rahmaniah</t>
  </si>
  <si>
    <t>Produsen Kerupuk Ikan</t>
  </si>
  <si>
    <t>Sambas</t>
  </si>
  <si>
    <t>Tantangan paling besar itu birokrasi ribet, bolak-balik urus dokumen bikin tenaga habis.</t>
  </si>
  <si>
    <t>struktur birokrasi yang berbelit justru jadi hambatan utama. Kalau alurnya jelas, UMKM bisa lebih cepat.</t>
  </si>
  <si>
    <t>dorongan keluarga besar di rumah selalu bikin saya semangat buat terus jalanin proses ini.</t>
  </si>
  <si>
    <t>jennyrahma71@gmail.com</t>
  </si>
  <si>
    <t>Kalimantan Barat</t>
  </si>
  <si>
    <t>Cornelius Yuda</t>
  </si>
  <si>
    <t>Produsen Kopi Robusta</t>
  </si>
  <si>
    <t>landak</t>
  </si>
  <si>
    <t>Biaya uji lab halal itu berat, apalagi untuk usaha kecil kayak saya.</t>
  </si>
  <si>
    <t>Sumber daya jelas paling krusial, karena tanpa modal cukup, semua proses ini jadi mandek.</t>
  </si>
  <si>
    <t>pasar makin peduli halal. Itu jadi motivasi supaya tetap berusaha meski ribet.</t>
  </si>
  <si>
    <t>corneliusyuda45@gmail.com</t>
  </si>
  <si>
    <t>miuman</t>
  </si>
  <si>
    <t>Acan Lim</t>
  </si>
  <si>
    <t>singkawang</t>
  </si>
  <si>
    <t>Komunikasi aturan halal kadang ribet, banyak istilah teknis bikin bingung.</t>
  </si>
  <si>
    <t>Buat saya, komunikasi yang jelas dan sederhana paling penting biar UMKM nggak salah langkah.</t>
  </si>
  <si>
    <t>sharing dari komunitas UMKM juga sangat membantu memahami aturan baru.</t>
  </si>
  <si>
    <t>acanlim95@gmail.com</t>
  </si>
  <si>
    <t>Aqila rahmadani</t>
  </si>
  <si>
    <t>Pemilik warung mie</t>
  </si>
  <si>
    <t>Tarempa</t>
  </si>
  <si>
    <t>Informasi soal aturan halal sering datang terlambat sehingga pelaku usaha kecil ketinggalan update penting.</t>
  </si>
  <si>
    <t>Penjelasan yang diberikan kadang terlalu ribet, padahal kalau pakai bahasa sederhana pasti lebih gampang dimengerti.</t>
  </si>
  <si>
    <t>Sosialisasi rutin sangat dibutuhkan supaya UMKM bisa lebih cepat paham dan nggak bingung saat jalani proses halal.</t>
  </si>
  <si>
    <t>Riau</t>
  </si>
  <si>
    <t>Kuliner (mie Tarempa)</t>
  </si>
  <si>
    <t>Aldi Rizky Pratama</t>
  </si>
  <si>
    <t>Pemilik Warung Mie</t>
  </si>
  <si>
    <t>Pangkalpinang</t>
  </si>
  <si>
    <t>Info soal aturan halal kadang datangnya telat, jadi pelaku usaha suka ketinggalan update</t>
  </si>
  <si>
    <t>Penjelasan yang dikasih sering ribet, padahal kalau bahasanya simpel pasti lebih gampang dipahami.</t>
  </si>
  <si>
    <t>UMKM butuh komunikasi yang jelas dan langsung biar nggak bingung di tengah jalan.</t>
  </si>
  <si>
    <t>aldivzky54@gmail.com</t>
  </si>
  <si>
    <t>Bangka Belitung</t>
  </si>
  <si>
    <t>Kuliner (Mie Belitung)</t>
  </si>
  <si>
    <t>Sarita Rahmawati</t>
  </si>
  <si>
    <t>Pemilik Kue Kering</t>
  </si>
  <si>
    <t>Belitung</t>
  </si>
  <si>
    <t>Modal yang pas-pasan bikin biaya tes lab kerasa berat banget buat UMKM kecil.</t>
  </si>
  <si>
    <t>Sertifikasi halal butuh uji produk yang nggak murah, jadi sering bikin pelaku usaha mikir dua kali.</t>
  </si>
  <si>
    <t>Dukungan dana atau bantuan teknis penting banget biar proses ini nggak jadi beban terlalu besar.</t>
  </si>
  <si>
    <t>saritarahma93@gmail.com</t>
  </si>
  <si>
    <t xml:space="preserve">Davin pratama </t>
  </si>
  <si>
    <t xml:space="preserve">Pemilik kue lapis </t>
  </si>
  <si>
    <t xml:space="preserve">Batam </t>
  </si>
  <si>
    <t>Modal usaha terbatas membuat biaya uji produk halal terasa cukup berat bagi UMKM kecil.</t>
  </si>
  <si>
    <t>Standar sertifikasi halal tinggi dan membutuhkan biaya tambahan yang tidak sedikit untuk dipenuhi.</t>
  </si>
  <si>
    <t>Bantuan dana atau subsidi sangat dibutuhkan agar UMKM bisa lebih semangat dan tidak terlalu terbebani dalam proses halal.</t>
  </si>
  <si>
    <t>davinpratama37@gmail.com</t>
  </si>
  <si>
    <t>Kepulauan riau</t>
  </si>
  <si>
    <t>Yudiansyah</t>
  </si>
  <si>
    <t>Produsen Sirup Jeruk Kunci</t>
  </si>
  <si>
    <t>Bangka Tengah</t>
  </si>
  <si>
    <t xml:space="preserve">Alurnya juga terasa berbelit sehingga butuh sistem yang lebih sederhana agar lebih mudah diikuti. </t>
  </si>
  <si>
    <t>Kalau jalurnya jelas dan ringkas, usaha kecil bisa menyelesaikan sertifikasi halal dengan lebih cepat tanpa banyak mengorbankan waktu dan tenaga.</t>
  </si>
  <si>
    <t>yudiansyah36@gmail.com</t>
  </si>
  <si>
    <t>Zahra aulia</t>
  </si>
  <si>
    <t xml:space="preserve">Produsen kopi bubuk </t>
  </si>
  <si>
    <t>Bintan</t>
  </si>
  <si>
    <t>Proses birokrasi yang panjang bikin sertifikasi halal terasa lambat dan melelahkan bagi pelaku UMKM.</t>
  </si>
  <si>
    <t>Banyak usaha kecil harus bolak-balik urus dokumen, padahal waktunya bisa dipakai untuk fokus produksi.</t>
  </si>
  <si>
    <t>Kalau alurnya lebih singkat dan jelas, UMKM bisa cepat menyelesaikan sertifikasi tanpa mengorbankan waktu usaha.</t>
  </si>
  <si>
    <t>zahraaulia81@gmail.com</t>
  </si>
  <si>
    <t xml:space="preserve">Kepulauan riau </t>
  </si>
  <si>
    <t>Kuliner (kopi)</t>
  </si>
  <si>
    <t>Noor Dewi Lestari</t>
  </si>
  <si>
    <t>Pemilik Toko Kosmetik</t>
  </si>
  <si>
    <t>Bangka Barat</t>
  </si>
  <si>
    <t>Urusan perizinan halal untuk kosmetik cukup rumit karena banyak syarat teknis yang harus dipenuhi.</t>
  </si>
  <si>
    <t>Prosesnya memakan waktu dan tenaga, sehingga sering bikin pelaku usaha kewalahan.</t>
  </si>
  <si>
    <t>Meski begitu, tren pasar yang makin peduli produk halal bikin usaha tetap semangat untuk menyelesaikan proses sertifikasi.</t>
  </si>
  <si>
    <t>noordewi72@gmail.com</t>
  </si>
  <si>
    <t>Naufal rizky</t>
  </si>
  <si>
    <t xml:space="preserve">Produsen obat herbal </t>
  </si>
  <si>
    <t>Karimun</t>
  </si>
  <si>
    <t>Uji laboratorium untuk produk herbal membutuhkan biaya yang cukup besar, sementara modal usaha dari UMKM biasanya terbatas. Kondisi ini membuat pelaku usaha sering merasa keberatan untuk memulai proses sertifikasi halal.</t>
  </si>
  <si>
    <t>Banyak UMKM akhirnya kesulitan memenuhi persyaratan halal karena selain biaya, juga harus menyiapkan dokumen teknis dan standar lain yang tidak sederhana. Hal ini sering kali menguras waktu dan tenaga yang seharusnya bisa dipakai untuk mengembangkan usaha.</t>
  </si>
  <si>
    <t>Kalau ada dukungan nyata dari pemerintah atau lembaga pendamping, baik berupa bantuan dana maupun pendampingan teknis, proses sertifikasi halal pasti terasa lebih ringan dan bisa mendorong UMKM untuk lebih bersemangat menyelesaikannya.</t>
  </si>
  <si>
    <t>naufalrizky25@gmail.com</t>
  </si>
  <si>
    <t xml:space="preserve">Obat tradisional </t>
  </si>
  <si>
    <t>Fajar Saputra</t>
  </si>
  <si>
    <t>Belitung Timur</t>
  </si>
  <si>
    <t>Penjelasan dari petugas sering sulit dipahami karena banyak istilah teknis yang kurang familiar bagi UMKM kecil.</t>
  </si>
  <si>
    <t>Bahasa yang dipakai seharusnya lebih sederhana agar semua pelaku usaha bisa mengerti tanpa harus menebak-nebak.</t>
  </si>
  <si>
    <t>Komunikasi yang jelas dan mudah dipahami akan bikin proses sertifikasi halal jadi lebih lancar.</t>
  </si>
  <si>
    <t>fajarsaputra47@gmail.com</t>
  </si>
  <si>
    <t>Kuliner (Kopi)</t>
  </si>
  <si>
    <t>Nita Andriani</t>
  </si>
  <si>
    <t>Pemilik Warung Ikan Asin</t>
  </si>
  <si>
    <t>Bangka Selatan</t>
  </si>
  <si>
    <t>Jumlah persyaratan dokumen untuk sertifikasi halal terasa sangat banyak bagi pelaku UMKM.</t>
  </si>
  <si>
    <t>Proses mengurus dokumen sering memakan waktu dan tenaga, sehingga membuat usaha kewalahan.</t>
  </si>
  <si>
    <t>Alur yang lebih ringkas dan praktis akan sangat membantu agar UMKM bisa lebih fokus pada produksinya.</t>
  </si>
  <si>
    <t>nitaandriani66@gmail.com</t>
  </si>
  <si>
    <t>Kuliner (Ikan Asin)</t>
  </si>
  <si>
    <t>Bayu Nugraha</t>
  </si>
  <si>
    <t>Produsen Jamu Tradisional</t>
  </si>
  <si>
    <t>Uji produk untuk sertifikasi halal membutuhkan biaya yang cukup tinggi dan sering memberatkan UMKM.</t>
  </si>
  <si>
    <t>Modal usaha yang terbatas membuat pelaku usaha kesulitan untuk memenuhi persyaratan tersebut.</t>
  </si>
  <si>
    <t>Tanpa dukungan dana atau fasilitas tambahan, proses sertifikasi jadi terasa sangat berat untuk diselesaikan.</t>
  </si>
  <si>
    <t>bayunugraha28@gmail.com</t>
  </si>
  <si>
    <t>Fitriana Anggraini</t>
  </si>
  <si>
    <t>Pemilik Snack Lokal</t>
  </si>
  <si>
    <t>Sikap petugas sangat memengaruhi suasana, ada yang ramah sehingga membuat pelaku usaha merasa nyaman.</t>
  </si>
  <si>
    <t>Ada juga petugas yang kaku, dan itu sering membuat pelaku usaha jadi minder untuk bertanya lebih jauh.</t>
  </si>
  <si>
    <t>Pendekatan yang lebih bersahabat dari petugas akan membantu UMKM lebih percaya diri saat mengurus sertifikasi halal.</t>
  </si>
  <si>
    <t>fitrianggraini95@gmail.com</t>
  </si>
  <si>
    <t>Kuliner (Cemilan)</t>
  </si>
  <si>
    <t>Rama Hidayat</t>
  </si>
  <si>
    <t>Produsen Lempah Kuning Instan</t>
  </si>
  <si>
    <t>Bangka</t>
  </si>
  <si>
    <t>Proses birokrasi yang panjang sering membuat sertifikasi berjalan sangat lambat.</t>
  </si>
  <si>
    <t>Pelaku UMKM jadi harus meluangkan banyak waktu hanya untuk urusan administrasi.</t>
  </si>
  <si>
    <t>Jalur yang lebih singkat dan jelas akan sangat membantu agar sertifikasi bisa selesai lebih cepat..</t>
  </si>
  <si>
    <t>ramahidayat63@gmail.com</t>
  </si>
  <si>
    <t>Kuliner (Bumbu)</t>
  </si>
  <si>
    <t xml:space="preserve">Reina Wulan </t>
  </si>
  <si>
    <t>Pemilik Skincare Herbal</t>
  </si>
  <si>
    <t>komunikasi yang jelas dan gampang dipahami itu paling penting. Kalau bahasanya simpel, proses halal pasti lebih lancar. Selain itu, info aturan halal juga sering telat nyampenya, jadi kita sering ketinggalan</t>
  </si>
  <si>
    <t>Masalah paling kerasa ya di sumber daya. Modal terbatas, biaya uji lab mahal, dan syaratnya banyak. Jadi sumber daya ini yang paling penting dibanding yang lain. Kalau nggak ada dukungan dana atau fasilitas, ya susah jalan. Tapi karena permintaan pasar makin tinggi buat produk halal, kita tetap berusaha meski berat</t>
  </si>
  <si>
    <t>yang paling bikin capek itu urusan birokrasi. Prosesnya panjang, dokumen banyak, dan sering bolak-balik. Jadi struktur birokrasi menurut saya yang paling penting buat disederhanakan. Kalau alurnya jelas dan nggak muter-muter, UMKM bisa lebih cepat selesai.</t>
  </si>
  <si>
    <t>reinawulan31@gmail.com</t>
  </si>
  <si>
    <t xml:space="preserve">Keisha amira </t>
  </si>
  <si>
    <t xml:space="preserve">Pemilik kosmetik rumahan </t>
  </si>
  <si>
    <t>Mengurus perizinan halal untuk produk kosmetik terasa cukup rumit karena ada banyak sekali dokumen teknis yang harus dipenuhi. Proses ini bikin pelaku usaha kecil sering kewalahan, apalagi kalau belum terbiasa dengan alur administrasi yang panjang.</t>
  </si>
  <si>
    <t>Selain ribet di dokumen, biaya yang dibutuhkan juga tidak sedikit. UMKM yang modalnya terbatas sering merasa berat untuk mengikuti semua standar yang ditetapkan.</t>
  </si>
  <si>
    <t>Meski jalurnya panjang dan melelahkan, tren pasar serta permintaan konsumen terhadap produk halal jadi motivasi kuat bagi pelaku usaha kosmetik untuk tetap berusaha menyelesaikan sertifikasi.</t>
  </si>
  <si>
    <t>keishaamira92@gmail.com</t>
  </si>
  <si>
    <t xml:space="preserve">Kosmetik </t>
  </si>
  <si>
    <t xml:space="preserve">Benni Hendra </t>
  </si>
  <si>
    <t>Pemilik Roti Bakar</t>
  </si>
  <si>
    <t>Ngurus halal itu sering bikin bingung karena info yang dikasih kurang jelas. Kadang aturan berubah tapi nggak langsung sampai ke pelaku UMKM. Jadi komunikasi yang gampang dipahami itu penting banget. Kalau ada sosialisasi rutin, pasti lebih enak</t>
  </si>
  <si>
    <t>Masalah utama ada di modal. Biaya buat uji produk sama dokumen itu lumayan besar, sementara usaha roti skala kecil kayak saya masih terbatas. Jadi sumber daya finansial paling berpengaruh. Kalau ada subsidi atau bantuan, pasti lebih ringan</t>
  </si>
  <si>
    <t>Sikap petugas itu juga kerasa banget pengaruhnya. Kalau ketemu yang ramah, proses jadi lancar. Tapi kalau ketemu yang kaku, malah bikin grogi. Jadi butuh petugas yang bisa ngajak ngobrol dengan bahasa sederhana biar UMKM kayak saya nggak minder</t>
  </si>
  <si>
    <t>bennihendra82@gmail.com</t>
  </si>
  <si>
    <t>Kuliner (Roti)</t>
  </si>
  <si>
    <t xml:space="preserve">Raka pradana </t>
  </si>
  <si>
    <t xml:space="preserve">Pemilik warung seafood </t>
  </si>
  <si>
    <t>Komunikasi dari petugas sering membingungkan karena banyak menggunakan istilah teknis yang tidak familiar bagi pelaku UMKM kecil. Akhirnya, banyak yang jadi ragu-ragu dalam mengikuti alur sertifikasi halal.</t>
  </si>
  <si>
    <t>Kalau penjelasannya dibuat lebih sederhana dan menggunakan bahasa sehari-hari, proses sertifikasi pasti terasa lebih mudah dijalani oleh semua pelaku usaha, termasuk yang masih skala kecil.</t>
  </si>
  <si>
    <t>UMKM juga butuh pendampingan langsung, misalnya lewat pelatihan atau sosialisasi tatap muka, supaya tidak salah langkah dalam menyiapkan dokumen maupun memenuhi persyaratan halal.</t>
  </si>
  <si>
    <t>rakapradana48@gmail.com</t>
  </si>
  <si>
    <t>Kuliner (seafood)</t>
  </si>
  <si>
    <t>Rifa  Kartika</t>
  </si>
  <si>
    <t>Info soal aturan halal kadang datangnya telat, jadi sering bikin bingung. Kalau komunikasinya jelas dan pakai bahasa sederhana, pasti lebih gampang diikuti</t>
  </si>
  <si>
    <t>Biaya uji produk lumayan berat buat usaha kecil kayak kami. Modal terbatas bikin susah memenuhi semua syarat halal tanpa ada bantuan</t>
  </si>
  <si>
    <t>Proses birokrasi panjang bikin capek, sering harus bolak-balik urus dokumen. Kalau alurnya lebih singkat, UMKM bisa lebih fokus ke produksi</t>
  </si>
  <si>
    <t>rifakartika56@gmail.com</t>
  </si>
  <si>
    <t>Edo Fahmi</t>
  </si>
  <si>
    <t xml:space="preserve">Pemilik Depot </t>
  </si>
  <si>
    <t>Komunikasi dari petugas kadang bikin bingung, banyak istilah teknis yang susah dimengerti. Kalau penjelasannya lebih sederhana, UMKM pasti lebih mudah jalan</t>
  </si>
  <si>
    <t>Biaya buat uji produk lumayan besar, sementara modal usaha masih terbatas. Jadi soal sumber daya ini yang paling berat dirasakan</t>
  </si>
  <si>
    <t>Birokrasi panjang bikin capek, apalagi harus bolak-balik ngurus dokumen. Kalau jalurnya lebih singkat, usaha kecil bisa cepat beres urusan halal</t>
  </si>
  <si>
    <t>edofahmi78@gmail.com</t>
  </si>
  <si>
    <t>Kuliner (Seafood)</t>
  </si>
  <si>
    <t>Melinda Anjani</t>
  </si>
  <si>
    <t>“Penjelasan dari petugas sering pakai istilah teknis, jadi pelaku usaha kecil kayak saya agak susah nangkep maksudnya. Kalau komunikasinya pakai bahasa yang sederhana pasti lebih enak.”</t>
  </si>
  <si>
    <t>Modal usaha terbatas, sementara biaya buat uji produk halal lumayan tinggi. Jadi urusan sumber daya ini yang paling berat dirasakan</t>
  </si>
  <si>
    <t>“Ngurus dokumen halal rasanya ribet banget, harus bolak-balik dan makan waktu. Kalau alurnya lebih ringkas, UMKM kayak kami bisa lebih fokus jualan kue.”</t>
  </si>
  <si>
    <t>melindaanjani44@gmail.com</t>
  </si>
  <si>
    <t>Doni Prakoso</t>
  </si>
  <si>
    <t>“Uji laboratorium buat produk herbal biayanya lumayan tinggi, sementara modal usaha terbatas. Itu yang paling berat dirasakan.”</t>
  </si>
  <si>
    <t>“Proses birokrasi panjang, banyak dokumen teknis yang harus dipenuhi. Kalau alurnya lebih sederhana pasti lebih cepat selesai.”</t>
  </si>
  <si>
    <t>“Sikap petugas juga berpengaruh, kalau ramah kita jadi semangat, tapi kalau kaku malah bikin minder. Jadi butuh petugas yang bisa jelasin dengan cara yang gampang dipahami.”</t>
  </si>
  <si>
    <t>doniprakoso69@gmail.com</t>
  </si>
  <si>
    <t xml:space="preserve">Dita Yuliana </t>
  </si>
  <si>
    <t>Komunikasi soal aturan halal sering bikin bingung, banyak istilah teknis yang susah dipahami. Kalau dijelasin dengan bahasa yang sederhana, pasti lebih gampang ngikutin.</t>
  </si>
  <si>
    <t>Biaya sertifikasi sama uji produk terasa berat, apalagi modal warung kopi masih terbatas. Jadi urusan dana ini yang paling nyangkut</t>
  </si>
  <si>
    <t>Proses birokrasi panjang dan muter-muter bikin capek. Kalau ada jalur yang lebih singkat, UMKM kayak kami bisa lebih cepat beres urusannya</t>
  </si>
  <si>
    <t>ditayuliana39@gmail.com</t>
  </si>
  <si>
    <t>Zainal Abidin</t>
  </si>
  <si>
    <t>Produsen Sambal Belacan</t>
  </si>
  <si>
    <t>“Ngurus sertifikasi halal itu sering ribet karena dokumen yang diminta banyak banget. Kalau prosesnya lebih simpel, pasti UMKM kayak saya lebih gampang jalanin.”</t>
  </si>
  <si>
    <t>“Modal usaha terbatas bikin biaya uji produk terasa berat. Jadi soal sumber daya ini yang paling sering bikin pusing.”</t>
  </si>
  <si>
    <t>“Info soal aturan halal kadang telat sampai, jadi kami sering bingung harus mulai dari mana. Kalau komunikasinya jelas dari awal, prosesnya lebih lancar.”</t>
  </si>
  <si>
    <t>zainalabidin58@gmail.com</t>
  </si>
  <si>
    <t>Widya Lestari</t>
  </si>
  <si>
    <t>“Perizinan halal buat kosmetik lumayan ribet karena banyak dokumen teknis. Kalau alurnya bisa dipersingkat, pasti lebih ringan buat UMKM kayak saya.”</t>
  </si>
  <si>
    <t>“Standar uji bahan kosmetik butuh biaya tambahan yang cukup besar, sementara modal terbatas. Jadi sumber daya jadi hal yang paling berat dirasakan.”</t>
  </si>
  <si>
    <t>“Sikap petugas juga ngaruh, kalau ramah enak diajak ngobrol jadi nggak takut nanya. Tapi kalau kaku, malah bikin minder.”</t>
  </si>
  <si>
    <t>widyalestari86@gmail.com</t>
  </si>
  <si>
    <t>Regyan Firdaus</t>
  </si>
  <si>
    <t>Produsen Minyak Kayu Putih</t>
  </si>
  <si>
    <t>Belitung Selatan</t>
  </si>
  <si>
    <t>Biaya uji lab buat minyak kayu putih lumayan besar, sementara modal usaha kecil pas-pasan. Jadi sering terasa berat buat lanjut urus halal</t>
  </si>
  <si>
    <t>Proses birokrasi panjang, harus bolak-balik ngurus dokumen, bikin capek dan makan waktu. Kalau alurnya lebih singkat, pasti lebih gampang dijalani</t>
  </si>
  <si>
    <t>Kadang informasi soal aturan halal nggak sampai dengan jelas ke pelaku UMKM. Kalau ada sosialisasi rutin, kami nggak perlu bingung lagi.</t>
  </si>
  <si>
    <t>regyanfirdaus21@gmail.com</t>
  </si>
  <si>
    <t xml:space="preserve">Evi Sulastri </t>
  </si>
  <si>
    <t>Produsen Kue Coklat</t>
  </si>
  <si>
    <t>“Ngurus dokumen halal buat kue coklat rasanya ribet, syaratnya banyak dan bikin kewalahan. Kalau alurnya lebih ringkas, UMKM kayak saya pasti lebih gampang ngikutin.”</t>
  </si>
  <si>
    <t>Biaya uji produk halal lumayan besar, sementara usaha kecil modalnya terbatas. Jadi soal sumber daya ini yang paling berat buat dipenuhi.</t>
  </si>
  <si>
    <t>Komunikasi soal aturan halal sering kurang jelas. Kalau penjelasannya pakai bahasa yang sederhana, pelaku usaha kecil kayak kami bisa lebih cepat paham dan nggak bingung.</t>
  </si>
  <si>
    <t>evisulastri74@gmail.com</t>
  </si>
  <si>
    <t>Adinda Syifa</t>
  </si>
  <si>
    <t>Produsen Snack Lokal</t>
  </si>
  <si>
    <t>Natuna</t>
  </si>
  <si>
    <t>Persyaratan dokumen halal jumlahnya cukup banyak dan detail, sehingga sering bikin pelaku UMKM kewalahan. Banyak berkas yang harus dipenuhi dalam waktu yang tidak sebentar, dan ini menyita tenaga serta pikiran</t>
  </si>
  <si>
    <t>Kondisi ini membuat UMKM kecil harus membagi fokus antara mengurus administrasi dan tetap menjalankan produksi sehari-hari, yang tentu menambah beban.</t>
  </si>
  <si>
    <t>Kalau sistem perizinan halal dibuat lebih ringkas dan praktis, usaha kecil pasti lebih mudah mengikutinya tanpa merasa terlalu terbebani, sehingga bisa tetap fokus mengembangkan bisnis.</t>
  </si>
  <si>
    <t>adindasyifa73@gmail.com</t>
  </si>
  <si>
    <t>Rizky Alvaro</t>
  </si>
  <si>
    <t>Batam</t>
  </si>
  <si>
    <t>Biaya sertifikasi halal terbilang cukup besar, dan bagi usaha kecil seperti warung kopi hal ini jadi beban yang lumayan berat.</t>
  </si>
  <si>
    <t>Dengan modal terbatas, pelaku UMKM sering kali merasa kesulitan untuk memenuhi semua syarat dan standar yang diminta dalam proses sertifikasi.</t>
  </si>
  <si>
    <t>Kalau ada subsidi, bantuan dana, atau keringanan biaya dari pemerintah, UMKM bisa lebih ringan menjalani proses ini dan tetap bisa fokus mengembangkan usaha.</t>
  </si>
  <si>
    <t>rizkyalvaro59@gmail.com</t>
  </si>
  <si>
    <t>Nayla Khairunnisa</t>
  </si>
  <si>
    <t>Kondisi ini membuat produktivitas usaha kadang terganggu, karena energi dan waktu banyak tersita hanya untuk urusan administrasi dan birokrasi.</t>
  </si>
  <si>
    <t>Kalau alurnya dibuat lebih singkat dan jelas, pelaku UMKM bisa lebih cepat menyelesaikan kewajiban halal sambil tetap bisa menjaga kelancaran produksi harian</t>
  </si>
  <si>
    <t>naylakhairun77@gmail.com</t>
  </si>
  <si>
    <t>Faiz Ramadhan</t>
  </si>
  <si>
    <t>Produsen Samba</t>
  </si>
  <si>
    <t>Informasi tentang aturan halal sering kali tidak tersampaikan dengan jelas ke pelaku usaha kecil, sehingga banyak UMKM bingung harus mulai dari mana.</t>
  </si>
  <si>
    <t>Sosialisasi dari petugas masih jarang dilakukan, padahal komunikasi yang rutin sangat dibutuhkan agar UMKM bisa selalu mengikuti perkembangan aturan terbaru.</t>
  </si>
  <si>
    <t>Kalau sosialisasinya disampaikan dengan bahasa yang sederhana dan mudah dimengerti, pelaku UMKM bisa lebih cepat paham dan tidak ketinggalan update penting terkait sertifikasi halal.</t>
  </si>
  <si>
    <t>faizramadhan34@gmail.com</t>
  </si>
  <si>
    <t>Alya Putri</t>
  </si>
  <si>
    <t>Pemilik Toko Skincare</t>
  </si>
  <si>
    <t>Standar uji bahan untuk kosmetik cukup ketat dan detail, sehingga membutuhkan biaya tambahan yang lumayan besar bagi pelaku usaha.</t>
  </si>
  <si>
    <t>Bagi UMKM kecil dengan modal terbatas, kondisi ini terasa berat karena harus menyiapkan dana ekstra di luar biaya produksi sehari-hari.</t>
  </si>
  <si>
    <t>Meski penuh tantangan, pelaku usaha tetap berusaha melengkapi semua persyaratan, apalagi sekarang konsumen semakin peduli dengan produk halal sehingga jadi motivasi untuk tidak menyerah.</t>
  </si>
  <si>
    <t>alyaputri62@gmail.com</t>
  </si>
  <si>
    <t xml:space="preserve">Riyan Saputra </t>
  </si>
  <si>
    <t xml:space="preserve">Produsen kue tradisional </t>
  </si>
  <si>
    <t xml:space="preserve">Tanjung pinang </t>
  </si>
  <si>
    <t>Sosialisasi tentang aturan halal masih jarang dilakukan, sehingga banyak UMKM yang ketinggalan informasi penting terkait persyaratan dan prosedur.</t>
  </si>
  <si>
    <t>Minimnya komunikasi membuat pelaku usaha sering bingung ketika harus menyiapkan dokumen atau mengikuti tahapan sertifikasi.</t>
  </si>
  <si>
    <t>Kalau ada komunikasi yang rutin dan terjadwal, UMKM bisa lebih siap menghadapi proses sertifikasi halal tanpa harus menebak-nebak langkah yang harus dijalani.</t>
  </si>
  <si>
    <t>riyansaputra85@gmail.com</t>
  </si>
  <si>
    <t xml:space="preserve">Kepulauan Riau </t>
  </si>
  <si>
    <t>Kuliner (kue nagasari)</t>
  </si>
  <si>
    <t xml:space="preserve">Anindya Larasati </t>
  </si>
  <si>
    <t>Pemilik Depot nasi</t>
  </si>
  <si>
    <t>Proses birokrasi yang panjang dan alurnya berputar-putar bikin pelaku usaha cepat lelah dan kehilangan semangat.</t>
  </si>
  <si>
    <t>Waktu yang harusnya dipakai untuk produksi jadi habis buat bolak-balik urus dokumen.</t>
  </si>
  <si>
    <t>Kalau alurnya dipersingkat dan dibuat lebih jelas, UMKM bisa lebih cepat menyelesaikan sertifikasi halal tanpa terbebani.</t>
  </si>
  <si>
    <t>Anindyalarasati50@gmail.com</t>
  </si>
  <si>
    <t>Kuliner nasi</t>
  </si>
  <si>
    <t>Iqbal Ramadhan</t>
  </si>
  <si>
    <t>Produsen Roti</t>
  </si>
  <si>
    <t>Mengurus dokumen halal itu sering terasa ribet karena banyak berkas yang harus dilengkapi. Buat UMKM kecil, hal ini makan waktu dan tenaga, padahal seharusnya bisa fokus ke produksi.</t>
  </si>
  <si>
    <t>Alur birokrasi yang panjang bikin proses sertifikasi terasa lambat. Kadang harus bolak-balik ke kantor terkait hanya untuk satu persyaratan saja.</t>
  </si>
  <si>
    <t>Kalau sistemnya dibuat lebih jelas, praktis, dan sederhana, pasti UMKM bisa lebih cepat menyelesaikan sertifikasi halal tanpa merasa kewalahan.</t>
  </si>
  <si>
    <t>iqbalramad46@gmail.com</t>
  </si>
  <si>
    <t>Nabila Khansa</t>
  </si>
  <si>
    <t>Produsen Minuman Tradisional</t>
  </si>
  <si>
    <t>Tanjung Pinang</t>
  </si>
  <si>
    <t>Ngurus sertifikasi halal buat minuman tradisional kadang terasa ribet karena banyak syarat teknis yang harus dipenuhi. Apalagi dokumen-dokumen pendukungnya juga cukup banyak, jadi butuh waktu panjang untuk bisa lengkap. Kalau alurnya lebih sederhana, pasti lebih cepat selesai dan nggak terlalu melelahkan.</t>
  </si>
  <si>
    <t>Biaya buat uji lab minuman tradisional lumayan berat untuk usaha kecil kayak saya. Modal terbatas bikin pengeluaran tambahan terasa sulit dipenuhi. Kalau ada bantuan subsidi atau akses dana dari pemerintah, proses sertifikasi halal pasti lebih ringan dijalani.</t>
  </si>
  <si>
    <t>Komunikasi dari petugas kadang susah dipahami karena banyak istilah teknis. UMKM seperti saya butuh penjelasan yang lebih sederhana dan langsung ke poinnya. Kalau ada pendampingan atau sosialisasi rutin, proses halal bisa lebih gampang dijalani tanpa banyak kebingungan.</t>
  </si>
  <si>
    <t>nabilakhansa71@gmail.com</t>
  </si>
  <si>
    <t>Muhammad Daffa pratama</t>
  </si>
  <si>
    <t>Produsen obat herbal cair</t>
  </si>
  <si>
    <t>Lingga</t>
  </si>
  <si>
    <t>Biaya uji produk halal masih tergolong tinggi, sedangkan modal UMKM terbatas.</t>
  </si>
  <si>
    <t>Banyak pelaku usaha kecil belum punya akses pembiayaan atau kredit yang memadai.</t>
  </si>
  <si>
    <t>Kalau ada bantuan dana atau akses kredit yang lebih mudah, UMKM bisa lebih ringan memenuhi syarat halal.</t>
  </si>
  <si>
    <t>Muhdafpratama96@gmail.com</t>
  </si>
  <si>
    <t>Raihan Alfaro</t>
  </si>
  <si>
    <t>Pemilik Kosmetik Herbal</t>
  </si>
  <si>
    <t>Ngurus sertifikasi halal untuk kosmetik herbal lumayan ribet karena banyak banget dokumen teknis yang harus dilengkapi. Selain itu, prosesnya juga panjang sehingga bikin usaha kecil gampang kewalahan. Kalau alurnya dibuat lebih singkat, pasti pelaku usaha lebih cepat menyelesaikan kewajibannya</t>
  </si>
  <si>
    <t>Biaya uji laboratorium untuk bahan kosmetik herbal terasa berat, apalagi kalau modal usaha terbatas. Standar sertifikasi halal memang tinggi, tapi kalau ada subsidi atau dukungan pendanaan, UMKM bisa lebih ringan menjalaninya dan tetap semangat.</t>
  </si>
  <si>
    <t>Kadang penjelasan dari petugas sulit dipahami karena terlalu teknis. Bagi UMKM, butuh komunikasi yang jelas dan sederhana biar nggak bingung. Kalau ada sosialisasi rutin atau pendampingan langsung, pasti proses sertifikasi halal terasa lebih gampang</t>
  </si>
  <si>
    <t>raihanalfa88@gmail.com</t>
  </si>
  <si>
    <t>Clarisa Putri</t>
  </si>
  <si>
    <t>Menurut aku sih tantangan paling kerasa itu di sumber daya sama birokrasi. Sumber daya jelas ya, soalnya biaya buat uji lab atau tes produk itu lumayan berat buat usaha kecil. Kadang rasanya kaya lebih gede biayanya dibanding untungnya. Nah kalau birokrasi, jujur aja ribet banget, bolak-balik ngurus dokumen bisa bikin capek sebelum sertifikat halal jadi.</t>
  </si>
  <si>
    <t>Kalau ditanya faktor mana yang lebih penting, aku pilih sumber daya. Soalnya percuma alur dipermudah kalau dana buat tes sama berkas nggak kebayar. Jadi menurutku, modal dan dukungan biaya itu kunci biar UMKM bisa jalan terus tanpa nyerah di tengah jalan.</t>
  </si>
  <si>
    <t>Dukungan komunitas dan keluarga. Kadang kita hampir nyerah, tapi ada temen sesama UMKM yang kasih tips atau keluarga yang nyemangatin, jadi tetep kuat buat beresin proses halal sampai tuntas.</t>
  </si>
  <si>
    <t>clarisaputri35@gmail.com</t>
  </si>
  <si>
    <t>Shafira zahra</t>
  </si>
  <si>
    <t xml:space="preserve">Pemilik Snack rumahan </t>
  </si>
  <si>
    <t>Sikap petugas sangat berpengaruh, kalau ramah urusannya jadi terasa lancar</t>
  </si>
  <si>
    <t>Kadang ada petugas yang kaku, bikin UMKM kecil minder dan bingung.</t>
  </si>
  <si>
    <t>Kalau semua petugas bisa sabar dan komunikatif, pelaku usaha lebih percaya diri ngurus halal.</t>
  </si>
  <si>
    <t>Shafirazahra28@gmail.com</t>
  </si>
  <si>
    <t>Kuliner (kerupuk )</t>
  </si>
  <si>
    <t>Farel adrian</t>
  </si>
  <si>
    <t xml:space="preserve">Produsen coklat rumahan </t>
  </si>
  <si>
    <t>Ngurus sertifikasi halal buat coklat lumayan ribet, apalagi dokumennya banyak banget. Menurutku yang paling berat itu di struktur birokrasi karena alurnya muter-muter. Tapi aku juga ngerasa faktor tren pasar penting, soalnya konsumen sekarang lebih percaya sama produk yang ada label halalnya.</t>
  </si>
  <si>
    <t>Biaya buat uji bahan coklat kadang bikin pusing karena modal usaha kecil-kecilan terbatas. Jadi menurutku sumber daya itu faktor paling penting. Tapi dorongan keluarga juga bikin semangat terus buat nyelesain sertifikasi meskipun prosesnya panjang.</t>
  </si>
  <si>
    <t>Komunikasi sama petugas kadang bikin bingung, istilah teknisnya susah dipahami. Jadi komunikasi jelas itu nomor satu buat aku. Faktor lain yang berpengaruh, dukungan komunitas UMKM di Bintan juga bantu banget kasih info biar nggak salah langkah.</t>
  </si>
  <si>
    <t>Fareladrian68@gmail.com</t>
  </si>
  <si>
    <t>Kuliner (coklat)</t>
  </si>
  <si>
    <t>H  SARJITO</t>
  </si>
  <si>
    <t>Purna Bhakti PNS</t>
  </si>
  <si>
    <t xml:space="preserve">Komunikasi dan Sumber daya masih lemah </t>
  </si>
  <si>
    <t>Ya perlu sosialisasi oleh stakholders sampai ke akar runput</t>
  </si>
  <si>
    <t>Kurangnya sosialisasi UU dan PP ttg Jaminan Produk Halal</t>
  </si>
  <si>
    <t>sarjitoppphhaji@gmail.com</t>
  </si>
  <si>
    <t>Bakso ayam UMKM</t>
  </si>
  <si>
    <t>pasar makin peduli halal. Itu jadi motivasi supaya tetap berusaha meski ribet</t>
  </si>
  <si>
    <t>Yogi Imamuddin</t>
  </si>
  <si>
    <t xml:space="preserve">Tantangan terbesar itu komunikasi, sering bahasanya terlalu teknis jadi kami susah paham. komunikasi yang jelas paling penting. </t>
  </si>
  <si>
    <t>Modal terbatas dan syarat halal banyak sekali. Jadi menurut saya sumber daya paling penting. Faktor lain yang berpengaruh adalah permintaan pasar yang makin butuh produk halal.</t>
  </si>
  <si>
    <t>Birokrasi yang berbelit itu paling berat, harus bolak-balik urus ini itu. Struktur birokrasi yang sederhana jelas penting. Faktor lain, akses informasi juga harus cepat biar kami tidak ketinggalan.</t>
  </si>
  <si>
    <t>Landak</t>
  </si>
  <si>
    <t>Kaimantan Barat</t>
  </si>
  <si>
    <t>Siti Chaerani Cahaya</t>
  </si>
  <si>
    <t>Pemilik Kue Basah</t>
  </si>
  <si>
    <t>Komunikasi sering sulit dipahami karena bahasanya terlalu teknis, sehingga saya kecil merasa bingung.</t>
  </si>
  <si>
    <t>Bahasa yang jelas dan sederhana sangat membantu agar proses halal bisa lebih lancar.</t>
  </si>
  <si>
    <t>Dukungan komunitas UMKM memberi banyak manfaat, terutama dalam berbagi pengalaman dan informasi praktis.</t>
  </si>
  <si>
    <t>Jawa TImur</t>
  </si>
  <si>
    <t>Angga Prasetyo</t>
  </si>
  <si>
    <t>Produsen Jamu</t>
  </si>
  <si>
    <t>Modal dan tenaga kerja sering terbatas, sehingga sulit memenuhi persyaratan halal yang membutuhkan biaya tambahan.</t>
  </si>
  <si>
    <t>Proses uji laboratorium dan sertifikasi memerlukan dana yang tidak sedikit, sementara sebagian besar UMKM masih kesulitan mengakses pembiayaan.</t>
  </si>
  <si>
    <t>Permintaan konsumen terhadap produk halal justru mendorong usaha tetap berusaha mengurus sertifikasi meskipun kondisinya serba terbatas.</t>
  </si>
  <si>
    <t>Singkawang</t>
  </si>
  <si>
    <t>Gresik</t>
  </si>
  <si>
    <t>Urusan halal buat produk kosmetik sering terasa ribet karena harus bolak-balik ngurus persyaratan yang banyak.</t>
  </si>
  <si>
    <t>Proses birokrasi panjang bikin capek, padahal saya butuh jalur yang lebih cepat dan jelas.</t>
  </si>
  <si>
    <t>Permintaan dari konsumen, terutama yang mau ekspor, bikin usaha tetap semangat menyelesaikan proses halal meski jalannya berliku.</t>
  </si>
  <si>
    <t>Yustina Maria</t>
  </si>
  <si>
    <t>Sintang</t>
  </si>
  <si>
    <t>Proses halal itu lama banget, bikin usaha kecil kehilangan fokus produksi</t>
  </si>
  <si>
    <t>Struktur birokrasi menurut saya jadi beban paling berat karena bikin alur makin panjang</t>
  </si>
  <si>
    <t>dorongan pasar bikin kita tetap harus jalanin meski ribet</t>
  </si>
  <si>
    <t>Kuliner (Snack)</t>
  </si>
  <si>
    <t>Ikhsan Fauzi</t>
  </si>
  <si>
    <t>Sikap petugas sangat berpengaruh, ada yang ramah dan sabar menjelaskan sehingga membuat saya merasa lebih tenang.</t>
  </si>
  <si>
    <t>Ada juga petugas yang kaku, dan itu sering bikin minder serta ragu untuk bertanya lebih jauh.</t>
  </si>
  <si>
    <t>Kegiatan seperti workshop UMKM cukup membantu, karena di situ bisa dapat penjelasan tambahan dan sharing pengalaman dari sesama saya.</t>
  </si>
  <si>
    <t>Kuliner (Nasi Campur)</t>
  </si>
  <si>
    <t>Andi Jamaluddin</t>
  </si>
  <si>
    <t>Pontianak</t>
  </si>
  <si>
    <t>Sikap petugas beda-beda, ada yang ramah ada juga yang kaku.</t>
  </si>
  <si>
    <t>Disposisi ini penting banget, kalau petugas sabar kita jadi lebih percaya diri.</t>
  </si>
  <si>
    <t>pelatihan dari kampus juga membantu nambah pengetahuan.</t>
  </si>
  <si>
    <t>Kuliner (Ikan Asap)</t>
  </si>
  <si>
    <t>Lestari Widya</t>
  </si>
  <si>
    <t>Pemilik Snack</t>
  </si>
  <si>
    <t>Banyuwangi</t>
  </si>
  <si>
    <t>Penjelasan dari petugas sering pakai istilah teknis, jadi saya kecil bingung memahami.</t>
  </si>
  <si>
    <t>Kalau komunikasi dibuat lebih sederhana dan jelas, prosesnya pasti lebih lancar.</t>
  </si>
  <si>
    <t>Pendampingan langsung dari pemerintah daerah sangat membantu, karena bisa kasih arahan praktis di lapangan.</t>
  </si>
  <si>
    <t>Halimatus Zahra</t>
  </si>
  <si>
    <t>Kubu Raya</t>
  </si>
  <si>
    <t>Biaya tambahan buat uji halal lumayan besar untuk UMKM kecil.</t>
  </si>
  <si>
    <t>sumber daya paling penting karena tanpa itu mustahil bisa lanjut.</t>
  </si>
  <si>
    <t>kalau ada subsidi atau keringanan biaya pasti lebih ringan.</t>
  </si>
  <si>
    <t>Harry Hariyanto</t>
  </si>
  <si>
    <t>Bondowoso</t>
  </si>
  <si>
    <t>Keterbatasan modal dan tenaga kerja membuat saya sering kesulitan memenuhi standar sertifikasi halal.</t>
  </si>
  <si>
    <t>Biaya tambahan untuk uji produk atau laboratorium terasa berat, apalagi bagi usaha kecil.</t>
  </si>
  <si>
    <t>Dukungan koperasi lokal cukup membantu, misalnya dengan memberi informasi atau akses pembiayaan yang lebih ringan.</t>
  </si>
  <si>
    <t>shinta M</t>
  </si>
  <si>
    <t>P3H</t>
  </si>
  <si>
    <t>Tantangannya daya beli bahan produksi pelaku usaha yang masih mencari bahan dengan harga murah dimana bahan murah tersebut ternyata belum bersertifikat halal.</t>
  </si>
  <si>
    <t>Iya, kebijakan sertifikasi halal untuk bahan produksi makanan dan minuman halal sudah bagus tetapi daya beli pelaku umkm dan pedagang kaki lima untuk membelinya masih rendah sehingga banyak yg berkeberatan menggunakan bahan - bahan yang sudah bersertifikat halal untuk produknya</t>
  </si>
  <si>
    <t>satisfactiontruth@gmail.com</t>
  </si>
  <si>
    <t>Dominikus Ansel</t>
  </si>
  <si>
    <t>Produsen Obat Tradisional</t>
  </si>
  <si>
    <t>Kapuas Hulu</t>
  </si>
  <si>
    <t>Banyak dokumen halal yang harus disiapkan bikin ribet.</t>
  </si>
  <si>
    <t>Struktur birokrasi jelas paling bikin repot, apalagi kalau alurnya muter-muter.</t>
  </si>
  <si>
    <t>dukungan komunitas lokal bikin semangat tetap ada.</t>
  </si>
  <si>
    <t>Rika Ratna Sari</t>
  </si>
  <si>
    <t>Kediri</t>
  </si>
  <si>
    <t>Proses birokrasi yang panjang dan berbelit sering membuat saya kelelahan karena harus bolak-balik urus syarat.</t>
  </si>
  <si>
    <t>Alur yang lebih sederhana sangat dibutuhkan supaya usaha kecil bisa lebih cepat menyelesaikan sertifikasi halal.</t>
  </si>
  <si>
    <t>Edukasi kepada konsumen juga berpengaruh, karena makin banyak permintaan dari masyarakat mendorong UMKM lebih serius mengurus halal.</t>
  </si>
  <si>
    <t>Tan Jaya</t>
  </si>
  <si>
    <t>Info aturan halal sering telat sampai ke pelaku usaha.</t>
  </si>
  <si>
    <t>Jadi komunikasi jelas paling penting biar nggak bingung.</t>
  </si>
  <si>
    <t>sosialisasi rutin di kecamatan juga sangat diperlukan.</t>
  </si>
  <si>
    <t>Jumiati Rosman</t>
  </si>
  <si>
    <t>Bengkayang</t>
  </si>
  <si>
    <t>Sertifikasi halal lama banget prosesnya.</t>
  </si>
  <si>
    <t>Struktur birokrasi jadi faktor paling berat karena bikin waktu habis.</t>
  </si>
  <si>
    <t>pasar makin peduli halal sehingga meskipun ribet tetap dijalani.</t>
  </si>
  <si>
    <t>Dwi Kurniawan</t>
  </si>
  <si>
    <t>Pemilik Warung Bakso</t>
  </si>
  <si>
    <t>Madiun</t>
  </si>
  <si>
    <t>Informasi terkait aturan halal sering terlambat sampai ke saya, sehingga banyak yang ketinggalan update.</t>
  </si>
  <si>
    <t>Komunikasi yang jelas dan langsung sangat dibutuhkan agar saya tidak bingung di tengah jalan.</t>
  </si>
  <si>
    <t>Kehadiran asosiasi UMKM membantu memperlancar proses karena bisa saling berbagi info dan pengalaman.</t>
  </si>
  <si>
    <t>Kuliner (Bakso)</t>
  </si>
  <si>
    <t>Agustinus Beni</t>
  </si>
  <si>
    <t>Produsen Kerajinan Rotan</t>
  </si>
  <si>
    <t>Sekadau</t>
  </si>
  <si>
    <t>Ribet banget pas ngurus sertifikasi halal</t>
  </si>
  <si>
    <t>birokrasi yang simpel bisa bikin UMKM lebih cepat jalan</t>
  </si>
  <si>
    <t>motivasi dari keluarga bikin tetap kuat hadapi tantangan</t>
  </si>
  <si>
    <t>Kerajinan</t>
  </si>
  <si>
    <t>Fitri Andini</t>
  </si>
  <si>
    <t>Mojokerto</t>
  </si>
  <si>
    <t>Proses birokrasi yang panjang sering membuat saya merasa lelah dan kurang bersemangat melanjutkan pengurusan halal.</t>
  </si>
  <si>
    <t>Alur yang lebih singkat dan jelas sangat dibutuhkan supaya UMKM bisa lebih fokus pada produksi.</t>
  </si>
  <si>
    <t>Dorongan dari keluarga memberi semangat tambahan agar usaha tetap jalan meskipun birokrasi terasa berat.</t>
  </si>
  <si>
    <t>Adam Syarif Hidayatullah</t>
  </si>
  <si>
    <t>Tantangan utama ada di biaya sertifikasi halal yang cukup besar. Dengan modal terbatas, pelaku UMKM sering kewalahan untuk memenuhi standar.</t>
  </si>
  <si>
    <t>sumber daya adalah faktor paling penting karena tanpa dukungan dana dan fasilitas, usaha kecil sulit berkembang.</t>
  </si>
  <si>
    <t>dorongan pasar lokal dan konsumen yang semakin sadar halal, membuat kami mau tidak mau harus berusaha melengkapi sertifikasi.</t>
  </si>
  <si>
    <t>Wahyu Adi</t>
  </si>
  <si>
    <t>Pemilik Minuman Rempah</t>
  </si>
  <si>
    <t>Lamongan</t>
  </si>
  <si>
    <t>Keterbatasan modal dan fasilitas membuat saya sering kesulitan memenuhi persyaratan halal, terutama untuk biaya uji laboratorium.</t>
  </si>
  <si>
    <t>Dukungan sumber daya menjadi kunci, karena tanpa pendanaan dan sarana yang memadai, proses sertifikasi sulit diselesaikan.</t>
  </si>
  <si>
    <t>Riset dari kampus cukup membantu, misalnya dengan pendampingan teknis atau memberikan akses informasi yang lebih jelas.</t>
  </si>
  <si>
    <t>Mariana Nurhalimah</t>
  </si>
  <si>
    <t>Pemilik Toko Kue Basah</t>
  </si>
  <si>
    <t>Birokrasi yang panjang membuat pengurusan dokumen halal jadi melelahkan. Bolak-balik urus berkas bikin usaha jadi terganggu.</t>
  </si>
  <si>
    <t>struktur birokrasi adalah faktor paling krusial. Kalau alurnya jelas dan singkat, proses halal pasti lebih cepat.</t>
  </si>
  <si>
    <t>motivasi dari keluarga juga membuat saya tetap semangat untuk menyelesaikan sertifikasi meski penuh tantangan.</t>
  </si>
  <si>
    <t>Reza Ahmad Fauzi</t>
  </si>
  <si>
    <t>Komunikasi dari petugas kadang membingungkan, banyak istilah teknis yang tidak mudah dipahami UMKM kecil.</t>
  </si>
  <si>
    <t>komunikasi adalah hal paling penting agar pelaku usaha tidak salah langkah dalam menjalankan proses halal.</t>
  </si>
  <si>
    <t>adanya workshop UMKM yang membantu kami lebih memahami aturan halal dengan cara sederhana.</t>
  </si>
  <si>
    <t>Yuli Kartika</t>
  </si>
  <si>
    <t>Tuban</t>
  </si>
  <si>
    <t>Cara memasarkan produk supaya lebih mudah terjual masih menjadi kendala yang sulit ditangani</t>
  </si>
  <si>
    <t xml:space="preserve">Disposisi petugas penting banget, kalau ramah kita jadi lebih semangat. </t>
  </si>
  <si>
    <t>Faktor lain, pelatihan online juga membantu.</t>
  </si>
  <si>
    <t>Andika Rahman</t>
  </si>
  <si>
    <t>Pasuruan</t>
  </si>
  <si>
    <t>Pengujian produk membutuhkan biaya yang besar, sehingga sering menjadi beban berat bagi UMKM dengan modal terbatas.</t>
  </si>
  <si>
    <t>Dukungan sumber daya sangat penting, baik dalam bentuk pembiayaan, fasilitas, maupun pendampingan teknis.</t>
  </si>
  <si>
    <t>Jaringan distribusi juga ikut berperan, karena semakin luas jangkauan pasar maka semakin besar dorongan untuk menyelesaikan sertifikasi halal.</t>
  </si>
  <si>
    <t>Liliana Rohani</t>
  </si>
  <si>
    <t>Mempawah</t>
  </si>
  <si>
    <t>Uji laboratorium untuk produk herbal memakan biaya tinggi. Modal terbatas membuat tantangan ini semakin berat</t>
  </si>
  <si>
    <t>sumber daya paling penting, karena tanpa modal yang cukup sulit untuk memenuhi syarat halal.</t>
  </si>
  <si>
    <t>dukungan pemerintah atau lembaga pendamping yang bisa meringankan beban UMKM kecil.</t>
  </si>
  <si>
    <t>Dewita Anggraini</t>
  </si>
  <si>
    <t>Pemilik Make-up Lokal</t>
  </si>
  <si>
    <t>Probolinggo</t>
  </si>
  <si>
    <t>Proses birokrasi terasa rumit karena harus mengurus banyak perizinan sekaligus, mulai dari BPOM sampai sertifikasi halal.</t>
  </si>
  <si>
    <t>Alurnya panjang dan berlapis-lapis, sehingga UMKM butuh sistem yang lebih sederhana agar tidak banyak membuang waktu.</t>
  </si>
  <si>
    <t>Tren pasar yang makin menuntut produk bersertifikat halal tetap menjadi dorongan kuat bagi saya untuk melanjutkan proses ini.</t>
  </si>
  <si>
    <t>Rommi Ismail</t>
  </si>
  <si>
    <t>Ketapang</t>
  </si>
  <si>
    <t>Proses sertifikasi halal memakan waktu lama, sehingga usaha kecil sering kehilangan fokus produksi.</t>
  </si>
  <si>
    <t>Struktur birokrasi adalah tantangan utama. Kalau alurnya dipangkas, proses bisa jauh lebih cepat.</t>
  </si>
  <si>
    <t>dukungan dari komunitas kopi lokal juga sangat membantu memberikan motivasi untuk tetap berjuang.</t>
  </si>
  <si>
    <t>Puji Bambang Setyo</t>
  </si>
  <si>
    <t>Pemilik Warung Pecel</t>
  </si>
  <si>
    <t>Ngawi</t>
  </si>
  <si>
    <t>Penjelasan dari petugas sering terlalu teknis sehingga saya sulit menangkap maksudnya.</t>
  </si>
  <si>
    <t>Komunikasi yang jelas dan sederhana sangat dibutuhkan agar proses sertifikasi bisa lebih mudah diikuti.</t>
  </si>
  <si>
    <t>Kehadiran komunitas UMKM membuat beban terasa lebih ringan, karena bisa saling berbagi pengalaman dan solusi praktis.</t>
  </si>
  <si>
    <t>Kuliner (Pecel)</t>
  </si>
  <si>
    <t>Julia Rahmawati</t>
  </si>
  <si>
    <t>Produsen Sambal Tradisional</t>
  </si>
  <si>
    <t>Dokumen halal yang banyak membuat proses sertifikasi terasa rumit dan berat bagi usaha kecil.</t>
  </si>
  <si>
    <t>birokrasi adalah tantangan terbesar. Kalau sistemnya lebih sederhana, UMKM akan lebih mudah menjalani.</t>
  </si>
  <si>
    <t>dukungan dari konsumen lokal yang terus memberi semangat agar produk bisa bersertifikat halal.</t>
  </si>
  <si>
    <t>Yusuf Abdullah</t>
  </si>
  <si>
    <t>Melawi</t>
  </si>
  <si>
    <t>Biaya tambahan untuk uji produk halal cukup besar, jadi usaha kecil sering terbebani.</t>
  </si>
  <si>
    <t>sumber daya finansial adalah hal paling penting untuk kelancaran sertifikasi halal.</t>
  </si>
  <si>
    <t>Faktor lain yang berpengaruh adalah dorongan pasar yang makin peduli produk halal.</t>
  </si>
  <si>
    <t>Eka Sri Wahyuni</t>
  </si>
  <si>
    <t>Pemilik Brownies</t>
  </si>
  <si>
    <t>Blitar</t>
  </si>
  <si>
    <t>Persyaratan dokumen untuk sertifikasi halal sering terasa rumit dan memakan waktu bagi saya.</t>
  </si>
  <si>
    <t>Proses birokrasi yang panjang membuat usaha kecil butuh alur yang lebih sederhana agar tidak tersendat.</t>
  </si>
  <si>
    <t>Dukungan dari sesama UMKM melalui kegiatan berbagi pengalaman cukup membantu mencari jalan keluar saat menghadapi kesulitan.</t>
  </si>
  <si>
    <t>Kuliner (Brownies)</t>
  </si>
  <si>
    <t>Reni Siti Aminah</t>
  </si>
  <si>
    <t>Mengurus sertifikasi halal untuk kosmetik rumahan cukup rumit karena banyak dokumen teknis yang harus dipenuhi.</t>
  </si>
  <si>
    <t>Birokrasi jadi faktor utama yang berat. Kalau lebih ringkas, proses pasti lebih cepat.</t>
  </si>
  <si>
    <t>tren pasar yang mendorong kami tetap semangat menyelesaikan sertifikasi.</t>
  </si>
  <si>
    <t>Rafael Hamzah</t>
  </si>
  <si>
    <t>Uji laboratorium untuk minyak kayu putih sangat mahal. Modal terbatas membuat UMKM sulit bergerak.</t>
  </si>
  <si>
    <t>Sumber daya jelas paling penting, karena tanpa dana tambahan sulit untuk lolos uji halal.</t>
  </si>
  <si>
    <t>bantuan dana dari pemerintah yang sangat dibutuhkan UMKM kecil.</t>
  </si>
  <si>
    <t>Rahman Susilo</t>
  </si>
  <si>
    <t>Produsen Jamu Cair</t>
  </si>
  <si>
    <t>Magetan</t>
  </si>
  <si>
    <t>Keterbatasan modal membuat UMKM kesulitan memenuhi biaya tes laboratorium yang relatif mahal.</t>
  </si>
  <si>
    <t>Dukungan sumber daya, baik dana maupun fasilitas, menjadi hal yang sangat menentukan kelancaran proses sertifikasi halal.</t>
  </si>
  <si>
    <t>Kepercayaan konsumen juga berperan penting, karena semakin tinggi permintaan produk halal, semakin besar dorongan bagi UMKM untuk berusaha memenuhi standar.</t>
  </si>
  <si>
    <t>Debby Maryam</t>
  </si>
  <si>
    <t>Proses halal sering lama, membuat pelaku UMKM kehilangan fokus untuk produksi.</t>
  </si>
  <si>
    <t>Struktur birokrasi menurut saya paling berpengaruh karena membuat alur sertifikasi terasa ribet.</t>
  </si>
  <si>
    <t>dukungan keluarga yang memberi semangat meski jalannya panjang.</t>
  </si>
  <si>
    <t>Kuliner (Manisan)</t>
  </si>
  <si>
    <t>Anita Marlina</t>
  </si>
  <si>
    <t>Pemilik Kosmetik Skincare</t>
  </si>
  <si>
    <t>Situbondo</t>
  </si>
  <si>
    <t>Proses birokrasi terasa berbelit karena banyak tahap yang harus dilalui dan sering membuat saya bolak-balik.</t>
  </si>
  <si>
    <t>Alur yang panjang membuat UMKM membutuhkan sistem yang lebih sederhana agar tidak menguras tenaga dan biaya.</t>
  </si>
  <si>
    <t>Edukasi konsumen juga berpengaruh, karena semakin banyak masyarakat yang peduli halal, semakin besar dorongan bagi UMKM untuk menyesuaikan diri.</t>
  </si>
  <si>
    <t>Kosmetik Skincare</t>
  </si>
  <si>
    <t>Pemilik Depot Rawon</t>
  </si>
  <si>
    <t>Informasi yang disampaikan kadang kurang jelas, sehingga saya sering bingung saat mengikuti prosedur.</t>
  </si>
  <si>
    <t>Komunikasi yang sederhana dan langsung sangat dibutuhkan agar proses sertifikasi halal bisa lebih mudah dipahami.</t>
  </si>
  <si>
    <t>Bantuan dari pemerintah daerah cukup membantu, terutama dalam bentuk sosialisasi dan pendampingan teknis di lapangan.</t>
  </si>
  <si>
    <t>Kuliner (Rawon)</t>
  </si>
  <si>
    <t>Melati Kusuma</t>
  </si>
  <si>
    <t>Produsen Sabun Herbal</t>
  </si>
  <si>
    <t>Ponorogo</t>
  </si>
  <si>
    <t>Persyaratan teknis dalam dokumen halal sering membuat UMKM kewalahan karena detailnya banyak dan rumit.</t>
  </si>
  <si>
    <t>Struktur birokrasi yang panjang menjadikan proses sertifikasi lambat, sehingga butuh alur yang lebih sederhana.</t>
  </si>
  <si>
    <t>Akses informasi online cukup berpengaruh, karena bisa membantu saya mendapatkan panduan lebih cepat tanpa harus menunggu sosialisasi resmi.</t>
  </si>
  <si>
    <t>Taufiqul hakim</t>
  </si>
  <si>
    <t>Karyawan</t>
  </si>
  <si>
    <t>Pati</t>
  </si>
  <si>
    <t>Bagus</t>
  </si>
  <si>
    <t>taufiqulisri12@gmail.com</t>
  </si>
  <si>
    <t>Kebab</t>
  </si>
  <si>
    <t>Popy Sofiani</t>
  </si>
  <si>
    <t>Pendamping Halal</t>
  </si>
  <si>
    <t>Terkait Komunikasi  belum bisa menyentuh semua pelaku usaha, terutama UMKM di daerah. dan Jumlah Satria  halal (yang berlisensi) masih jauh dari kebutuhan nasional. dan  Perubahan kewenangan menimbulkan kebingungan peran (siapa yang menerbitkan, siapa yang memutuskan fatwa, siapa yang mengawasi).</t>
  </si>
  <si>
    <t>Faktor faktor tersebut sangat penting karena kalau Komunikasi, sumber daya , disposisi berikut stuktur biokrasi saling berkaitan dan sangat penting</t>
  </si>
  <si>
    <t>faktor Yang lebih penting dari semua itu adalah konsisten dan jujur berikut sikap bertanggung jawab</t>
  </si>
  <si>
    <t>libasunpopy@gmail.com</t>
  </si>
  <si>
    <t>Joseph Suherman</t>
  </si>
  <si>
    <t>P3H DOA BANGSA</t>
  </si>
  <si>
    <t>Kota Sukabumi</t>
  </si>
  <si>
    <t>Komunikasi</t>
  </si>
  <si>
    <t>Ya karena saling keterkaitan antara satu dan yang lainnya</t>
  </si>
  <si>
    <t>Komunikasi dan atensi para P3H dengan para pelaku usaha dalam hal ini UMKM</t>
  </si>
  <si>
    <t>Bubur Ayam</t>
  </si>
  <si>
    <t>Devi Siti Rahmah</t>
  </si>
  <si>
    <t>birokrasi yang masih panjang dan ribet. Sebagai UMKM kecil, bolak-balik urus dokumen bikin waktu produksi kepotong banyak. Kalau sistemnya bisa lebih simpel, pasti lebih efisien.</t>
  </si>
  <si>
    <t>struktur birokrasi. Kalau alurnya jelas dan ringkas, kami pelaku usaha bisa lebih cepat menyelesaikan kewajiban halal tanpa kehilangan fokus di produksi.</t>
  </si>
  <si>
    <t>dukungan dari komunitas lokal juga berperan besar. Sharing pengalaman antar sesama pelaku usaha bikin kami lebih percaya diri menghadapi proses JPH.</t>
  </si>
  <si>
    <t>devi2020@gmail.com</t>
  </si>
  <si>
    <t>Ivan Fadillah</t>
  </si>
  <si>
    <t>Sering banget aturan halal disampaikan pakai istilah teknis yang bikin kita bingung. Padahal kalau dijelasin dengan bahasa sederhana, UMKM kecil kayak aku bisa lebih cepat nangkep maksudnya.</t>
  </si>
  <si>
    <t xml:space="preserve">komunikasi ini yang paling penting. Kalau komunikasinya jelas dan rutin, kita nggak gampang salah langkah. </t>
  </si>
  <si>
    <t>dukungan dari komunitas UMKM, karena sering dapat sharing pengalaman dari mereka bikin lebih percaya diri.</t>
  </si>
  <si>
    <t>fadillah22@gmail.com</t>
  </si>
  <si>
    <t>Rossa Murniati</t>
  </si>
  <si>
    <t xml:space="preserve">Yang bikin berat banget itu soal sumber daya, terutama biaya. Uji produk halal atau sekadar ngurus dokumen aja butuh modal tambahan, sementara usaha kecil modalnya pas-pasan. </t>
  </si>
  <si>
    <t xml:space="preserve">sumber daya paling menentukan. Kalau ada bantuan dana atau subsidi, kita pasti lebih semangat. </t>
  </si>
  <si>
    <t>dorongan pasar. Karena makin ke sini, konsumen makin peduli sama label halal, jadi meski berat, mau nggak mau kita harus berusaha nyelesain sertifikasi.</t>
  </si>
  <si>
    <t>rossaniati23@gmail.com</t>
  </si>
  <si>
    <t>Johan Saputra</t>
  </si>
  <si>
    <t xml:space="preserve">yang paling kerasa itu birokrasi. Prosesnya panjang, bolak-balik dokumen, dan kadang bikin capek mental. </t>
  </si>
  <si>
    <t xml:space="preserve">struktur birokrasi ini yang paling berat. Kalau alurnya jelas dan dipersingkat, UMKM bisa lebih fokus produksi sambil tetap urus halal. </t>
  </si>
  <si>
    <t>sikap petugas, karena kalau petugasnya ramah dan sabar, kita jadi lebih percaya diri. pelatihan dari dinas atau kampus juga bantu banget buat ngerti aturan halal tanpa harus belajar sendiri dari nol.</t>
  </si>
  <si>
    <t>johanputra24@gmail.com</t>
  </si>
  <si>
    <t>Ferra Fahira Zahra</t>
  </si>
  <si>
    <t>komunikasi dari petugas. Kadang penjelasannya rumit banget, banyak istilah teknis yang bikin kita sebagai UMKM kecil jadi bingung.</t>
  </si>
  <si>
    <t>komunikasi itu faktor paling penting, karena kalau bahasanya sederhana dan jelas, proses sertifikasi halal bisa kita jalani tanpa salah langkah.</t>
  </si>
  <si>
    <t>sosialisasi rutin ke pelaku usaha. Jangan cuma sekali-sekali, tapi harus terus dilakukan biar info soal aturan halal nggak telat sampai ke kami.</t>
  </si>
  <si>
    <t>fahirazahra25@gmail.com</t>
  </si>
  <si>
    <t>Ridwan Ansyah</t>
  </si>
  <si>
    <t>Gunung Mas</t>
  </si>
  <si>
    <t>masalah paling kerasa itu biaya tambahan untuk uji halal. Modal usaha kecil kan terbatas, jadi pas ditambah biaya uji bahan atau produk rasanya berat banget.</t>
  </si>
  <si>
    <t>sumber daya jadi faktor paling penting. Kalau ada bantuan dana atau subsidi dari pemerintah, UMKM pasti lebih semangat buat ngurus sertifikasi halal.</t>
  </si>
  <si>
    <t>dukungan nyata dari pemerintah atau lembaga terkait. Jangan cuma sekadar wacana, tapi ada program pendampingan dan bantuan yang langsung bisa dirasain pelaku usaha.</t>
  </si>
  <si>
    <t>ridwansyah26@gmail.com</t>
  </si>
  <si>
    <t>Fenny Nurhayati</t>
  </si>
  <si>
    <t>Pemilik Depot Makanan Laut</t>
  </si>
  <si>
    <t>Murung Raya</t>
  </si>
  <si>
    <t>Alurnya panjang dan bikin usaha kecil kayak aku kehilangan fokus buat produksi. Struktur birokrasi menurutku yang paling bikin repot.</t>
  </si>
  <si>
    <t>Kalau alurnya dibuat lebih singkat, jelas, dan praktis, UMKM pasti bisa lebih cepat menyelesaikan proses tanpa banyak hambatan. Jadi struktur birokrasi ini kuncinya banget.</t>
  </si>
  <si>
    <t>Disposisi petugas juga pengaruh besar. Kalau petugasnya ramah dan sabar, kita jadi lebih percaya diri dan nggak minder saat ngurusin dokumen halal.</t>
  </si>
  <si>
    <t>fennynur27@gmail.com</t>
  </si>
  <si>
    <t>Ika Halimatus Sa’diah</t>
  </si>
  <si>
    <t>Sukamara</t>
  </si>
  <si>
    <t>komunikasi sama petugas. Kadang penjelasannya terlalu teknis, jadi kami yang usaha kecil suka bingung harus mulai dari mana. Kalau komunikasinya jelas, pasti lebih gampang jalaninnya.</t>
  </si>
  <si>
    <t>struktur birokrasi. Proses halal kan banyak tahap, jadi kalau alurnya panjang banget, kita sering kehilangan waktu produksi. Kalau bisa dipersingkat, UMKM kayak aku pasti lebih cepat kelar urusannya.</t>
  </si>
  <si>
    <t xml:space="preserve">dukungan komunitas lokal. Sesama pengusaha sambal di Sukamara sering saling kasih tips dan berbagi pengalaman. Itu yang bikin semangat tetap ada walau </t>
  </si>
  <si>
    <t>ika.sadiah28@gmail.com</t>
  </si>
  <si>
    <t>Robbi Rizky Pratama</t>
  </si>
  <si>
    <t>Produsen Coklat Rumahan</t>
  </si>
  <si>
    <t>Lamandau</t>
  </si>
  <si>
    <t>biaya buat uji halal, lumayan berat buat usaha kecil kayak aku. Modal terbatas, jadi kalau semua ditanggung sendiri sering bikin pusing.</t>
  </si>
  <si>
    <t>Sumber daya ini menurutku jadi faktor paling penting, karena tanpa dukungan finansial kita gampang kehabisan tenaga di tengah jalan.</t>
  </si>
  <si>
    <t>Sekarang pembeli makin peduli produk halal, jadi meskipun susah, aku tetap berusaha ngikutin aturan. Permintaan konsumen inilah yang bikin semangat tetap ada, biarpun jalannya berliku.</t>
  </si>
  <si>
    <t>robbi.rizky29@gmail.com</t>
  </si>
  <si>
    <t>Kuliner (Coklat)</t>
  </si>
  <si>
    <t>Emilia Nurul Hidayah</t>
  </si>
  <si>
    <t>Seruyan</t>
  </si>
  <si>
    <t>biaya dan sumber daya. Warung makan modalnya pas-pasan, jadi kalau harus keluar dana tambahan buat uji halal rasanya lumayan berat. tanpa dukungan dana atau fasilitas, usaha kecil sering berhenti di tengah jalan.</t>
  </si>
  <si>
    <t xml:space="preserve">birokrasi, alurnya juga panjang banget. Kadang harus bolak-balik urus dokumen, bikin waktu kebuang dan tenaga habis. Kalau prosedurnya lebih jelas dan ringkas, pasti lebih gampang buat pelaku usaha kecil kayak aku. </t>
  </si>
  <si>
    <t xml:space="preserve">dukungan keluarga dan pelanggan. Banyak pelanggan sekarang nanya soal halal, jadi meskipun sulit tetap harus dijalani. </t>
  </si>
  <si>
    <t>emilia.hidayah30@gmail.com</t>
  </si>
  <si>
    <t>Januar Samsul Bahri</t>
  </si>
  <si>
    <t xml:space="preserve">komunikasi sama petugas. Kadang bahasanya terlalu teknis, jadi buat UMKM kecil kayak aku agak bingung. Kalau komunikasi lebih sederhana dan ada pendampingan, pasti proses halal bisa lebih cepat dipahami. </t>
  </si>
  <si>
    <t>biaya buat uji produk juga lumayan bikin berat. Kue basah kan untungnya tipis, jadi kalau harus keluar dana tambahan sering bikin mikir panjang. Kalau ada bantuan subsidi atau akses dana lebih mudah, pasti UMKM bisa lebih tenang jalanin sertifikasi halal.</t>
  </si>
  <si>
    <t>dukungan komunitas UMKM lokal. Biasanya kalau ada sharing atau pelatihan bareng, aku jadi lebih paham langkah-langkahnya. karena ada teman sesama pelaku usaha yang saling dukung, semangatnya tetap terjaga.</t>
  </si>
  <si>
    <t>januar.bahri31@gmail.com</t>
  </si>
  <si>
    <t>Budi Santoso</t>
  </si>
  <si>
    <t>Jujur aja, yang bikin berat itu modal sama peralatan. Buat ikut sertifikasi halal kan harus uji lab segala, nah itu biayanya lumayan nyedot. Apalagi warung saya skalanya kecil, jadi harus puter otak banget biar tetap jalan sambil nabung buat biaya itu.</t>
  </si>
  <si>
    <t>Menurut saya sih sumber daya, terutama dana dan fasilitas, itu paling krusial. Soalnya percuma kalau mau niat, mau ngerti prosedur, tapi duit buat eksekusinya nggak ada.</t>
  </si>
  <si>
    <t>Dukungan komunitas atau pelanggan juga berpengaruh banget. Kalau pelanggan nyemangatin dan mau nunggu prosesnya, itu bikin saya lebih semangat nyelesain sertifikasi.</t>
  </si>
  <si>
    <t>Kuliner (Nasi Kuning)</t>
  </si>
  <si>
    <t>Eko Rahmat Fauzi</t>
  </si>
  <si>
    <t>Barito Utara</t>
  </si>
  <si>
    <t>birokrasi ini yang paling berat, karena kalau alurnya jelas dan singkat, UMKM kayak aku bisa lebih cepat selesai tanpa harus bolak-balik urus berkas.</t>
  </si>
  <si>
    <t>biaya uji produk rempah itu nggak kecil, apalagi kalau harus lewat lab. Dengan modal terbatas, rasanya berat banget. kalau ada bantuan subsidi atau akses pembiayaan, beban UMKM bakal jauh lebih ringan.</t>
  </si>
  <si>
    <t>pelatihan dari dinas atau kumpul bareng UMKM lain, nah dari situ aku jadi dapat banyak informasi dan trik biar nggak salah langkah. ada dukungan dari sesama pelaku usaha bikin lebih semangat.</t>
  </si>
  <si>
    <t>eko.fauzi32@gmail.com</t>
  </si>
  <si>
    <t>Sari Puspita</t>
  </si>
  <si>
    <t>Pemilik Toko kue</t>
  </si>
  <si>
    <t>Tantangannya ya mirip-mirip, biaya untuk nyiapin semua persyaratan itu besar. Mulai dari beli bahan baku yang sesuai standar sampai ongkos tes lab. Kadang juga bingung nyari supplier yang udah punya sertifikat bahan halal.</t>
  </si>
  <si>
    <t>Sumber daya paling penting, soalnya kalau bahan baku dan modal nggak memadai, prosesnya otomatis ketahan. Nggak bisa cuma modal niat doang.</t>
  </si>
  <si>
    <t>Akses informasi soal bantuan atau subsidi. Banyak pelaku usaha kecil kayak saya nggak tahu kalau ada program pendampingan gratis dari pemerintah.</t>
  </si>
  <si>
    <t>Wahyu Setiawan</t>
  </si>
  <si>
    <t>Pemilik Toko Oleh-oleh</t>
  </si>
  <si>
    <t>Kadang semangatnya naik-turun. Pas lagi rame orderan, urus sertifikasi jadi ketunda-tunda. Tapi kalau ingat manfaatnya buat jangka panjang, ya balik semangat lagi.</t>
  </si>
  <si>
    <t>Disposisi atau sikap mental itu penting banget. Kalau kitanya nggak konsisten dan gampang nyerah, ya prosesnya nggak akan kelar-kelar.</t>
  </si>
  <si>
    <t>Trend pasar juga ngaruh. Kalau permintaan produk halal makin tinggi, itu bikin saya lebih termotivasi untuk nyelesain semua syaratnya.</t>
  </si>
  <si>
    <t>Makanan Kering</t>
  </si>
  <si>
    <t>Rudi Prasetyo</t>
  </si>
  <si>
    <t>Pemilik Warung Bakmi</t>
  </si>
  <si>
    <t>Kadang jenuh juga sih ngurus dokumen-dokumen yang banyak itu, apalagi kalau ketemu istilah yang ribet. Tapi kalau inget reputasi usaha saya bisa naik, jadi nggak mau nyerah.</t>
  </si>
  <si>
    <t>Menurut saya, niat dan kesabaran itu nomor satu dalam urusan birokrasi. Karena prosesnya panjang dan nggak instan, mental harus siap dulu.</t>
  </si>
  <si>
    <t>Dukungan keluarga sama teman. Kalau mereka nyemangatin terus, kita jadi punya energi buat terus maju.</t>
  </si>
  <si>
    <t>Kuliner (Bakmi Jawa)</t>
  </si>
  <si>
    <t>Dilla Zainab Khairunnisa</t>
  </si>
  <si>
    <t>Pulau Pisang</t>
  </si>
  <si>
    <t>Aku yang usaha di bidang kuliner, khususnya kue, tantangan terberat ada di proses uji bahan. Setiap bahan kue, mulai dari tepung, mentega, hingga perisa, harus jelas asal-usulnya. Kadang juga perlu uji laboratorium yang biayanya cukup tinggi. Dengan modal usaha yang terbatas, hal ini terasa berat. Jadi menurutku sumber daya finansial jadi faktor paling penting, karena tanpa biaya yang cukup, proses sertifikasi halal sulit dijalankan.</t>
  </si>
  <si>
    <t>Dari sisi komunikasi, sering ada istilah teknis yang kurang familiar. Kalau penjelasannya bisa menggunakan bahasa sederhana, aku yang memang berlatar belakang pendidikan terakhir S1 bisa lebih cepat memahami. Jadi menurutku komunikasi yang jelas dan mudah dimengerti itu sangat penting supaya UMKM tidak salah langkah dalam pengurusan halal.</t>
  </si>
  <si>
    <t>Selain itu, dukungan dari dinas terkait dan komunitas UMKM juga berperan besar. Misalnya lewat sosialisasi atau pelatihan bersama, aku jadi lebih mudah memahami aturan baru dan tahu langkah yang harus dijalankan.</t>
  </si>
  <si>
    <t>dilla.zainab@gmail.com</t>
  </si>
  <si>
    <t>Arif Gunawan</t>
  </si>
  <si>
    <t>Pulang Pisau</t>
  </si>
  <si>
    <t xml:space="preserve">biaya uji produk halal. Bahan dasar dodol kan ada macam-macam, dari gula, santan, sampai tambahan lain. Semua harus jelas asal-usulnya. Nah, biaya buat uji lab ini berat banget buat usaha kecil. </t>
  </si>
  <si>
    <t>struktur birokrasi, jujur alurnya lumayan panjang dan bikin capek. Harus bolak-balik urus persyaratan, kadang satu dokumen aja bisa makan waktu lama. Menurutku kalau alurnya dibuat lebih ringkas dan jelas, UMKM kayak aku bakal lebih gampang jalanin kewajiban halal tanpa kebuang waktu produksi.</t>
  </si>
  <si>
    <t>dorongan keluarga bikin semangat lagi. Komunitas UMKM juga suka berbagi pengalaman dan tips, jadi ngerasa nggak sendirian ngadepin susahnya proses halal.</t>
  </si>
  <si>
    <t>arif.gun34@gmail.com</t>
  </si>
  <si>
    <t>Yoga Prabowo</t>
  </si>
  <si>
    <t>Peralatan di dapur saya masih sederhana, jadi kadang nggak memenuhi standar yang diminta. Mau upgrade butuh biaya, dan itu nggak kecil.</t>
  </si>
  <si>
    <t>Menurut saya sumber daya itu paling penting, karena tanpa peralatan dan bahan yang sesuai, sertifikasi susah buat didapat.</t>
  </si>
  <si>
    <t>Jaringan pemasaran. Kalau ada pasar yang jelas setelah sertifikat didapat, kita jadi lebih termotivasi buat berusaha dapatkannya.</t>
  </si>
  <si>
    <t>Salmah Rafiqoh</t>
  </si>
  <si>
    <t>Pemilik Restoran Seafood</t>
  </si>
  <si>
    <t>komunikasi aturan halal kadang bikin bingung. Banyak istilah teknis yang nggak mudah dipahami sama pelaku usaha kecil kayak aku. Jadi menurutku komunikasi ini paling penting. Kalau petugas jelasin dengan bahasa sederhana, proses pasti lebih cepat dimengerti dan kita nggak salah langkah.</t>
  </si>
  <si>
    <t>Ada petugas yang ramah dan sabar, bikin kita lebih pede saat nanya atau konsultasi. Tapi kalau ketemu yang kaku, malah bikin minder dan bingung. Jadi disposisi menurutku penting banget buat bikin suasana urus halal lebih nyaman.</t>
  </si>
  <si>
    <t>sosialisasi di desa-desa. Selama ini info sering telat atau cuma sampai di kota besar. Padahal banyak UMKM kecil kayak aku yang ada di kabupaten. Kalau ada sosialisasi rutin sampai daerah, pelaku usaha jadi lebih siap dan nggak ketinggalan aturan baru.</t>
  </si>
  <si>
    <t>salmah.raf35@gmail.com</t>
  </si>
  <si>
    <t>Semarang</t>
  </si>
  <si>
    <t>Ribetnya ngurus surat-surat dan prosedur itu bikin pusing. Kadang harus bolak-balik ke kantor cuma buat tanda tangan atau stempel. Apalagi kalau ada aturan yang berubah, saya harus mulai lagi dari awal.</t>
  </si>
  <si>
    <t>Menurut saya, kelancaran birokrasi itu kuncinya. Kalau alurnya jelas dan nggak berbelit, pelaku usaha kayak saya nggak akan buang waktu dan tenaga.</t>
  </si>
  <si>
    <t>Jam operasional kantor yang terbatas. Kalau pelaku usaha kayak saya yang pagi sampai sore sibuk produksi, susah nyocokin waktu buat ngurus administrasi.</t>
  </si>
  <si>
    <t>Luqman Saputra</t>
  </si>
  <si>
    <t>komunikasi aturan halal. Banyak istilah teknis yang susah dimengerti, apalagi kalau latar belakang pendidikan nggak tinggi.</t>
  </si>
  <si>
    <t>biaya untuk uji produk atau persyaratan lain memang lumayan berat. Usaha kecil kayak keripik singkong ini modalnya terbatas. Kalau ada bantuan atau subsidi, pastinya lebih ringan buat UMKM kayak aku.</t>
  </si>
  <si>
    <t>dukungan komunitas lokal. Sesama pelaku usaha sering berbagi info dan tips, kita tetap semangat. Rasa kebersamaan ini bikin beban terasa lebih ringan.</t>
  </si>
  <si>
    <t>luqman36@gmail.com</t>
  </si>
  <si>
    <t>Maryam Qalbi</t>
  </si>
  <si>
    <t>proses sertifikasi halal buat warung makan kayak saya terasa rumit harus bolak-balik urus berkas dan konfirmasi. Kalau alurnya dibuat lebih simpel dan jelas, kami pelaku usaha bisa lebih cepat selesai tanpa kebuang banyak waktu.</t>
  </si>
  <si>
    <t>kadang ketemu yang ramah dan membantu, tapi ada juga yang kaku bikin kita jadi sungkan. Menurut saya sikap petugas ini penting banget, karena kalau mereka sabar dan komunikatif, kami jadi lebih percaya diri dalam mengikuti prosedur.</t>
  </si>
  <si>
    <t>Data Responden Provinsi Kalimantan Tengah Nama	Jabatan	Pend	Jenis Produksi	Email	Asal 	Jawaban Devi Siti Rahmah	Produsen Kue	SMA	Kuliner (Kue)	devi2020@gmail.com	Palangka Raya  3	birokrasi yang masih panjang dan ribet. Sebagai UMKM kecil, bolak-balik urus dokumen bikin waktu produksi kepotong banyak. Kalau sistemnya bisa lebih simpel, pasti lebih efisien.  struktur birokrasi. Kalau alurnya jelas dan ringkas, kami pelaku usaha bisa lebih cepat menyelesaikan kewajiban halal tanpa kehilangan fokus di produksi.  dukungan dari komunitas lokal juga berperan besar. Sharing pengalaman antar sesama pelaku usaha bikin kami lebih percaya diri menghadapi proses JPH. Ivan Fadillah	Pemilik Warung Kopi	SMA	Kuliner (Kopi)	fadillah22@gmail.com	Palangka Raya  1.5 	Sering banget aturan halal disampaikan pakai istilah teknis yang bikin kita bingung. Padahal kalau dijelasin dengan bahasa sederhana, UMKM kecil kayak aku bisa lebih cepat nangkep maksudnya.   komunikasi ini yang paling penting. Kalau komunikasinya jelas dan rutin, kita nggak gampang salah langkah.   dukungan dari komunitas UMKM, karena sering dapat sharing pengalaman dari mereka bikin lebih percaya diri.  Rossa Murniati	Produsen Minyak Kayu Putih	SMA	Obat Tradisional	rossaniati23@gmail.com	Kotawaringin Timur 2.5	Yang bikin berat banget itu soal sumber daya, terutama biaya. Uji produk halal atau sekadar ngurus dokumen aja butuh modal tambahan, sementara usaha kecil modalnya pas-pasan.   sumber daya paling menentukan. Kalau ada bantuan dana atau subsidi, kita pasti lebih semangat.   dorongan pasar. Karena makin ke sini, konsumen makin peduli sama label halal, jadi meski berat, mau nggak mau kita harus berusaha nyelesain sertifikasi.  Johan Saputra	Produsen Obat Herbal	S1	Obat Tradisional	johanputra24@gmail.com	Kapuas 1.5	yang paling kerasa itu birokrasi. Prosesnya panjang, bolak-balik dokumen, dan kadang bikin capek mental.   struktur birokrasi ini yang paling berat. Kalau alurnya jelas dan dipersingkat, UMKM bisa lebih fokus produksi sambil tetap urus halal.   sikap petugas, karena kalau petugasnya ramah dan sabar, kita jadi lebih percaya diri. pelatihan dari dinas atau kampus juga bantu banget buat ngerti aturan halal tanpa harus belajar sendiri dari nol.  Ferra Fahira Zahra	Pemilik Kosmetik Rumahan	SMA	Kosmetik	fahirazahra25@gmail.com	Barito Selatan  1.5	komunikasi dari petugas. Kadang penjelasannya rumit banget, banyak istilah teknis yang bikin kita sebagai UMKM kecil jadi bingung.  komunikasi itu faktor paling penting, karena kalau bahasanya sederhana dan jelas, proses sertifikasi halal bisa kita jalani tanpa salah langkah.  sosialisasi rutin ke pelaku usaha. Jangan cuma sekali-sekali, tapi harus terus dilakukan biar info soal aturan halal nggak telat sampai ke kami.  Ridwan Ansyah	Produsen Minuman Tradisional	SMA	Minuman	ridwansyah26@gmail.com	Gunung Mas 3	masalah paling kerasa itu biaya tambahan untuk uji halal. Modal usaha kecil kan terbatas, jadi pas ditambah biaya uji bahan atau produk rasanya berat banget.  sumber daya jadi faktor paling penting. Kalau ada bantuan dana atau subsidi dari pemerintah, UMKM pasti lebih semangat buat ngurus sertifikasi halal.  dukungan nyata dari pemerintah atau lembaga terkait. Jangan cuma sekadar wacana, tapi ada program pendampingan dan bantuan yang langsung bisa dirasain pelaku usaha.  Fenny Nurhayati	Pemilik Depot Makanan Laut	SMA	Kuliner (Seafood)	fennynur27@gmail.com	Murung Raya 1-6	Alurnya panjang dan bikin usaha kecil kayak aku kehilangan fokus buat produksi. Struktur birokrasi menurutku yang paling bikin repot.   Kalau alurnya dibuat lebih singkat, jelas, dan praktis, UMKM pasti bisa lebih cepat menyelesaikan proses tanpa banyak hambatan. Jadi struktur birokrasi ini kuncinya banget.  Disposisi petugas juga pengaruh besar. Kalau petugasnya ramah dan sabar, kita jadi lebih percaya diri dan nggak minder saat ngurusin dokumen halal.  Ika Halimatus Sa’diah	Produsen Sambal	SMA	Kuliner (Sambal)	ika.sadiah28@gmail.com	Sukamara 1	komunikasi sama petugas. Kadang penjelasannya terlalu teknis, jadi kami yang usaha kecil suka bingung harus mulai dari mana. Kalau komunikasinya jelas, pasti lebih gampang jalaninnya.  struktur birokrasi. Proses halal kan banyak tahap, jadi kalau alurnya panjang banget, kita sering kehilangan waktu produksi. Kalau bisa dipersingkat, UMKM kayak aku pasti lebih cepat kelar urusannya.  dukungan komunitas lokal. Sesama pengusaha sambal di Sukamara sering saling kasih tips dan berbagi pengalaman. Itu yang bikin semangat tetap ada walau proses sertifikasi halal terasa sulit. Robbi Rizky Pratama	Produsen Coklat Rumahan	SMA	Kuliner (Coklat)	robbi.rizky29@gmail.com	Lamandau  2.5	biaya buat uji halal, lumayan berat buat usaha kecil kayak aku. Modal terbatas, jadi kalau semua ditanggung sendiri sering bikin pusing.  Sumber daya ini menurutku jadi faktor paling penting, karena tanpa dukungan finansial kita gampang kehabisan tenaga di tengah jalan.   Sekarang pembeli makin peduli produk halal, jadi meskipun susah, aku tetap berusaha ngikutin aturan. Permintaan konsumen inilah yang bikin semangat tetap ada, biarpun jalannya berliku.  Emilia Nurul Hidayah	Pemilik Warung Makan	SMA	Kuliner	emilia.hidayah30@gmail.com	Seruyan 1.5	biaya dan sumber daya. Warung makan modalnya pas-pasan, jadi kalau harus keluar dana tambahan buat uji halal rasanya lumayan berat. tanpa dukungan dana atau fasilitas, usaha kecil sering berhenti di tengah jalan.  birokrasi, alurnya juga panjang banget. Kadang harus bolak-balik urus dokumen, bikin waktu kebuang dan tenaga habis. Kalau prosedurnya lebih jelas dan ringkas, pasti lebih gampang buat pelaku usaha kecil kayak aku.   dukungan keluarga dan pelanggan. Banyak pelanggan sekarang nanya soal halal, jadi meskipun sulit tetap harus dijalani.  Januar Samsul Bahri	Produsen Kue Basah	SMA	Kuliner (Kue)	januar.bahri31@gmail.com	Katingan 1.5	komunikasi sama petugas. Kadang bahasanya terlalu teknis, jadi buat UMKM kecil kayak aku agak bingung. Kalau komunikasi lebih sederhana dan ada pendampingan, pasti proses halal bisa lebih cepat dipahami.   biaya buat uji produk juga lumayan bikin berat. Kue basah kan untungnya tipis, jadi kalau harus keluar dana tambahan sering bikin mikir panjang. Kalau ada bantuan subsidi atau akses dana lebih mudah, pasti UMKM bisa lebih tenang jalanin sertifikasi halal.  dukungan komunitas UMKM lokal. Biasanya kalau ada sharing atau pelatihan bareng, aku jadi lebih paham langkah-langkahnya. karena ada teman sesama pelaku usaha yang saling dukung, semangatnya tetap terjaga.  Eko Rahmat Fauzi	Produsen Minuman Rempah	SMA	Minuman	eko.fauzi32@gmail.com	Barito Utara 1.5	 birokrasi ini yang paling berat, karena kalau alurnya jelas dan singkat, UMKM kayak aku bisa lebih cepat selesai tanpa harus bolak-balik urus berkas.  biaya uji produk rempah itu nggak kecil, apalagi kalau harus lewat lab. Dengan modal terbatas, rasanya berat banget. kalau ada bantuan subsidi atau akses pembiayaan, beban UMKM bakal jauh lebih ringan.  pelatihan dari dinas atau kumpul bareng UMKM lain, nah dari situ aku jadi dapat banyak informasi dan trik biar nggak salah langkah. ada dukungan dari sesama pelaku usaha bikin lebih semangat. Dilla Zainab Khairunnisa	Pemilik Toko Kue	S1	Kuliner (Kue)	dilla.zainab@gmail.com	Pulau Pisang 3	Aku yang usaha di bidang kuliner, khususnya kue, tantangan terberat ada di proses uji bahan. Setiap bahan kue, mulai dari tepung, mentega, hingga perisa, harus jelas asal-usulnya. Kadang juga perlu uji laboratorium yang biayanya cukup tinggi. Dengan modal usaha yang terbatas, hal ini terasa berat. Jadi menurutku sumber daya finansial jadi faktor paling penting, karena tanpa biaya yang cukup, proses sertifikasi halal sulit dijalankan.  Dari sisi komunikasi, sering ada istilah teknis yang kurang familiar. Kalau penjelasannya bisa menggunakan bahasa sederhana, aku yang memang berlatar belakang pendidikan terakhir S1 bisa lebih cepat memahami. Jadi menurutku komunikasi yang jelas dan mudah dimengerti itu sangat penting supaya UMKM tidak salah langkah dalam pengurusan halal.  Selain itu, dukungan dari dinas terkait dan komunitas UMKM juga berperan besar. Misalnya lewat sosialisasi atau pelatihan bersama, aku jadi lebih mudah memahami aturan baru dan tahu langkah yang harus dijalankan.  Arif Gunawan	Produsen Dodol	SMA	Kuliner (Dodol)	arif.gun34@gmail.com	Pulang Pisau 1.5	biaya uji produk halal. Bahan dasar dodol kan ada macam-macam, dari gula, santan, sampai tambahan lain. Semua harus jelas asal-usulnya. Nah, biaya buat uji lab ini berat banget buat usaha kecil.   struktur birokrasi, jujur alurnya lumayan panjang dan bikin capek. Harus bolak-balik urus persyaratan, kadang satu dokumen aja bisa makan waktu lama. Menurutku kalau alurnya dibuat lebih ringkas dan jelas, UMKM kayak aku bakal lebih gampang jalanin kewajiban halal tanpa kebuang waktu produksi.  dorongan keluarga bikin semangat lagi. Komunitas UMKM juga suka berbagi pengalaman dan tips, jadi ngerasa nggak sendirian ngadepin susahnya proses halal.  Salmah Rafiqoh	Pemilik Restoran Seafood	S1	Kuliner (Seafood)	salmah.raf35@gmail.com	Kotawaringin Barat 3	komunikasi aturan halal kadang bikin bingung. Banyak istilah teknis yang nggak mudah dipahami sama pelaku usaha kecil kayak aku. Jadi menurutku komunikasi ini paling penting. Kalau petugas jelasin dengan bahasa sederhana, proses pasti lebih cepat dimengerti dan kita nggak salah langkah.   Ada petugas yang ramah dan sabar, bikin kita lebih pede saat nanya atau konsultasi. Tapi kalau ketemu yang kaku, malah bikin minder dan bingung. Jadi disposisi menurutku penting banget buat bikin suasana urus halal lebih nyaman.  sosialisasi di desa-desa. Selama ini info sering telat atau cuma sampai di kota besar. Padahal banyak UMKM kecil kayak aku yang ada di kabupaten. Kalau ada sosialisasi rutin sampai daerah, pelaku usaha jadi lebih siap dan nggak ketinggalan aturan baru.  Luqman Saputra	Produsen Keripik Singkong	SMP	Kuliner (Keripik)	luqman36@gmail.com	Kapuas Hulu 2.5	komunikasi aturan halal. Banyak istilah teknis yang susah dimengerti, apalagi kalau latar belakang pendidikan nggak tinggi.  biaya untuk uji produk atau persyaratan lain memang lumayan berat. Usaha kecil kayak keripik singkong ini modalnya terbatas. Kalau ada bantuan atau subsidi, pastinya lebih ringan buat UMKM kayak aku.  dukungan komunitas lokal. Sesama pelaku usaha sering berbagi info dan tips, kita tetap semangat. Rasa kebersamaan ini bikin beban terasa lebih ringan.  Maryam Qalbi	Pemilik Warung Nasi	SMA	Kuliner	maryam.qalbi37@gmail.com	Palangka Raya 1.5	proses sertifikasi halal buat warung makan kayak saya terasa rumit harus bolak-balik urus berkas dan konfirmasi. Kalau alurnya dibuat lebih simpel dan jelas, kami pelaku usaha bisa lebih cepat selesai tanpa kebuang banyak waktu.   kadang ketemu yang ramah dan membantu, tapi ada juga yang kaku bikin kita jadi sungkan. Menurut saya sikap petugas ini penting banget, karena kalau mereka sabar dan komunikatif, kami jadi lebih percaya diri dalam mengikuti prosedur.  dukungan dari pelanggan. Banyak pembeli sekarang makin peduli soal halal, tetap ada dorongan semangat. Rasanya lebih lega juga kalau usaha kita sudah punya sertifikasi halal, karena pelanggan percaya dan loyalitas mereka makin kuat.  Usman Ali	Produsen Kopi Bubuk	SMA	Minuman (Kopi)	usman.ali38@gmail.com	Gunung Mas 1.5	biaya uji halal. Untuk usaha kopi bubuk rumahan kayak saya, biaya tambahan buat uji lab lumayan berat karena modal terbatas. Rasanya berat banget kalau harus jalan sendiri tanpa ada dukungan dana. Kalau ada subsidi atau bantuan pemerintah,  tentu prosesnya bakal lebih ringan.  Banyak istilah teknis yang sulit dipahami, apalagi buat UMKM kecil. Saya rasa komunikasi yang jelas dengan bahasa sederhana itu jauh lebih penting, biar kami nggak salah langkah dan bisa menyiapkan berkas sesuai standar.  dukungan komunitas kopi lokal. Sesama pelaku usaha biasanya saling kasih info dan tips soal cara mengurus halal. Dukungan kayak gini bikin semangat terus jalan, meski prosesnya panjang dan penuh tantangan.  Merry Meriana	Pengusaha herbal	S1	Obat herbal	merry.meri39@gmail.com	Katingan 3	uji bahan herbal. Setiap bahan alami kayak akar, daun, atau rempah harus dicek detail banget biar sesuai standar halal. Proses ini bukan cuma lama, tapi juga makan biaya tambahan. sumber daya itu yang paling berat, apalagi untuk UMKM kecil dengan modal terbatas.   sering kali aturan tentang standar halal untuk obat herbal disampaikan dengan bahasa teknis. Buat pelaku usaha kecil kayak saya, itu bikin bingung. Kalau komunikasi bisa lebih sederhana dan ada sosialisasi rutin ke daerah, pasti kami lebih cepat paham dan nggak salah langkah.  dukungan pemerintah daerah dan komunitas lokal. Kadang komunitas UMKM herbal di kampung saling sharing info atau ada pelatihan singkat. Itu sangat membantu, karena selain dapat ilmu, kami juga merasa nggak sendirian menghadapi susahnya sertifikasi halal.  Fauzan Adi Prasetyo	Produsen Skincare	SMA	Skincare	fauzan.adi@gmail.com	Palangka Raya 2.5	biaya uji lab untuk skincare. Bahan-bahan kayak ekstrak tumbuhan atau campuran kimia aman harus dites satu per satu, dan biayanya nggak kecil. Buat usaha kecil seperti saya, modal terbatas bikin sumber daya jadi faktor paling berat. Kalau ada subsidi atau bantuan dana, proses halal ini pasti lebih ringan dijalani.   sering banget informasinya rumit, pakai istilah teknis yang susah dimengerti. Kalau ada sosialisasi khusus untuk UMKM skincare dengan bahasa yang lebih sederhana, kami bisa lebih cepat paham dan nggak salah langkah waktu nyiapin berkas atau uji bahan.  dukungan komunitas UMKM kecantikan juga penting. Kadang ada sharing antar produsen skincare lokal di Palangka Raya, dan itu bikin saya lebih semangat. Ditambah lagi dorongan konsumen yang sekarang makin peduli soal halal, tetap ada motivasi buat berjuang sampai produk benar-benar bersertifikat halal.</t>
  </si>
  <si>
    <t>maryam.qalbi37@gmail.com</t>
  </si>
  <si>
    <t>Bayu Pamungkas</t>
  </si>
  <si>
    <t>Solo</t>
  </si>
  <si>
    <t>Semangat kadang kendor pas udah berhadapan sama prosedur yang panjang. Kalau lagi rame pengunjung, prioritas saya ke dapur, bukan ngurus sertifikasi.</t>
  </si>
  <si>
    <t>Dukungan dari sesama pelaku usaha kuliner. Kalau lihat teman berhasil dapat sertifikat, saya jadi termotivasi buat nyusul.</t>
  </si>
  <si>
    <t>Menurut saya, mental buat konsisten. Kalau nggak punya tekad kuat, gampang banget nyerah di tengah jalan.</t>
  </si>
  <si>
    <t>Usman Ali</t>
  </si>
  <si>
    <t>biaya uji halal. Untuk usaha kopi bubuk rumahan kayak saya, biaya tambahan buat uji lab lumayan berat karena modal terbatas. Rasanya berat banget kalau harus jalan sendiri tanpa ada dukungan dana. Kalau ada subsidi atau bantuan pemerintah, tentu prosesnya bakal lebih ringan.</t>
  </si>
  <si>
    <t>Banyak istilah teknis yang sulit dipahami, apalagi buat UMKM kecil. Saya rasa komunikasi yang jelas dengan bahasa sederhana itu jauh lebih penting, biar kami nggak salah langkah dan bisa menyiapkan berkas sesuai standar.</t>
  </si>
  <si>
    <t>dukungan komunitas kopi lokal. Sesama pelaku usaha biasanya saling kasih info dan tips soal cara mengurus halal. Dukungan kayak gini bikin semangat terus jalan, meski prosesnya panjang dan penuh tantangan.</t>
  </si>
  <si>
    <t>usman.ali38@gmail.com</t>
  </si>
  <si>
    <t>Rizki Hidayah</t>
  </si>
  <si>
    <t>Magelang</t>
  </si>
  <si>
    <t>Jujur, kadang minder juga kalau ketemu persyaratan yang terasa terlalu “besar” buat usaha kecil kayak saya. Tapi kalau inget jamu ini warisan keluarga, jadi semangat lagi buat legalin produknya.</t>
  </si>
  <si>
    <t>Disposisi itu penting, terutama rasa percaya diri. Kalau kita ragu sama kemampuan sendiri, prosesnya bisa berhenti di tengah jalan.</t>
  </si>
  <si>
    <t>Dukungan dari konsumen setia yang percaya sama kualitas produk. Itu bikin saya nggak mau nyerah.</t>
  </si>
  <si>
    <t>Merry Meriana</t>
  </si>
  <si>
    <t>Pengusaha herbal</t>
  </si>
  <si>
    <t>uji bahan herbal. Setiap bahan alami kayak akar, daun, atau rempah harus dicek detail banget biar sesuai standar halal. Proses ini bukan cuma lama, tapi juga makan biaya tambahan. sumber daya itu yang paling berat, apalagi untuk UMKM kecil dengan modal terbatas.</t>
  </si>
  <si>
    <t>sering kali aturan tentang standar halal untuk obat herbal disampaikan dengan bahasa teknis. Buat pelaku usaha kecil kayak saya, itu bikin bingung. Kalau komunikasi bisa lebih sederhana dan ada sosialisasi rutin ke daerah, pasti kami lebih cepat paham dan nggak salah langkah.</t>
  </si>
  <si>
    <t>dukungan pemerintah daerah dan komunitas lokal. Kadang komunitas UMKM herbal di kampung saling sharing info atau ada pelatihan singkat. Itu sangat membantu, karena selain dapat ilmu, kami juga merasa nggak sendirian menghadapi susahnya sertifikasi halal.</t>
  </si>
  <si>
    <t>merry.meri39@gmail.com</t>
  </si>
  <si>
    <t>Obat herbal</t>
  </si>
  <si>
    <t>Pemilik Kopi Lokal</t>
  </si>
  <si>
    <t>Tegal</t>
  </si>
  <si>
    <t>Mesin roasting yang saya punya masih standar, sementara sertifikasi minta kualitas tertentu. Upgrade mesin butuh biaya besar, jadi harus nabung pelan-pelan.</t>
  </si>
  <si>
    <t>Sumber daya, terutama peralatan. Karena kualitas produk sangat dipengaruhi teknologi yang dipakai.</t>
  </si>
  <si>
    <t>Akses ke pembiayaan dari bank atau koperasi. Kalau bunganya rendah, pelaku usaha kecil lebih berani ambil pinjaman.</t>
  </si>
  <si>
    <t>Tika Anggraini</t>
  </si>
  <si>
    <t>Purwokerto</t>
  </si>
  <si>
    <t>Kadang informasi dari petugas beda-beda, bikin saya bingung harus ikut yang mana. Pernah juga nunggu jawaban lewat email berhari-hari tapi nggak ada balasan.</t>
  </si>
  <si>
    <t>Menurut saya, komunikasi yang jelas dan cepat itu paling penting. Jadi nggak ada salah paham yang bikin proses mundur.</t>
  </si>
  <si>
    <t>Media sosial resmi dari instansi yang aktif. Kalau informasi bisa langsung di-update di situ, pelaku usaha nggak perlu repot datang ke kantor.</t>
  </si>
  <si>
    <t>Fauzan Adi Prasetyo</t>
  </si>
  <si>
    <t>biaya uji lab untuk skincare. Bahan-bahan kayak ekstrak tumbuhan atau campuran kimia aman harus dites satu per satu, dan biayanya nggak kecil. Buat usaha kecil seperti saya, modal terbatas bikin sumber daya jadi faktor paling berat. Kalau ada subsidi atau bantuan dana, proses halal ini pasti lebih ringan dijalani.</t>
  </si>
  <si>
    <t>sering banget informasinya rumit, pakai istilah teknis yang susah dimengerti. Kalau ada sosialisasi khusus untuk UMKM skincare dengan bahasa yang lebih sederhana, kami bisa lebih cepat paham dan nggak salah langkah waktu nyiapin berkas atau uji bahan.</t>
  </si>
  <si>
    <t>dukungan komunitas UMKM kecantikan juga penting. Kadang ada sharing antar produsen skincare lokal di Palangka Raya, dan itu bikin saya lebih semangat. Ditambah lagi dorongan konsumen yang sekarang makin peduli soal halal, tetap ada motivasi buat berjuang sampai produk benar-benar bersertifikat halal.</t>
  </si>
  <si>
    <t>fauzan.adi@gmail.com</t>
  </si>
  <si>
    <t>Irma Setyaningsih</t>
  </si>
  <si>
    <t>Pemilik Warung Sate</t>
  </si>
  <si>
    <t>Urusan perizinan kadang muter-muter. Dari kelurahan ke dinas, terus balik lagi karena ada syarat yang belum lengkap. Padahal dokumennya udah saya siapkan semua, tapi selalu ada aja tambahan.</t>
  </si>
  <si>
    <t>Alur birokrasi yang jelas dan nggak ribet. Kalau semua instansi nyambung informasinya, saya bisa urus izin sambil tetap jualan sate tanpa bolak-balik cuti dagang.</t>
  </si>
  <si>
    <t>Jam pelayanan yang fleksibel, biar pelaku usaha kayak saya nggak kehilangan pembeli cuma gara-gara antre di kantor.</t>
  </si>
  <si>
    <t>Kuliner (Sate Klathak)</t>
  </si>
  <si>
    <t>Andri Kurniawan</t>
  </si>
  <si>
    <t>Proses perizinan kadang kayak lemot banget, dari satu meja ke meja lain, ujung-ujungnya masih disuruh nambah berkas. Rasanya waktu saya habis cuma buat urus kertas, bukan buat racik minuman.</t>
  </si>
  <si>
    <t>Struktur birokrasi yang rapi dan transparan. Kalau semua tahapan jelas, nggak ada drama bolak-balik, pelaku usaha bisa lebih fokus ke inovasi produk.</t>
  </si>
  <si>
    <t>Sistem online yang benar-benar berfungsi. Kalau semua bisa diajukan dan dicek secara digital, pasti lebih hemat waktu.</t>
  </si>
  <si>
    <t>Nita Kusuma</t>
  </si>
  <si>
    <t>Kadang info yang saya dapat dari satu petugas beda sama petugas lain. Akhirnya saya bingung harus ikut arahan yang mana.</t>
  </si>
  <si>
    <t>Komunikasi yang konsisten dan jelas dari semua pihak terkait. Kalau infonya sama, saya bisa lebih cepat nyiapin dokumen tanpa takut salah.</t>
  </si>
  <si>
    <t>Grup online atau forum khusus pelaku usaha kosmetik, biar bisa tukar info real-time soal proses sertifikasi.</t>
  </si>
  <si>
    <t>Maya Lestari</t>
  </si>
  <si>
    <t>Produsen Jamu Herbal</t>
  </si>
  <si>
    <t>Urus izin jamu itu panjang, dari uji lab sampai izin edar, dan semuanya ada tahapannya. Kalau ada satu yang belum selesai, yang lain nggak bisa jalan.</t>
  </si>
  <si>
    <t>Birokrasi yang terintegrasi antar bagian. Jadi sekali masuk data, semua instansi terkait langsung ter-update.</t>
  </si>
  <si>
    <t>Fasilitas layanan terpadu yang ramah dan ngerti soal usaha kecil biar prosesnya nggak bikin stres.</t>
  </si>
  <si>
    <t>Minuman Herbal (Jamu)</t>
  </si>
  <si>
    <t>Agus Riyanto</t>
  </si>
  <si>
    <t>Produsen Gudeg Kaleng</t>
  </si>
  <si>
    <t>Kadang mood drop pas liat daftar persyaratan yang panjang. Kalau lagi musim panen nangka, saya semangat, tapi kalau stok bahan susah, niat ngurus sertifikasi bisa ketunda.</t>
  </si>
  <si>
    <t>Dapat dukungan teman diskusi atau mentor yang ngerti prosesnya. Jadi kalau lagi stuck, ada yang bisa kasih arahan.</t>
  </si>
  <si>
    <t>Mental pantang nyerah. Karena tanpa tekad, gampang banget kalah sama rasa malas.</t>
  </si>
  <si>
    <t>Kuliner (Gudeg)</t>
  </si>
  <si>
    <t>Handoko Putra</t>
  </si>
  <si>
    <t>Produsen Brownies Coklat</t>
  </si>
  <si>
    <t>Peralatan yang saya punya belum standar industri, jadi pas mau ikut sertifikasi banyak yang harus diganti atau ditambah.</t>
  </si>
  <si>
    <t>Akses bantuan modal atau subsidi peralatan. Kalau alatnya sudah sesuai, semua tahap sertifikasi jadi lebih gampang.</t>
  </si>
  <si>
    <t>Pelatihan penggunaan mesin modern biar produksi bisa lebih cepat dan efisien.</t>
  </si>
  <si>
    <t>Dedi Susanto</t>
  </si>
  <si>
    <t>Saya nggak terlalu paham istilah-istilah resmi di dokumen. Kadang harus minta bantuan anak saya buat ngerti isi persyaratan.</t>
  </si>
  <si>
    <t>Birokrasi yang ramah untuk pelaku usaha kecil. Kalau bahasa di formulir dibuat sederhana, pasti lebih banyak yang mau urus.</t>
  </si>
  <si>
    <t>Loket khusus untuk UMKM. Jadi nggak campur antre sama perusahaan besar yang prosesnya lebih rumit.</t>
  </si>
  <si>
    <t>Rina Setyawati</t>
  </si>
  <si>
    <t>Bahan baku herbal yang saya pakai kadang langka di musim tertentu. Kalau stok nggak stabil, produksi ikut terhambat</t>
  </si>
  <si>
    <t>Ketersediaan bahan baku yang terjamin sepanjang tahun. Tanpa itu, percuma punya izin kalau produksi nggak lancar</t>
  </si>
  <si>
    <t>Kerja sama dengan petani lokal supaya pasokan bahan baku bisa lebih aman dan harganya stabil</t>
  </si>
  <si>
    <t>Lina Kartika</t>
  </si>
  <si>
    <t>Pemilik Snack Tradisional</t>
  </si>
  <si>
    <t>Kalau produksi lagi sepi, saya gampang kehilangan semangat buat lanjut proses sertifikasi. Rasanya mikir, “buat apa buru-buru kalau pesanan belum banyak?”</t>
  </si>
  <si>
    <t>Dukungan dari keluarga yang ngerti pentingnya sertifikasi. Kalau mereka ikut dorong, rasanya jadi lebih ringan.</t>
  </si>
  <si>
    <t>Konsistensi. Sekalipun hasil penjualan belum stabil, kalau niat dari awal sudah kuat, prosesnya nggak akan mandek.</t>
  </si>
  <si>
    <t>Kuliner (Cemilan Tradisional)</t>
  </si>
  <si>
    <t>Dewi Anggraini</t>
  </si>
  <si>
    <t>Urus izin kosmetik itu nggak cuma panjang, tapi juga banyak sekali dokumen teknis yang harus lengkap. Kalau ada yang kurang sedikit, proses bisa berhenti berbulan-bulan.</t>
  </si>
  <si>
    <t>Struktur birokrasi yang efisien dan terkoordinasi antar instansi. Jadi nggak perlu ngulang proses di tempat berbeda.</t>
  </si>
  <si>
    <t>Adanya pendampingan dari pihak berpengalaman di industri kosmetik biar lebih cepat menyesuaikan dokumen sesuai standar.</t>
  </si>
  <si>
    <t>Nayla Seka</t>
  </si>
  <si>
    <t>Kurangnya komunikasi</t>
  </si>
  <si>
    <t>Banyak</t>
  </si>
  <si>
    <t>Naylaseka@gmail.com</t>
  </si>
  <si>
    <t>Latifa</t>
  </si>
  <si>
    <t>Mahasiswi</t>
  </si>
  <si>
    <t>skuulowl@gmail.com</t>
  </si>
  <si>
    <t>Nothing</t>
  </si>
  <si>
    <t>Malik</t>
  </si>
  <si>
    <t>Depok</t>
  </si>
  <si>
    <t>Manda</t>
  </si>
  <si>
    <t>Kab bogor</t>
  </si>
  <si>
    <t>Fnb</t>
  </si>
  <si>
    <t xml:space="preserve">Irma Wati </t>
  </si>
  <si>
    <t xml:space="preserve">Ketua PSM kecamatan </t>
  </si>
  <si>
    <t xml:space="preserve">Kabupaten Bogor </t>
  </si>
  <si>
    <t>Komunikasi yang lebih penting di karena kita jarak kita jauh</t>
  </si>
  <si>
    <t>Karna komunikasi itu lebih penting dari segala nya</t>
  </si>
  <si>
    <t xml:space="preserve">Kurang nya komunikasi </t>
  </si>
  <si>
    <t>wati41465@gmail.com</t>
  </si>
  <si>
    <t>*</t>
  </si>
  <si>
    <t>Farah (gama)</t>
  </si>
  <si>
    <t>Farahmalia@gmail.com</t>
  </si>
  <si>
    <t>Zarkasyi</t>
  </si>
  <si>
    <t>Seketaris Desa</t>
  </si>
  <si>
    <t>Tantangan paling besar itu biasanya soal info yang belum nyampe merata ke pelaku usaha, SDM dan biaya yang masih terbatas, terus komitmen tiap lembaga kadang beda-beda, ditambah lagi birokrasinya lumayan ribet jadi prosesnya suka lama dan bikin bingung.</t>
  </si>
  <si>
    <t>Kalau menurut saya, iya, ada faktor yang lebih penting. Dalam konteks implementasi JPH di Indonesia, komunikasi jadi faktor paling krusial. Soalnya, banyak pelaku usaha—terutama UMKM—belum paham kenapa sertifikasi halal itu wajib dan gimana cara ngurusnya. Kalau komunikasinya jelas dan sampai ke semua lapisan, masalah lain seperti sumber daya atau birokrasi bisa lebih mudah diatasi. Tanpa pemahaman yang baik, kebijakan ini bakal susah jalan meskipun sistem dan SDM sudah disiapkan.</t>
  </si>
  <si>
    <t>ChatGPT said:  Ada juga faktor lain yang berpengaruh, yaitu kesadaran dan budaya masyarakat. Kalau masyarakat dan pelaku usaha punya kesadaran tinggi soal pentingnya produk halal, mereka bakal lebih proaktif ngurus sertifikasi. Selain itu, dukungan teknologi/digitalisasi sistem juga penting supaya proses pendaftaran dan pengawasan lebih cepat, transparan, dan gampang diakses.</t>
  </si>
  <si>
    <t>Zarkasyi19@gmail.com</t>
  </si>
  <si>
    <t>Ghina</t>
  </si>
  <si>
    <t>Owner (gama)</t>
  </si>
  <si>
    <t>Aceh Barat</t>
  </si>
  <si>
    <t>Tantangan utama ada pada sosialisasi dan pemahaman yang belum merata.</t>
  </si>
  <si>
    <t>Ya, saya merasa bahwa faktor-faktor tertentu lebih penting daripada yang lain dalam konteks implementasi JPH di Indonesia.</t>
  </si>
  <si>
    <t>dukungan teknologi yang memadai</t>
  </si>
  <si>
    <t>Ghina17Lestar@gmail.com</t>
  </si>
  <si>
    <t>UMKM Makanan</t>
  </si>
  <si>
    <t>Fitriani Zahra</t>
  </si>
  <si>
    <t>fitrianizahra@gmail.com</t>
  </si>
  <si>
    <t>Rendang Kemasan</t>
  </si>
  <si>
    <t>Andika Pratama</t>
  </si>
  <si>
    <t>Tantangan terbesar dalam implementasi JPH adalah kurangnya komunikasi yang efektif, terutama dalam menyosialisasikan kewajiban sertifikasi halal kepada pelaku usaha kecil. Banyak UMKM yang belum memahami prosedur dan pentingnya JPH, sehingga menimbulkan resistensi atau ketidakpatuhan.</t>
  </si>
  <si>
    <t>Ya, komunikasi adalah faktor yang paling penting karena pemahaman pelaku usaha terhadap kewajiban halal masih rendah. Tanpa sosialisasi yang masif dan jelas, kebijakan JPH sulit diterima dan dijalankan secara optimal.</t>
  </si>
  <si>
    <t>Ya, faktor lain yang juga berpengaruh adalah dukungan regulasi dan kebijakan yang berpihak, seperti kemudahan prosedur atau insentif bagi UMKM. Tanpa itu, pelaku usaha akan sulit memenuhi kewajiban halal secara mandiri.</t>
  </si>
  <si>
    <t>andika.songket@gmail.com</t>
  </si>
  <si>
    <t>Songket Medan</t>
  </si>
  <si>
    <t>Riko Syahputra</t>
  </si>
  <si>
    <t>rikosyahputra@umkmmedan.com</t>
  </si>
  <si>
    <t>Keripik Ubi Pedas</t>
  </si>
  <si>
    <t>Sari Melati</t>
  </si>
  <si>
    <t>sari.melati.bkl@gmail.com</t>
  </si>
  <si>
    <t>Madu Hutan Bengkulu</t>
  </si>
  <si>
    <t>Zulfikar Aulia</t>
  </si>
  <si>
    <t>Manajer Produksi</t>
  </si>
  <si>
    <t>zulfikar.aulia@yahoo.com</t>
  </si>
  <si>
    <t>Rina Oktaviani</t>
  </si>
  <si>
    <t>Founder</t>
  </si>
  <si>
    <t>rina.oktav@gmail.com</t>
  </si>
  <si>
    <t>Wahyu Hidayat</t>
  </si>
  <si>
    <t>wahyu.ikanasap@gmail.com</t>
  </si>
  <si>
    <t>Ikan Asap Khas Aceh</t>
  </si>
  <si>
    <t>Linda Marwan</t>
  </si>
  <si>
    <t>CEO</t>
  </si>
  <si>
    <t>Kaur</t>
  </si>
  <si>
    <t>Keterbatasan sumber daya manusia dan infrastruktur, seperti auditor halal dan laboratorium uji, menjadi hambatan utama dalam pelaksanaan JPH, khususnya di luar Pulau Jawa. Hal ini membuat proses sertifikasi berjalan lambat dan tidak merata secara nasional.</t>
  </si>
  <si>
    <t>Ya, sumber daya menjadi faktor paling krusial karena tanpa auditor, pendamping, dan fasilitas yang cukup, proses sertifikasi halal akan lambat, meskipun pelaku usaha sudah siap.</t>
  </si>
  <si>
    <t>Ya, kesadaran konsumen juga sangat penting. Semakin tinggi permintaan terhadap produk halal dari masyarakat, semakin besar pula dorongan bagi pelaku usaha untuk mengikuti proses sertifikasi halal.</t>
  </si>
  <si>
    <t>lindamarwan@bklumkm.com</t>
  </si>
  <si>
    <t>Sambal Ikan Bengkulu</t>
  </si>
  <si>
    <t>Ratna Sari Dewi</t>
  </si>
  <si>
    <t>Kurangnya komitmen dari sebagian aparatur pemerintah daerah dan pelaku usaha dalam mendukung program halal menunjukkan bahwa disposisi pelaksana kebijakan masih menjadi tantangan besar dalam implementasi JPH.</t>
  </si>
  <si>
    <t>Ya, semua faktor penting dan saling mendukung. Komunikasi, sumber daya, sikap pelaksana, dan birokrasi harus berjalan seimbang agar implementasi JPH dapat berjalan efektif dan merata.</t>
  </si>
  <si>
    <t>Ya, penggunaan teknologi dan digitalisasi sistem sangat membantu. Platform yang terintegrasi dan mudah diakses dapat mempercepat proses dan mengurangi hambatan birokrasi.</t>
  </si>
  <si>
    <t>ratnasari.batik@yahoo.com</t>
  </si>
  <si>
    <t>Batik Medan</t>
  </si>
  <si>
    <t>Sulastri Nasution</t>
  </si>
  <si>
    <t>Manajer Pemasaran</t>
  </si>
  <si>
    <t>Struktur birokrasi yang masih tumpang tindih antar lembaga dan belum terintegrasinya sistem digital membuat proses sertifikasi halal menjadi rumit dan memakan waktu, sehingga menghambat efektivitas pelaksanaan JPH di lapangan.</t>
  </si>
  <si>
    <t>Ya, disposisi atau sikap pelaksana sangat menentukan karena sebaik apapun sistem dan sumber daya yang tersedia, tanpa komitmen dan keseriusan pelaksana, implementasi JPH tidak akan maksimal.</t>
  </si>
  <si>
    <t>Ya, dukungan dan inisiatif dari pimpinan daerah juga menjadi faktor kunci. Jika kepala daerah aktif mendorong program JPH, implementasinya di lapangan cenderung lebih lancar dan terarah.</t>
  </si>
  <si>
    <t>sulastri.nasution@gmail.com</t>
  </si>
  <si>
    <t>Kerajinan Tangan Kain Ulos</t>
  </si>
  <si>
    <t>Takengon</t>
  </si>
  <si>
    <t>nuraisyah@kopirasaalam.id</t>
  </si>
  <si>
    <t>Rizki Fadillah</t>
  </si>
  <si>
    <t>rizki@mamauni.co.id</t>
  </si>
  <si>
    <t>Keripik Balado</t>
  </si>
  <si>
    <t>Tommy Syahputra</t>
  </si>
  <si>
    <t>tommy@markisadeli.id</t>
  </si>
  <si>
    <t>Sirup Markisa</t>
  </si>
  <si>
    <t>Yuni Septiani</t>
  </si>
  <si>
    <t>Kurangnya pemahaman pelaku UMKM tentang pentingnya sertifikasi halal.</t>
  </si>
  <si>
    <t>Ya, beberapa faktor memang lebih penting dan krusial dibandingkan yang lain dalam konteks implementasi Jaminan Produk Halal (JPH) di Indonesia, karena mereka memiliki dampak sistemik yang besar terhadap keberhasilan keseluruhan kebijakan.</t>
  </si>
  <si>
    <t>Banyak pelaku UMKM belum familiar dengan sistem online pendaftaran halal (SiHalal), sehingga kesulitan dalam proses administratif.</t>
  </si>
  <si>
    <t>yuni@lezatminang.id</t>
  </si>
  <si>
    <t>Sambal Ikan Teri</t>
  </si>
  <si>
    <t>Dedi Rahman</t>
  </si>
  <si>
    <t>Informasi terkait prosedur JPH belum tersampaikan secara merata dan efektif ke daerah terpencil.</t>
  </si>
  <si>
    <t>Pelatihan SDM di daerah menjadi krusial karena mereka adalah garda depan dalam mendampingi pelaku UMKM.</t>
  </si>
  <si>
    <t>Daerah 3T (terdepan, terluar, tertinggal) mengalami hambatan teknis saat mengakses layanan digital halal.</t>
  </si>
  <si>
    <t>dedi@nilamsejahtera.com</t>
  </si>
  <si>
    <t>Minyak Nilam</t>
  </si>
  <si>
    <t>Lestari Murni</t>
  </si>
  <si>
    <t>Minimnya sosialisasi langsung yang interaktif dari BPJPH atau lembaga terkait.</t>
  </si>
  <si>
    <t>Keterbatasan laboratorium halal di luar Jawa membuat proses uji produk jadi lambat dan mahal.</t>
  </si>
  <si>
    <t>Meski disebut “gratis” untuk UMK, masih ada biaya tidak langsung seperti transportasi, cetak dokumen, atau persiapan produksi yang tidak diperhitungkan.</t>
  </si>
  <si>
    <t>lestari@tenunlestari.co.id</t>
  </si>
  <si>
    <t>Tenun Pandai Sikek</t>
  </si>
  <si>
    <t>Fahrul Ramadhan</t>
  </si>
  <si>
    <t>Pendiri</t>
  </si>
  <si>
    <t>Sabang</t>
  </si>
  <si>
    <t>Kurangnya koordinasi antar instansi (BPJPH, MUI, Dinas, LPH) dalam menyampaikan informasi yang konsisten.</t>
  </si>
  <si>
    <t>Banyak pelaku UMKM tidak tahu cara mendaftar, tidak paham urgensi halal, atau bahkan tidak tahu bahwa produknya wajib disertifikasi.</t>
  </si>
  <si>
    <t>Terkadang ada perbedaan pendekatan antara BPJPH, Kemenperin, Dinas Koperasi/UMKM, dan MUI, sehingga pelaku usaha bingung.</t>
  </si>
  <si>
    <t>fahrul@lautkita.id</t>
  </si>
  <si>
    <t>Abon Ikan Tuna</t>
  </si>
  <si>
    <t>Rina Novita</t>
  </si>
  <si>
    <t>Direktur Utama</t>
  </si>
  <si>
    <t>Keterbatasan jumlah auditor halal (Lembaga Pemeriksa Halal) dibandingkan dengan jumlah pelaku usaha.</t>
  </si>
  <si>
    <t>Informasi yang tidak konsisten antar lembaga menyebabkan kebingungan di lapangan.</t>
  </si>
  <si>
    <t>Tidak semua pendamping PPH memiliki kompetensi dan semangat mendampingi UMKM secara aktif.</t>
  </si>
  <si>
    <t>rina@durianbkl.com</t>
  </si>
  <si>
    <t>Lempuk Durian</t>
  </si>
  <si>
    <t>Johan Sitompul</t>
  </si>
  <si>
    <t>Minimnya pendanaan atau subsidi dari pemerintah untuk UMKM dalam proses sertifikasi halal.</t>
  </si>
  <si>
    <t>Sertifikasi halal bisa memakan waktu berbulan-bulan karena birokrasi yang rumit.</t>
  </si>
  <si>
    <t>Di beberapa wilayah, sulit menemukan bahan baku bersertifikat halal sehingga menyulitkan proses pemenuhan standar.</t>
  </si>
  <si>
    <t>johan@bikamanis.co.id</t>
  </si>
  <si>
    <t>Bika Ambon</t>
  </si>
  <si>
    <t>Nila Safitri</t>
  </si>
  <si>
    <t>Stigma bahwa sertifikasi halal hanya penting untuk produk makanan, bukan non-pangan.</t>
  </si>
  <si>
    <t>Tidak adanya sistem digital nasional yang benar-benar terintegrasi menyebabkan proses lambat dan tidak transparan.</t>
  </si>
  <si>
    <t>Sosialisasi di daerah kadang tidak menggunakan bahasa lokal atau konteks budaya setempat, menyulitkan pemahaman masyarakat adat.</t>
  </si>
  <si>
    <t>nila@asinaceh.id</t>
  </si>
  <si>
    <t>Ikan Asin</t>
  </si>
  <si>
    <t>Andika Prasetyo</t>
  </si>
  <si>
    <t>Bengkulu Tengah</t>
  </si>
  <si>
    <t>Proses birokrasi yang panjang dan berbelit dalam pengajuan sertifikasi halal.</t>
  </si>
  <si>
    <t>Niat baik pelaku usaha akan muncul jika mereka paham dan merasa terbantu.</t>
  </si>
  <si>
    <t>andika@kelapaart.id</t>
  </si>
  <si>
    <t>Kerajinan Batok Kelapa</t>
  </si>
  <si>
    <t>Vira Meilani</t>
  </si>
  <si>
    <t>Tumpang tindih kewenangan antar lembaga pusat dan daerah.</t>
  </si>
  <si>
    <t>Faktor yang paling berpengaruh secara struktural dan strategis adalah Sumber Daya dan Komunikasi.
Tanpa keduanya, sistem yang baik tidak akan berjalan. Namun, semua faktor saling terkait, dan memperkuat satu tanpa yang lain akan menghasilkan implementasi yang timpang.</t>
  </si>
  <si>
    <t>Ada pelaku usaha yang skeptis terhadap kredibilitas lembaga pemeriksa atau pemberi sertifikat.</t>
  </si>
  <si>
    <t>vira@rendangkp.co.id</t>
  </si>
  <si>
    <t>Rendang Daging Sapi</t>
  </si>
  <si>
    <t>Rendi</t>
  </si>
  <si>
    <t>Informasi kurang merata sampai ke masyarakat</t>
  </si>
  <si>
    <t>Komunikasi yang jelas</t>
  </si>
  <si>
    <t>Kesadaran masyarakat</t>
  </si>
  <si>
    <t>Rendikurniawan@gmail.com</t>
  </si>
  <si>
    <t>Tia Fardila</t>
  </si>
  <si>
    <t>Administrasi kantor desa</t>
  </si>
  <si>
    <t>Sosialisasi JPH masih terbatas</t>
  </si>
  <si>
    <t>Sosialisasi yang rutin</t>
  </si>
  <si>
    <t>Kesadaran Masyarakat</t>
  </si>
  <si>
    <t>TiaFardila893@gmail.com</t>
  </si>
  <si>
    <t>Riska Faradila</t>
  </si>
  <si>
    <t xml:space="preserve">Staff adm kantor desa </t>
  </si>
  <si>
    <t>Bahasa Komunikasi yang terlalu teknis</t>
  </si>
  <si>
    <t>Edukasi ke Masyarakat</t>
  </si>
  <si>
    <t>Dukungan tokoh agama</t>
  </si>
  <si>
    <t>RiskaFaradila@gmail.com</t>
  </si>
  <si>
    <t>Fitrah Maulana</t>
  </si>
  <si>
    <t>Belum meratanya keberadaan LPH (Lembaga Pemeriksa Halal) di seluruh provinsi/kabupaten.</t>
  </si>
  <si>
    <t>Sistem yang efisien mengurangi beban administratif dan membangun kepercayaan pelaku usaha.</t>
  </si>
  <si>
    <t>Tidak ada sistem evaluasi lapangan secara rutin untuk melihat seberapa jauh implementasi berjalan.</t>
  </si>
  <si>
    <t>fitrah@medanfresh.id</t>
  </si>
  <si>
    <t>Jus Buah Segar</t>
  </si>
  <si>
    <t>Fandy</t>
  </si>
  <si>
    <t>Seketaris desa</t>
  </si>
  <si>
    <t>Minim koordinasi antar lemgaga</t>
  </si>
  <si>
    <t>Koordinasi antar lembaga</t>
  </si>
  <si>
    <t>Peran pemuda</t>
  </si>
  <si>
    <t>Fandy56@gmail.com</t>
  </si>
  <si>
    <t>Desy Lestari</t>
  </si>
  <si>
    <t>Aceh Selatan</t>
  </si>
  <si>
    <t>Belum adanya sistem integrasi data nasional untuk JPH yang efisien dan transparan.</t>
  </si>
  <si>
    <t>Tanpa sumber daya yang memadai, komunikasi dan niat baik dari pelaku usaha pun tidak cukup untuk menggerakkan implementasi JPH secara merata.</t>
  </si>
  <si>
    <t>Kurangnya ketegasan dalam penerapan sanksi membuat pelaku usaha merasa tidak ada urgensi mengikuti aturan JPH.</t>
  </si>
  <si>
    <t>desy@manisanceria.com</t>
  </si>
  <si>
    <t>Manisan Pala</t>
  </si>
  <si>
    <t>Irwansyah</t>
  </si>
  <si>
    <t>Informasi sering terlambat sampai</t>
  </si>
  <si>
    <t>Dukungan pemerintah daerah</t>
  </si>
  <si>
    <t>Partisipasi Ormas</t>
  </si>
  <si>
    <t>Irwansyahbinusman@gmail.com</t>
  </si>
  <si>
    <t>Aldi Syaputra</t>
  </si>
  <si>
    <t>Kepahiang</t>
  </si>
  <si>
    <t>Usaha besar cenderung lebih cepat mendapatkan sertifikat karena memiliki akses sumber daya dan birokrasi yang lebih baik.</t>
  </si>
  <si>
    <t>aldi@arabikabkl.id</t>
  </si>
  <si>
    <t>Kopi Arabika Bengkulu</t>
  </si>
  <si>
    <t>DindaMutiara</t>
  </si>
  <si>
    <t>Aceh Jaya</t>
  </si>
  <si>
    <t>SDM yang menangani terbatas</t>
  </si>
  <si>
    <t>Penyediaan SDM terlatih</t>
  </si>
  <si>
    <t>Peran Lembaga pendidikan</t>
  </si>
  <si>
    <t>DindaMutiara@gmail.com</t>
  </si>
  <si>
    <t>Suci Amalia</t>
  </si>
  <si>
    <t>Padang Panjang</t>
  </si>
  <si>
    <t>Sosialisasi tentang kewajiban sertifikasi halal belum menyeluruh, terutama di kalangan UMKM pedesaan</t>
  </si>
  <si>
    <t>Komunikasi adalah yang paling penting, karena tanpa pemahaman yang benar, pelaku usaha tidak akan mau atau mampu menjalankan proses sertifikasi halal</t>
  </si>
  <si>
    <t>Peran media massa dan media sosial sangat besar dalam membentuk persepsi masyarakat tentang pentingnya produk halal</t>
  </si>
  <si>
    <t>suci@coklatminang.id</t>
  </si>
  <si>
    <t>Coklat Lokal</t>
  </si>
  <si>
    <t>Intan rizkina</t>
  </si>
  <si>
    <t>Aceh Singkil</t>
  </si>
  <si>
    <t>Kurangnya tenaga ahli di lapangan</t>
  </si>
  <si>
    <t>transparansi birokrasi</t>
  </si>
  <si>
    <t>partiispasi ormas</t>
  </si>
  <si>
    <t>Intan7rizkina@gmail.com</t>
  </si>
  <si>
    <t>Yusril Effendi</t>
  </si>
  <si>
    <t>Informasi dari instansi pemerintah sering berubah-ubah dan tidak seragam antar daerah</t>
  </si>
  <si>
    <t>Sumber daya manusia, terutama auditor dan pendamping halal, adalah kunci. Kalau SDM tidak cukup, prosesnya pasti lambat</t>
  </si>
  <si>
    <t>Stabilitas politik dan keberlanjutan kebijakan sangat penting. Kalau ganti pejabat, program berubah, itu bisa mematikan konsistensi implementasi</t>
  </si>
  <si>
    <t>yusril@tahurenyah.com</t>
  </si>
  <si>
    <t>Tahu Crispy</t>
  </si>
  <si>
    <t>Meutia Halim</t>
  </si>
  <si>
    <t>Bahasa yang digunakan dalam panduan JPH terlalu teknis dan tidak ramah bagi pelaku usaha kecil</t>
  </si>
  <si>
    <t>Disposisi pelaku usaha sangat krusial. Kalau mereka tidak punya kesadaran dan kemauan, semua sistem yang ada akan sia-sia.</t>
  </si>
  <si>
    <t>Faktor budaya lokal sangat berpengaruh. Di beberapa daerah, masyarakat masih berpegang pada tradisi lama yang tidak memperhatikan standar halal</t>
  </si>
  <si>
    <t>meutia@kueaneuk.id</t>
  </si>
  <si>
    <t>Kue Tradisional Aceh</t>
  </si>
  <si>
    <t>Fikri Ramdhan</t>
  </si>
  <si>
    <t>Direktur Operasional</t>
  </si>
  <si>
    <t>Disposisi pelaku usaha sangat krusial. Kalau mereka tidak punya kesadaran dan kemauan, semua sistem yang ada akan sia-sia</t>
  </si>
  <si>
    <t>fikri@besurekraya.co.id</t>
  </si>
  <si>
    <t>Batik Besurek</t>
  </si>
  <si>
    <t>Aseppudin</t>
  </si>
  <si>
    <t>Proses administrasi terlalu rumit</t>
  </si>
  <si>
    <t>Kesadarn pelaku usaha</t>
  </si>
  <si>
    <t>Peran Majelis taklim</t>
  </si>
  <si>
    <t>Aseppudin81@gmail.com</t>
  </si>
  <si>
    <t>Nanda Arifah</t>
  </si>
  <si>
    <t>Tingkat permintaan produk halal dari masyarakat mendorong UMKM untuk patuh.</t>
  </si>
  <si>
    <t>Tanpa pemahaman dasar tentang pentingnya halal, pelaku usaha tidak akan termotivasi untuk memulai proses sertifikasi.</t>
  </si>
  <si>
    <t>UMKM yang tidak melek digital kesulitan mengakses platform sertifikasi halal online.</t>
  </si>
  <si>
    <t>nanda.snack@gmail.com</t>
  </si>
  <si>
    <t>Nanda Snack</t>
  </si>
  <si>
    <t>Nilai dan etika perusahaan terhadap kehalalan produk.</t>
  </si>
  <si>
    <t>Sebesar apa pun dukungan eksternal, jika pemilik usaha tidak berkomitmen, proses JPH tidak akan berjalan.</t>
  </si>
  <si>
    <t>Semakin kompleks rantai pasok, semakin sulit memastikan semua bahan memenuhi standar halal.</t>
  </si>
  <si>
    <t>riko.gayo@gmail.com</t>
  </si>
  <si>
    <t>Gayo Brew House</t>
  </si>
  <si>
    <t>Dewi Ramadhani</t>
  </si>
  <si>
    <t>Seberapa serius pemilik usaha mendorong sertifikasi halal.</t>
  </si>
  <si>
    <t>Jika bahan baku halal sulit diperoleh, maka pelaku usaha kesulitan memenuhi syarat JPH.</t>
  </si>
  <si>
    <t>Perubahan aturan yang terlalu sering membuat pelaku usaha bingung dan enggan mengikuti.</t>
  </si>
  <si>
    <t>dewi.rama@outlook.com</t>
  </si>
  <si>
    <t>DeRama Fashion</t>
  </si>
  <si>
    <t>Fadli Hasan</t>
  </si>
  <si>
    <t>Ketersediaan dan keterjangkauan bahan baku bersertifikat halal.</t>
  </si>
  <si>
    <t>UMKM sering menganggap biaya sebagai penghalang utama dalam mengurus sertifikat halal.</t>
  </si>
  <si>
    <t>Tidak semua daerah memiliki tenaga ahli pendamping halal yang bisa diakses UMKM.</t>
  </si>
  <si>
    <t>fadli.herbal@gmail.com</t>
  </si>
  <si>
    <t>Sabun Herbal</t>
  </si>
  <si>
    <t>Yusrina Halim</t>
  </si>
  <si>
    <t>Aceh Tamiang</t>
  </si>
  <si>
    <t>Lingkungan masyarakat yang religius dapat mempercepat adopsi JPH.</t>
  </si>
  <si>
    <t>Banyak UMKM belum memahami prosedur JPH secara menyeluruh, padahal ini kunci keberhasilan awal.</t>
  </si>
  <si>
    <t>Kesalahpahaman ini bisa membuat UMKM merasa tidak perlu melakukan sertifikasi.</t>
  </si>
  <si>
    <t>yusrina.madu@yahoo.com</t>
  </si>
  <si>
    <t>Madu Hutan</t>
  </si>
  <si>
    <t>Muhammad Arfan</t>
  </si>
  <si>
    <t>Langsa</t>
  </si>
  <si>
    <t>Ketidakpercayaan atau ketidaktahuan terhadap manfaat JPH.</t>
  </si>
  <si>
    <t>Implementasi akan berjalan optimal jika ada kejelasan regulasi dan penegakan yang adil.</t>
  </si>
  <si>
    <t>Generasi muda yang peduli halal bisa jadi pendorong atau justru penghambat, tergantung kesadarannya.</t>
  </si>
  <si>
    <t>arfan.ikan@gmail.com</t>
  </si>
  <si>
    <t>Lenny Oktaviani</t>
  </si>
  <si>
    <t>Adanya inisiatif atau program pembinaan dari pemda.</t>
  </si>
  <si>
    <t>Daerah dengan support kuat dari pemda (dana, pelatihan, fasilitasi) cenderung lebih cepat implementasinya.</t>
  </si>
  <si>
    <t>Sekolah atau kampus yang mengedukasi halal sejak dini akan memperkuat budaya JPH.</t>
  </si>
  <si>
    <t>lenny.okta@gmail.com</t>
  </si>
  <si>
    <t>Rendang Daging</t>
  </si>
  <si>
    <t>Bayu Fikri</t>
  </si>
  <si>
    <t>Kemitraan antar UMKM untuk berbagi sumber daya atau informasi.</t>
  </si>
  <si>
    <t>Proses yang cepat, profesional, dan transparan dari LPH akan mendorong kepercayaan pelaku usaha.</t>
  </si>
  <si>
    <t>Viral atau tidaknya isu halal bisa mendorong percepatan atau ketakutan berlebih di kalangan UMKM.</t>
  </si>
  <si>
    <t>bayu.bukit@kopi.id</t>
  </si>
  <si>
    <t>Bukit Kopi</t>
  </si>
  <si>
    <t>Suci Aulia</t>
  </si>
  <si>
    <t>Peran tokoh agama dalam mengedukasi pentingnya kehalalan.</t>
  </si>
  <si>
    <t>Jika konsumen secara aktif menuntut produk halal, maka UMKM akan terdorong untuk memenuhi standar.</t>
  </si>
  <si>
    <t>UMKM akan lebih percaya jika melihat langsung hasil nyata dari usaha sejenis yang berhasil.</t>
  </si>
  <si>
    <t>suciaulia.kue@gmail.com</t>
  </si>
  <si>
    <t>Kue Tradisional</t>
  </si>
  <si>
    <t>Kemudahan pelaku usaha mendapatkan informasi teknis JPH.</t>
  </si>
  <si>
    <t>Karyawan dan staf operasional harus paham alur dan standar halal untuk menjaga konsistensi.</t>
  </si>
  <si>
    <t>Produk yang hanya dijual lokal mungkin tidak merasa butuh halal, beda dengan yang masuk minimarket besar.</t>
  </si>
  <si>
    <t>rizky.batikminang@gmail.com</t>
  </si>
  <si>
    <t>Batik Khas Minang</t>
  </si>
  <si>
    <t>Wulan Fitriani</t>
  </si>
  <si>
    <t>Proses yang transparan, cepat, dan akurat sangat mempengaruhi kepercayaan pelaku usaha.</t>
  </si>
  <si>
    <t>Ketika pelaku usaha sadar bahwa JPH membuka pasar lebih luas, mereka jadi lebih terdorong.</t>
  </si>
  <si>
    <t>Frekuensi Audit Internal dalam Proses Produksi</t>
  </si>
  <si>
    <t>wulanfitriani.food@yahoo.com</t>
  </si>
  <si>
    <t>Dendeng Balado</t>
  </si>
  <si>
    <t>Eko Siregar</t>
  </si>
  <si>
    <t>Ketepatan dan Kecepatan Proses Sertifikasi</t>
  </si>
  <si>
    <t>Ketersediaan Teknologi dan Sistem Digital Halal</t>
  </si>
  <si>
    <t>Dukungan Keluarga atau Lingkungan Terdekat</t>
  </si>
  <si>
    <t>eko.markisa@gmail.com</t>
  </si>
  <si>
    <t>Rina Samosir</t>
  </si>
  <si>
    <t>Kejelasan Alur dan Prosedur Pengajuan JPH</t>
  </si>
  <si>
    <t>Bimbingan Teknis atau Pendampingan Langsung</t>
  </si>
  <si>
    <t>Kepemilikan Sertifikasi Lain (ISO, HACCP, dll.)</t>
  </si>
  <si>
    <t>rina.samosir@ulos.id</t>
  </si>
  <si>
    <t>Ulos Tenun</t>
  </si>
  <si>
    <t>Andi Purba</t>
  </si>
  <si>
    <t>Ketersediaan Pelatihan dan Bimtek tentang Halal</t>
  </si>
  <si>
    <t>Dukungan dari Asosiasi UMKM atau Komunitas Bisnis</t>
  </si>
  <si>
    <t>Pola Konsumsi Masyarakat Sekitar</t>
  </si>
  <si>
    <t>andi.nilam@gmail.com</t>
  </si>
  <si>
    <t>Melati Br Sembiring</t>
  </si>
  <si>
    <t>Kemampuan UMKM dalam Dokumentasi dan Pelaporan</t>
  </si>
  <si>
    <t>Sertifikasi Sebagai Syarat Ekspor</t>
  </si>
  <si>
    <t>Penerapan Prinsip Keberlanjutan (Sustainability)</t>
  </si>
  <si>
    <t>melati.cemilan@yahoo.com</t>
  </si>
  <si>
    <t>Cemilan Melati</t>
  </si>
  <si>
    <t>Faisal Pane</t>
  </si>
  <si>
    <t>Peran Media Sosial dalam Edukasi Halal</t>
  </si>
  <si>
    <t>Kejelasan SOP dan Alur Administrasi Pengajuan JPH</t>
  </si>
  <si>
    <t>Jumlah Tenaga Kerja dan Turnover Karyawan</t>
  </si>
  <si>
    <t>faisal.bumbu@gmail.com</t>
  </si>
  <si>
    <t>Dapur Pane</t>
  </si>
  <si>
    <t>Rahma Putri</t>
  </si>
  <si>
    <t>Kota Bengkulu</t>
  </si>
  <si>
    <t>Motivasi Ekonomi untuk Ekspor Produk Halal</t>
  </si>
  <si>
    <t>Peran Tokoh Agama atau Influencer Halal</t>
  </si>
  <si>
    <t>Persepsi bahwa Proses Halal Itu Rumit dan Birokratis</t>
  </si>
  <si>
    <t>rahma.rajut@gmail.com</t>
  </si>
  <si>
    <t>Tas Rajut</t>
  </si>
  <si>
    <t>Dedi Gunawan</t>
  </si>
  <si>
    <t>Bengkulu Selatan</t>
  </si>
  <si>
    <t>Tekanan dari Mitra Bisnis (Retail/Distributor)</t>
  </si>
  <si>
    <t>Infrastruktur Pendukung Seperti Laboratorium Uji Halal</t>
  </si>
  <si>
    <t>Peran e-Commerce dalam Menuntut Legalitas Produk</t>
  </si>
  <si>
    <t>dedi.salai@gmail.com</t>
  </si>
  <si>
    <t>Ikan Salai</t>
  </si>
  <si>
    <t>Indah Sari</t>
  </si>
  <si>
    <t>Rejang Lebong</t>
  </si>
  <si>
    <t>Persepsi terhadap Biaya JPH</t>
  </si>
  <si>
    <t>Insentif atau Subsidi Sertifikasi dari Negara</t>
  </si>
  <si>
    <t>Kepemimpinan di Komunitas UMKM</t>
  </si>
  <si>
    <t>indahsari.herbal@outlook.com</t>
  </si>
  <si>
    <t>Heri Yulian</t>
  </si>
  <si>
    <t>Insentif atau Subsidi Sertifikasi Halal</t>
  </si>
  <si>
    <t>Kepastian dan Konsistensi Proses Sertifikasi</t>
  </si>
  <si>
    <t>Kondisi Politik dan Stabilitas Regulasi di Daerah</t>
  </si>
  <si>
    <t>heri.robusta@gmail.com</t>
  </si>
  <si>
    <t>Kopi Robusta Bengkulu</t>
  </si>
  <si>
    <t>Farah Amalia</t>
  </si>
  <si>
    <t>Bantuan dari pemerintah atau lembaga lain akan mempercepat proses sertifikasi.</t>
  </si>
  <si>
    <t>Ketika pelaku usaha yakin bahwa sistem tidak berubah-ubah dan dapat diandalkan, mereka akan lebih percaya dan termotivasi.</t>
  </si>
  <si>
    <t>Daerah dengan politik yang tidak stabil bisa menghambat kelangsungan program halal daerah.</t>
  </si>
  <si>
    <t>amaliafarah97@gmail.com</t>
  </si>
  <si>
    <t>Zifastore</t>
  </si>
  <si>
    <t>Aditiya Pratama Daryana</t>
  </si>
  <si>
    <t xml:space="preserve"> Kepala Pemuda</t>
  </si>
  <si>
    <t>Koordinasi antar instansi yang sering tidak sejalan menjadi tantangan dalam komunikasi</t>
  </si>
  <si>
    <t>Ya, faktor sumber daya manusia lebih penting karena tanpa tenaga yang kompeten aturan tidak bisa berjalan</t>
  </si>
  <si>
    <t>Faktor budaya masyarakat yang berbeda di tiap daerah juga sangat memengaruhi</t>
  </si>
  <si>
    <t>aditiya232@gmail.com</t>
  </si>
  <si>
    <t xml:space="preserve"> Banten</t>
  </si>
  <si>
    <t>Riyan Dwi Yulian Prakoso</t>
  </si>
  <si>
    <t>Anggota Karang Taruna</t>
  </si>
  <si>
    <t>Klaten</t>
  </si>
  <si>
    <t>Keterbatasan sumber daya manusia terlatih membuat proses berjalan lambat</t>
  </si>
  <si>
    <t>Menurut saya komunikasi paling penting karena tanpa komunikasi jelas banyak pihak salah paham</t>
  </si>
  <si>
    <t>Dukungan dari tokoh agama penting karena mereka punya pengaruh besar</t>
  </si>
  <si>
    <t>riyandwwii@gmail.com</t>
  </si>
  <si>
    <t>M. Dodik Prastiyo</t>
  </si>
  <si>
    <t>Ketua RT</t>
  </si>
  <si>
    <t>Sosialisasi kebijakan belum merata ke semua lapisan masyarakat</t>
  </si>
  <si>
    <t>Faktor dukungan anggaran lebih penting karena semua kegiatan butuh biaya</t>
  </si>
  <si>
    <t>Kesadaran konsumen terhadap produk halal juga berperan besar</t>
  </si>
  <si>
    <t>muhdodik20@gmail.com</t>
  </si>
  <si>
    <t>Aditya Eka Nurfitrah</t>
  </si>
  <si>
    <t>Kepala Dusun</t>
  </si>
  <si>
    <t>Perbedaan pemahaman antar pelaku usaha menyebabkan kebingungan</t>
  </si>
  <si>
    <t>Struktur birokrasi yang sederhana lebih penting agar implementasi berjalan cepat</t>
  </si>
  <si>
    <t>Faktor kepercayaan publik terhadap lembaga JPH sangat menentukan</t>
  </si>
  <si>
    <t>adityaekanurfitrah123@gmail.com</t>
  </si>
  <si>
    <t>Nur Rohmatul Aini</t>
  </si>
  <si>
    <t>Pembina PKK</t>
  </si>
  <si>
    <t>Keterbatasan anggaran untuk mendukung program menjadi hambatan utama</t>
  </si>
  <si>
    <t>Saya rasa disposisi pejabat lebih krusial karena komitmen pimpinan menentukan keberhasilan</t>
  </si>
  <si>
    <t>Adanya kolaborasi dengan perguruan tinggi bisa memperkuat implementasi</t>
  </si>
  <si>
    <t>rohmatulaininur@gmail.com</t>
  </si>
  <si>
    <t>Rahmawati</t>
  </si>
  <si>
    <t>Indramayu</t>
  </si>
  <si>
    <t>Disposisi pejabat yang berbeda pandangan membuat keputusan tidak konsisten</t>
  </si>
  <si>
    <t>Sumber daya teknis seperti laboratorium halal lebih penting karena hasil harus teruji</t>
  </si>
  <si>
    <t>Peran media dalam menyampaikan informasi juga tidak kalah penting</t>
  </si>
  <si>
    <t>rarahma2560@gmail.com</t>
  </si>
  <si>
    <t>Yanti Kumala Sembiring</t>
  </si>
  <si>
    <t>Bendahara Desa</t>
  </si>
  <si>
    <t>Struktur birokrasi yang panjang membuat proses izin terlalu lama</t>
  </si>
  <si>
    <t>Koordinasi antar lembaga lebih penting daripada sekadar aturan tertulis</t>
  </si>
  <si>
    <t>Kondisi ekonomi masyarakat ikut memengaruhi keberhasilan JPH</t>
  </si>
  <si>
    <t>sembiringyantikumala@gmail.com</t>
  </si>
  <si>
    <t>Muhammad Muflih Alfian</t>
  </si>
  <si>
    <t>Ogan Ilir</t>
  </si>
  <si>
    <t>Tidak semua daerah memiliki fasilitas pendukung yang memadai</t>
  </si>
  <si>
    <t>Faktor pelatihan SDM lebih menonjol karena masih banyak petugas belum paham JPH</t>
  </si>
  <si>
    <t>Faktor motivasi pelaku usaha untuk mengurus sertifikasi juga berpengaruh</t>
  </si>
  <si>
    <t>muflihstimlog@gmail.com</t>
  </si>
  <si>
    <t>Sumatera Selatan</t>
  </si>
  <si>
    <t>I Gde Adi Suryawan Wangiyana</t>
  </si>
  <si>
    <t>Minimnya pelatihan teknis bagi pelaksana lapangan memperlambat implementasi</t>
  </si>
  <si>
    <t>Sosialisasi lebih penting karena masyarakat tidak bisa patuh tanpa tahu aturan</t>
  </si>
  <si>
    <t>Peran asosiasi pengusaha penting untuk mendorong anggotanya patuh</t>
  </si>
  <si>
    <t>gdeadiswangiyana@gmail.com</t>
  </si>
  <si>
    <t>Maya Dewi Savitri</t>
  </si>
  <si>
    <t>Anggota BPD</t>
  </si>
  <si>
    <t>Adanya ego sektoral antar lembaga memperumit koordinasi</t>
  </si>
  <si>
    <t>Transparansi informasi lebih penting agar pelaku usaha percaya pada sistem</t>
  </si>
  <si>
    <t>Ketersediaan tenaga ahli halal di berbagai daerah juga jadi penentu</t>
  </si>
  <si>
    <t>geraimay2020@gmail.com</t>
  </si>
  <si>
    <t>Adrian Fathurohman</t>
  </si>
  <si>
    <t>Kuningan</t>
  </si>
  <si>
    <t>Akses informasi belum transparan sehingga pelaku usaha sulit mengikuti aturan</t>
  </si>
  <si>
    <t>Menurut saya birokrasi yang singkat lebih penting karena banyak UMKM terkendala administrasi</t>
  </si>
  <si>
    <t>Dukungan keluarga pada pelaku usaha kecil juga bisa jadi faktor</t>
  </si>
  <si>
    <t>adrianfathu@gmail.com</t>
  </si>
  <si>
    <t>Ima Luciany Milansari</t>
  </si>
  <si>
    <t>Tokoh Adat</t>
  </si>
  <si>
    <t>Kupang</t>
  </si>
  <si>
    <t>Keterbatasan teknologi informasi di daerah menyebabkan implementasi tidak merata</t>
  </si>
  <si>
    <t>Faktor konsistensi pejabat lebih krusial karena aturan berubah-ubah membuat bingung</t>
  </si>
  <si>
    <t>Faktor keberlanjutan program dari pemerintah sangat penting</t>
  </si>
  <si>
    <t>lucianyima23@gmail.com</t>
  </si>
  <si>
    <t>NTT</t>
  </si>
  <si>
    <t>Muhammad Hanif Ibrahim</t>
  </si>
  <si>
    <t>Prosedur birokrasi yang rumit membuat pelaku usaha merasa terbebani</t>
  </si>
  <si>
    <t>Dukungan teknologi informasi lebih penting karena mempermudah akses data</t>
  </si>
  <si>
    <t>Adanya penghargaan atau insentif bagi pelaku usaha bisa jadi pendorong</t>
  </si>
  <si>
    <t>muhammadhanifibrahim47@gmail.com</t>
  </si>
  <si>
    <t>Nidaan Khofiya</t>
  </si>
  <si>
    <t>Tingkat kesadaran masyarakat terhadap pentingnya JPH masih rendah</t>
  </si>
  <si>
    <t>Monitoring lebih penting agar pelaksanaan di lapangan bisa dikontrol</t>
  </si>
  <si>
    <t>Peran organisasi kemasyarakatan sangat berpengaruh pada penerimaan publik</t>
  </si>
  <si>
    <t>nkhofiya27@gmail.com</t>
  </si>
  <si>
    <t>Gustia Arminda Siregar</t>
  </si>
  <si>
    <t>Bendahara PKK</t>
  </si>
  <si>
    <t>Brebes</t>
  </si>
  <si>
    <t>Tidak semua pejabat memiliki komitmen yang sama dalam menjalankan aturan</t>
  </si>
  <si>
    <t>Faktor kebijakan pusat lebih dominan karena arahan dari atas jadi acuan</t>
  </si>
  <si>
    <t>Tingkat literasi masyarakat soal halal menjadi faktor besar</t>
  </si>
  <si>
    <t>gustiaarminda@gmail.com</t>
  </si>
  <si>
    <t>Aji Mustaq Firoh</t>
  </si>
  <si>
    <t>Beban administrasi terlalu besar dibandingkan kapasitas yang tersedia</t>
  </si>
  <si>
    <t>Saya anggap pendanaan lebih penting karena tanpa dana pelaksanaan terhenti</t>
  </si>
  <si>
    <t>Adanya transparansi harga sertifikasi juga sangat memengaruhi</t>
  </si>
  <si>
    <t>ajimustaqfiroh24@gmail.com</t>
  </si>
  <si>
    <t>Zahrotun Salimah</t>
  </si>
  <si>
    <t>Sekretaris PKK</t>
  </si>
  <si>
    <t>Bontang</t>
  </si>
  <si>
    <t>Kurangnya komunikasi vertikal antara pusat dan daerah memicu ketidakselarasan</t>
  </si>
  <si>
    <t>Dukungan politik lebih penting karena tanpa itu program sulit berjalan</t>
  </si>
  <si>
    <t>Faktor kestabilan politik nasional juga bisa berdampak</t>
  </si>
  <si>
    <t>zahrotunsalimah99@gmail.com</t>
  </si>
  <si>
    <t>Kalimantan Timur</t>
  </si>
  <si>
    <t>Indira Inastiti Noor</t>
  </si>
  <si>
    <t>Pekalongan</t>
  </si>
  <si>
    <t>Proses monitoring dan evaluasi belum berjalan optimal</t>
  </si>
  <si>
    <t>Faktor keterbukaan komunikasi lebih utama karena bisa mencegah salah persepsi</t>
  </si>
  <si>
    <t>Kecepatan layanan sertifikasi halal bisa meningkatkan kepercayaan</t>
  </si>
  <si>
    <t>indirainastiti@gmail.com</t>
  </si>
  <si>
    <t>Fanderio Banunaek</t>
  </si>
  <si>
    <t>Kepala Pemuda</t>
  </si>
  <si>
    <t>Temanggung</t>
  </si>
  <si>
    <t>Kurangnya tenaga auditor halal di daerah menjadi kendala</t>
  </si>
  <si>
    <t>Saya pikir kapasitas auditor halal lebih penting karena mereka ujung tombak lapangan</t>
  </si>
  <si>
    <t>Faktor keadilan sosial berpengaruh agar semua usaha diperlakukan sama</t>
  </si>
  <si>
    <t>fandembanunaek@gmail.com</t>
  </si>
  <si>
    <t>Febry Rahmadhani Hasibuan</t>
  </si>
  <si>
    <t>Ketua PKK Dusun</t>
  </si>
  <si>
    <t>Adanya tumpang tindih aturan antar lembaga menimbulkan kebingungan</t>
  </si>
  <si>
    <t>Faktor koordinasi lintas sektor lebih penting karena JPH melibatkan banyak pihak</t>
  </si>
  <si>
    <t>Adanya contoh sukses dari UMKM bisa jadi motivasi</t>
  </si>
  <si>
    <t>febrirahmadanihasibuan02@gmail.com</t>
  </si>
  <si>
    <t xml:space="preserve"> Jawa Timur</t>
  </si>
  <si>
    <t>Ari Widhiarso</t>
  </si>
  <si>
    <t>Ketua DKM</t>
  </si>
  <si>
    <t>Koordinasi lintas sektor tidak efektif karena perbedaan prioritas</t>
  </si>
  <si>
    <t>Partisipasi masyarakat lebih penting karena mereka yang menjadi pengguna akhir</t>
  </si>
  <si>
    <t>Faktor kearifan lokal di setiap wilayah juga perlu diperhatikan</t>
  </si>
  <si>
    <t>arywidhi81@gmail.com</t>
  </si>
  <si>
    <t>Chairilisa Azzahra</t>
  </si>
  <si>
    <t>Sekretaris Desa</t>
  </si>
  <si>
    <t>Keterbatasan dana membuat program tidak bisa menjangkau seluruh wilayah</t>
  </si>
  <si>
    <t>Menurut saya sosialisasi ke UMKM lebih penting karena mereka paling terdampak</t>
  </si>
  <si>
    <t>Adanya dukungan dari pemerintah daerah menjadi faktor penting</t>
  </si>
  <si>
    <t>chairilisa.azzahra@gmail.com</t>
  </si>
  <si>
    <t>Febri Sari Siahaan</t>
  </si>
  <si>
    <t>Purworejo</t>
  </si>
  <si>
    <t>Pejabat pelaksana kadang kurang responsif terhadap kebutuhan masyarakat</t>
  </si>
  <si>
    <t>Infrastruktur pendukung lebih penting karena tanpa itu implementasi terbatas</t>
  </si>
  <si>
    <t>Tingkat keterjangkauan biaya sertifikasi sangat menentukan partisipasi</t>
  </si>
  <si>
    <t>febrisiahaan60@gmail.com</t>
  </si>
  <si>
    <t>Wahyu Adi Nugroho</t>
  </si>
  <si>
    <t>Kudus</t>
  </si>
  <si>
    <t>Informasi kebijakan sering berubah tanpa sosialisasi yang jelas</t>
  </si>
  <si>
    <t>Konsistensi aturan lebih penting agar tidak terjadi kebingungan di lapangan</t>
  </si>
  <si>
    <t>Faktor kepercayaan antar lembaga yang terlibat juga berpengaruh</t>
  </si>
  <si>
    <t>wahyuadinugrohoasinan@gmail.com</t>
  </si>
  <si>
    <t>Johanis Risambessy</t>
  </si>
  <si>
    <t>Staf Kantor Desa</t>
  </si>
  <si>
    <t>Gowa</t>
  </si>
  <si>
    <t>Sistem birokrasi yang kaku membuat inovasi sulit diterapkan</t>
  </si>
  <si>
    <t>Faktor komitmen pemimpin daerah lebih penting karena berpengaruh pada bawahan</t>
  </si>
  <si>
    <t>Adanya dukungan dari lembaga keuangan untuk biaya sertifikasi bisa membantu</t>
  </si>
  <si>
    <t>risambessyjohanis@gmail.com</t>
  </si>
  <si>
    <t>Is Arianto Pratama</t>
  </si>
  <si>
    <t>Ketua RW</t>
  </si>
  <si>
    <t>Komunikasi antar stakeholder masih terfragmentasi</t>
  </si>
  <si>
    <t>Kesiapan daerah lebih penting karena tiap wilayah punya kondisi berbeda</t>
  </si>
  <si>
    <t>Faktor kesiapan dunia industri dalam menerima aturan halal juga memengaruhi</t>
  </si>
  <si>
    <t>isarianto8@gmail.com</t>
  </si>
  <si>
    <t>Hery Nugroho</t>
  </si>
  <si>
    <t>SDM di tingkat desa belum cukup paham mengenai aturan JPH</t>
  </si>
  <si>
    <t>Saya rasa dukungan regulasi lebih penting karena tanpa aturan jelas pelaksanaan kacau</t>
  </si>
  <si>
    <t>Kerja sama internasional di bidang halal bisa memperkuat implementasi</t>
  </si>
  <si>
    <t>nugrohohery561@gmail.com</t>
  </si>
  <si>
    <t>Wildan Mumtaz</t>
  </si>
  <si>
    <t>Kepala Desa</t>
  </si>
  <si>
    <t>Biaya implementasi relatif tinggi bagi pelaku UMKM</t>
  </si>
  <si>
    <t>Disposisi aparatur lebih penting karena pelayanan sangat dipengaruhi sikap mereka</t>
  </si>
  <si>
    <t>Adanya transparansi data halal yang mudah diakses masyarakat penting</t>
  </si>
  <si>
    <t>wildanmtz.arsip@gmail.com</t>
  </si>
  <si>
    <t>Ines Riantika</t>
  </si>
  <si>
    <t>Ketua PKK</t>
  </si>
  <si>
    <t>Disposisi pelaksana yang tidak konsisten menurunkan kepercayaan masyarakat</t>
  </si>
  <si>
    <t>Sumber daya dana lebih penting karena butuh fasilitas untuk sertifikasi</t>
  </si>
  <si>
    <t>Faktor kedisiplinan masyarakat dalam mematuhi aturan juga memengaruhi</t>
  </si>
  <si>
    <t>inesriantika12@gmail.com</t>
  </si>
  <si>
    <t>Pangeran Putra Perkasa Alam Nasution</t>
  </si>
  <si>
    <t>Proses sertifikasi sering tertunda karena birokrasi panjang</t>
  </si>
  <si>
    <t>Faktor komunikasi langsung dengan masyarakat lebih utama agar mereka teredukasi</t>
  </si>
  <si>
    <t>Adanya advokasi hukum bagi pelaku usaha kecil juga bisa membantu</t>
  </si>
  <si>
    <t>pangeran9688@gmail.com</t>
  </si>
  <si>
    <t>Hilman Singgih Wicaksana</t>
  </si>
  <si>
    <t>Pengurus Karang Taruna</t>
  </si>
  <si>
    <t>Boyolali</t>
  </si>
  <si>
    <t>Fasilitas laboratorium halal masih terbatas jumlahnya</t>
  </si>
  <si>
    <t>Keterampilan teknis petugas lebih penting daripada sekadar jumlah tenaga</t>
  </si>
  <si>
    <t>Faktor peran pendidikan formal untuk mengajarkan halal sejak dini penting</t>
  </si>
  <si>
    <t>singgih.hilman@gmail.com</t>
  </si>
  <si>
    <t>Baquandi Lutvi Yoseanto</t>
  </si>
  <si>
    <t>Palembang</t>
  </si>
  <si>
    <t>Tidak semua pejabat memiliki keahlian khusus terkait JPH</t>
  </si>
  <si>
    <t>Kepastian hukum lebih penting agar pelaku usaha tidak ragu</t>
  </si>
  <si>
    <t>Dukungan logistik dalam distribusi produk halal juga berpengaruh</t>
  </si>
  <si>
    <t>baquandilutviyoseanto@gmail.com</t>
  </si>
  <si>
    <t>Muhammad Iqbal Rezky</t>
  </si>
  <si>
    <t>Sosialisasi hanya fokus di kota besar sehingga desa tertinggal</t>
  </si>
  <si>
    <t>Dukungan pusat lebih penting karena daerah menunggu instruksi</t>
  </si>
  <si>
    <t>Faktor motivasi aparat birokrasi untuk bekerja sungguh-sungguh juga penting</t>
  </si>
  <si>
    <t>muhiqbalrezky@gmail.com</t>
  </si>
  <si>
    <t>Angelia leovita</t>
  </si>
  <si>
    <t>Adanya perbedaan interpretasi aturan antar daerah membuat pelaksanaan tidak seragam</t>
  </si>
  <si>
    <t>Faktor monitoring lapangan lebih penting agar kebijakan tidak hanya di atas kertas</t>
  </si>
  <si>
    <t>Adanya pengawasan dari lembaga independen bisa memperkuat kepercayaan</t>
  </si>
  <si>
    <t>leovitaangelia@gmail.com</t>
  </si>
  <si>
    <t>Rahmi Ramadhani</t>
  </si>
  <si>
    <t>Ketua PKK RW</t>
  </si>
  <si>
    <t>Minimnya dukungan politik di beberapa wilayah memperlambat kebijakan</t>
  </si>
  <si>
    <t>Kemudahan prosedur lebih penting agar pelaku usaha mau mengurus sertifikasi</t>
  </si>
  <si>
    <t>Faktor kompetisi sehat antar pelaku usaha juga bisa mendorong kepatuhan</t>
  </si>
  <si>
    <t>rahmiramadhani3@gmail.com</t>
  </si>
  <si>
    <t>Ratna Junyekawati Sholikah</t>
  </si>
  <si>
    <t>Ketua Forum PKK</t>
  </si>
  <si>
    <t>Sistem komunikasi internal antar instansi masih lemah</t>
  </si>
  <si>
    <t>Menurut saya koordinasi antar kementerian lebih penting karena saling terkait</t>
  </si>
  <si>
    <t>Peran komunitas digital atau media sosial sangat besar untuk sosialisasi</t>
  </si>
  <si>
    <t>ratnajuny@gmail.com</t>
  </si>
  <si>
    <t>Arum Khairunisa</t>
  </si>
  <si>
    <t>Staf Desa</t>
  </si>
  <si>
    <t>Banyumas</t>
  </si>
  <si>
    <t>Sumber daya keuangan untuk UMKM terbatas sehingga sulit memenuhi persyaratan</t>
  </si>
  <si>
    <t>Kesadaran masyarakat lebih penting karena implementasi tanpa dukungan publik sulit berhasil</t>
  </si>
  <si>
    <t>Adanya standar internasional halal yang seragam juga membantu</t>
  </si>
  <si>
    <t>arumkhoirunisa21@gmail.com</t>
  </si>
  <si>
    <t>Eldo Delamontano</t>
  </si>
  <si>
    <t>Beberapa pejabat cenderung lamban dalam merespon permintaan sertifikasi</t>
  </si>
  <si>
    <t>Faktor pelatihan berkelanjutan lebih penting agar kemampuan petugas terus meningkat</t>
  </si>
  <si>
    <t>Faktor keterlibatan perempuan dalam UMKM halal juga memengaruhi</t>
  </si>
  <si>
    <t>eldo.delamontano@gmail.com</t>
  </si>
  <si>
    <t>Diksi Metris</t>
  </si>
  <si>
    <t>Struktur birokrasi tidak fleksibel sehingga pelaksanaan kurang efisien</t>
  </si>
  <si>
    <t>Komitmen bersama antar stakeholder lebih penting daripada jalan sendiri</t>
  </si>
  <si>
    <t>Peran generasi muda dalam mendukung produk halal penting diperhatikan</t>
  </si>
  <si>
    <t>diksi.metris@gmail.com</t>
  </si>
  <si>
    <t>Rahmat Nur Rahman</t>
  </si>
  <si>
    <t>Kurangnya tenaga ahli membuat proses verifikasi sering tertunda</t>
  </si>
  <si>
    <t>Akses informasi digital lebih penting agar semua bisa cepat terhubung</t>
  </si>
  <si>
    <t>Faktor kecepatan inovasi teknologi juga memengaruhi keberhasilan JPH</t>
  </si>
  <si>
    <t>nurrahmanmeteo@gmail.com</t>
  </si>
  <si>
    <t>Triyana Harlia Putri</t>
  </si>
  <si>
    <t>Ketidakjelasan alur komunikasi membuat informasi tidak sampai ke pelaku usaha</t>
  </si>
  <si>
    <t>Sumber daya manusia berkualitas lebih penting daripada jumlah yang banyak</t>
  </si>
  <si>
    <t>Adanya kerja sama dengan lembaga sertifikasi luar negeri bisa membantu</t>
  </si>
  <si>
    <t>putriedison@gmail.com</t>
  </si>
  <si>
    <t>Dinar Rachmadika Baharintasari</t>
  </si>
  <si>
    <t>Lombok Timur</t>
  </si>
  <si>
    <t>Sosialisasi ke masyarakat masih sporadis dan tidak terjadwal rutin</t>
  </si>
  <si>
    <t>Dukungan UMKM lebih penting karena mereka mayoritas pelaku usaha</t>
  </si>
  <si>
    <t>Faktor kejelasan alur informasi publik penting untuk mencegah kebingungan</t>
  </si>
  <si>
    <t>dinar.drb@gmail.com</t>
  </si>
  <si>
    <t>NTB</t>
  </si>
  <si>
    <t>Christian Gerald Daniel</t>
  </si>
  <si>
    <t>Tingginya beban kerja aparatur membuat implementasi tidak optimal</t>
  </si>
  <si>
    <t>Faktor sosialisasi di daerah terpencil lebih penting karena sering terabaikan</t>
  </si>
  <si>
    <t>Dukungan dari sektor transportasi dalam distribusi produk halal juga relevan</t>
  </si>
  <si>
    <t>christian.geralddaniel@gmail.com</t>
  </si>
  <si>
    <t>Salma Nurul Fitriya</t>
  </si>
  <si>
    <t>Karanganyar</t>
  </si>
  <si>
    <t>Perubahan regulasi yang cepat membingungkan pelaksana lapangan</t>
  </si>
  <si>
    <t>Perubahan regulasi yang jelas lebih penting agar tidak menimbulkan kebingungan</t>
  </si>
  <si>
    <t>Faktor integritas aparat birokrasi sangat menentukan keberhasilan</t>
  </si>
  <si>
    <t>salmafitriya050101@gmail.com</t>
  </si>
  <si>
    <t>Eggy Arya Giofandi</t>
  </si>
  <si>
    <t>Makassar</t>
  </si>
  <si>
    <t>Koordinasi antar kementerian belum solid dalam menyusun kebijakan</t>
  </si>
  <si>
    <t>Komunikasi internal instansi lebih penting daripada komunikasi eksternal saja</t>
  </si>
  <si>
    <t>Adanya dukungan dari lembaga riset juga bisa memperkuat dasar kebijakan</t>
  </si>
  <si>
    <t>aryaeggy15@gmail.com</t>
  </si>
  <si>
    <t>Weri Mahendra</t>
  </si>
  <si>
    <t>Sragen</t>
  </si>
  <si>
    <t>Dukungan infrastruktur di daerah terpencil masih sangat minim</t>
  </si>
  <si>
    <t>Dukungan infrastruktur laboratorium halal lebih penting karena sertifikasi butuh bukti ilmiah</t>
  </si>
  <si>
    <t>Peran influencer dalam menyebarkan kesadaran halal juga bisa berpengaruh</t>
  </si>
  <si>
    <t>werimahendra13@gmail.com</t>
  </si>
  <si>
    <t>Nita Helmawati</t>
  </si>
  <si>
    <t>Palopo</t>
  </si>
  <si>
    <t>Keterbatasan akses data menghambat pengawasan</t>
  </si>
  <si>
    <t>Kepemimpinan yang visioner lebih penting karena mampu mengarahkan bawahan</t>
  </si>
  <si>
    <t>Faktor adanya peraturan turunan yang jelas juga sangat penting</t>
  </si>
  <si>
    <t>nitahelma.work@gmail.com</t>
  </si>
  <si>
    <t>Fadhila Fathin Zahra</t>
  </si>
  <si>
    <t>Soppeng</t>
  </si>
  <si>
    <t>Prosedur administrasi yang berlapis membuat masyarakat enggan mengurus sertifikasi</t>
  </si>
  <si>
    <t>Faktor transparansi birokrasi lebih penting karena mengurangi potensi penyalahgunaan</t>
  </si>
  <si>
    <t>Dukungan moral dari masyarakat luas bisa mempercepat penerimaan JPH</t>
  </si>
  <si>
    <t>fadhilafathin@gmail.com</t>
  </si>
  <si>
    <t>Amar Ma'ruf Irfan Muhamadi</t>
  </si>
  <si>
    <t>Banjarbaru</t>
  </si>
  <si>
    <t>Tidak semua pejabat memiliki disposisi positif terhadap perubahan</t>
  </si>
  <si>
    <t>Menurut saya pengawasan lebih penting karena tanpa pengawasan aturan tidak berjalan</t>
  </si>
  <si>
    <t>Faktor keamanan pangan yang terintegrasi dengan halal juga berpengaruh</t>
  </si>
  <si>
    <t>maruf.irfan89@gmail.com</t>
  </si>
  <si>
    <t>Kalimantan Selatan</t>
  </si>
  <si>
    <t>Rafida Kusuma Wardani</t>
  </si>
  <si>
    <t>Struktur organisasi pelaksana masih belum stabil di beberapa daerah</t>
  </si>
  <si>
    <t>Keadilan dalam penerapan aturan lebih penting agar semua pelaku usaha merasa diperlakukan sama</t>
  </si>
  <si>
    <t>Adanya konsistensi pemerintah dalam menegakkan aturan sangat menentukan</t>
  </si>
  <si>
    <t>rafidakusumawardani@gmail.com</t>
  </si>
  <si>
    <t>Fitrawan Lubis</t>
  </si>
  <si>
    <t>Pemilik &amp; Peracik Rasa</t>
  </si>
  <si>
    <t>Tingkat Literasi Halal Pelaku UMKM Banyak pelaku usaha belum memahami pentingnya sertifikasi halal, baik dari sisi regulasi maupun peluang pasar.</t>
  </si>
  <si>
    <t>Pendidikan dan Literasi Halal (UMKM Perspective)
Kenapa penting: Banyak pelaku UMKM belum tahu cara mengurus sertifikasi halal atau bahkan tidak tahu bahwa produknya wajib disertifikasi. Tanpa edukasi, regulasi tidak akan efektif.</t>
  </si>
  <si>
    <t>Budaya Lokal dan Kearifan Tradisional (Sosiokultural Perspective) Beberapa komunitas lokal masih menggunakan bahan atau metode tradisional yang tidak terdokumentasi secara ilmiah, sehingga sulit diverifikasi kehalalannya.</t>
  </si>
  <si>
    <t>fitrawan.sambalandaliman@gmail.com</t>
  </si>
  <si>
    <t>Sambal Andaliman Khas Tapanuli</t>
  </si>
  <si>
    <t>Nurhasanah Dewi</t>
  </si>
  <si>
    <t>Direktur Kreatif</t>
  </si>
  <si>
    <t>Peran tokoh agama sangat penting untuk memberikan legitimasi dan meningkatkan kesadaran masyarakat terkait pentingnya produk halal.</t>
  </si>
  <si>
    <t>Komitmen Pemerintah Daerah (Policy Perspective)</t>
  </si>
  <si>
    <t>Kesiapan Teknologi Produksi (Teknologi Usaha Kecil)</t>
  </si>
  <si>
    <t>nurhasanah.batikbkl@gmail.com</t>
  </si>
  <si>
    <t>Batik Digital Bengkulu</t>
  </si>
  <si>
    <t>Reno Alfarizi</t>
  </si>
  <si>
    <t>CEO &amp; Peneliti Herbal</t>
  </si>
  <si>
    <t>Kota Padang</t>
  </si>
  <si>
    <t>Beberapa UMKM kesulitan mendapatkan bahan baku yang sudah tersertifikasi halal, sehingga menghambat proses JPH.</t>
  </si>
  <si>
    <t>LP3H yang aktif dan mudah diakses dapat mempercepat proses sertifikasi dan mengurangi beban UMKM yang tidak memahami alur birokrasi.</t>
  </si>
  <si>
    <t>Jumlah tenaga auditor halal yang terbatas dan tidak merata di tiap daerah menyebabkan proses sertifikasi jadi lambat.</t>
  </si>
  <si>
    <t>reno.gambirherbal@gmail.com</t>
  </si>
  <si>
    <t>Sumatera Bara</t>
  </si>
  <si>
    <t>Minuman Herbal Daun Gambir</t>
  </si>
  <si>
    <t>Delviana Sari</t>
  </si>
  <si>
    <t>Koordinator Produksi</t>
  </si>
  <si>
    <t>Kabupaten Gayo Lues</t>
  </si>
  <si>
    <t>Kurangnya informasi praktis dan pendampingan langsung mengenai prosedur sertifikasi halal menjadi kendala bagi UMKM.</t>
  </si>
  <si>
    <t>Banyak UMKM tidak mengurus sertifikasi karena biayanya dianggap mahal. Insentif atau subsidi bisa menjadi pendorong besar.</t>
  </si>
  <si>
    <t>Sebagian pelaku usaha takut mengurus sertifikasi karena merasa prosedurnya rumit atau akan menambah beban administratif.</t>
  </si>
  <si>
    <t>delviana.ubiungu@gmail.com</t>
  </si>
  <si>
    <t>Keripik Daun Ubi Ungu</t>
  </si>
  <si>
    <t>Muhammad Zahran</t>
  </si>
  <si>
    <t>Kabupaten Rejang Lebong</t>
  </si>
  <si>
    <t>Selain biaya resmi, seringkali terdapat biaya tidak langsung seperti pengujian laboratorium, transportasi, dan pengurusan administrasi.</t>
  </si>
  <si>
    <t>Kejelasan dan Konsistensi Regulasi (Legal Perspective)</t>
  </si>
  <si>
    <t>Kurangnya Kolaborasi antar Sektor (Ekosistem Stakeholder)</t>
  </si>
  <si>
    <t>zahran.kopiferm@gmail.com</t>
  </si>
  <si>
    <t>Kopi Robusta Fermentasi Alam</t>
  </si>
  <si>
    <t>Yuliza Ramadhani</t>
  </si>
  <si>
    <t>Kabupaten Tanah Datar</t>
  </si>
  <si>
    <t>Banyak pelaku usaha belum melihat urgensi dari sertifikasi halal, terutama bila pasar mereka belum menuntutnya secara langsung.</t>
  </si>
  <si>
    <t>Tanpa laboratorium dan fasilitas pendukung di berbagai daerah, proses sertifikasi bisa memakan waktu lama dan menjadi tidak efisien.</t>
  </si>
  <si>
    <t>Informasi tentang pentingnya JPH seringkali hanya menjangkau komunitas tertentu, tidak menyeluruh atau menggunakan bahasa yang mudah dipahami.</t>
  </si>
  <si>
    <t>yuliza.rendanginstant@gmail.com</t>
  </si>
  <si>
    <t>Rendang Kering Siap Saji</t>
  </si>
  <si>
    <t>Kautsar Azami</t>
  </si>
  <si>
    <t>Kepala Operasional</t>
  </si>
  <si>
    <t>Jika pelaku usaha merasa ragu atau kurang percaya pada objektivitas dan integritas lembaga sertifikasi, mereka cenderung enggan mengurus JPH.</t>
  </si>
  <si>
    <t>Jika konsumen aktif menuntut produk bersertifikat halal, pelaku usaha akan lebih terdorong untuk memenuhinya.</t>
  </si>
  <si>
    <t>Banyak pelaku usaha non-pangan (kosmetik, obat, barang gunaan) belum menyadari bahwa mereka juga wajib memenuhi sertifikasi halal.</t>
  </si>
  <si>
    <t>kautsar.kueaceh@gmail.com</t>
  </si>
  <si>
    <t>Kue Tradisional Aceh (Timphan, Kue Bohromrom)</t>
  </si>
  <si>
    <t>Melani Br Sembiring</t>
  </si>
  <si>
    <t>Owner &amp; Desainer</t>
  </si>
  <si>
    <t>Regulasi yang sering berubah atau tidak sinkron antar lembaga dapat membuat pelaku usaha bingung dan kehilangan arah dalam proses sertifikasi.</t>
  </si>
  <si>
    <t>Proses manual yang lambat dan rumit membuat banyak pelaku usaha enggan mendaftar. Sistem digital yang cepat dan transparan bisa meningkatkan partisipasi.</t>
  </si>
  <si>
    <t>Produk impor yang masuk tanpa sertifikasi halal kadang merusak ekosistem lokal karena dianggap lebih murah atau lebih populer.</t>
  </si>
  <si>
    <t>melani.ulosdesign@gmail.com</t>
  </si>
  <si>
    <t>Aksesoris Etnik dari Kain Ulos</t>
  </si>
  <si>
    <t>Intan Ramadhani</t>
  </si>
  <si>
    <t>Kesadaran pelaku usaha terhadap pentingnya sertifikasi halal</t>
  </si>
  <si>
    <t>kesadaran pelaku usaha</t>
  </si>
  <si>
    <t>Budaya lokal dalam memaknai kehalalan produk</t>
  </si>
  <si>
    <t>intancookies.id@gmail.com</t>
  </si>
  <si>
    <t>Intan Cookies</t>
  </si>
  <si>
    <t>M. Fadli Yusuf</t>
  </si>
  <si>
    <t>Kota Medan</t>
  </si>
  <si>
    <t>Tingkat literasi halal masyarakat dan konsumen</t>
  </si>
  <si>
    <t>tidak</t>
  </si>
  <si>
    <t>Tingkat kepercayaan masyarakat terhadap lembaga halal</t>
  </si>
  <si>
    <t>m.fadli@pandelokcraft.co.id</t>
  </si>
  <si>
    <t>Pandan Elok</t>
  </si>
  <si>
    <t>Zulfikar Haris</t>
  </si>
  <si>
    <t>Kabupaten Aceh Tengah</t>
  </si>
  <si>
    <t>Dukungan dan komitmen pemerintah daerah</t>
  </si>
  <si>
    <t>Motivasi pelaku usaha untuk menembus pasar ekspor halal</t>
  </si>
  <si>
    <t>hariscoffeeaceh@gmail.com</t>
  </si>
  <si>
    <t>Haris Coffee Aceh</t>
  </si>
  <si>
    <t>Rani Permatasari</t>
  </si>
  <si>
    <t>Ketersediaan dan akses terhadap Lembaga Pemeriksa Halal (LPH)</t>
  </si>
  <si>
    <t>Biaya sertifikasi terjangkau Agar UMKM dapat ikut tanpa beban finansial berlebih.</t>
  </si>
  <si>
    <t>Dukungan komunitas bisnis lokal atau asosiasi pengusaha</t>
  </si>
  <si>
    <t>rani@batikrafflesia.com</t>
  </si>
  <si>
    <t>Batik Rafflesia</t>
  </si>
  <si>
    <t>Hendri Maulana</t>
  </si>
  <si>
    <t>kabupaten Solok</t>
  </si>
  <si>
    <t>Kualitas dan jumlah Sumber Daya Manusia (SDM) pendamping halal</t>
  </si>
  <si>
    <t>Ketersediaan SDM pendamping halal, Membantu pelaku usaha memahami dan memenuhi syarat halal.</t>
  </si>
  <si>
    <t>Peran aktif tokoh agama atau tokoh masyarakat setempat</t>
  </si>
  <si>
    <t>hendri@urangawak.co.id</t>
  </si>
  <si>
    <t>Rendang Urang Awak</t>
  </si>
  <si>
    <t>Yuliana Siregar</t>
  </si>
  <si>
    <t>Kemudahan akses informasi dan prosedur sertifikasi</t>
  </si>
  <si>
    <t>Sistem digitalisasi sertifikasi. Mempercepat proses administrasi dan transparansi.</t>
  </si>
  <si>
    <t>Pengalaman negatif pelaku usaha terhadap birokrasi sertifikasi</t>
  </si>
  <si>
    <t>yuliana@siregarleather.com</t>
  </si>
  <si>
    <t>Siregar Leather</t>
  </si>
  <si>
    <t>Dedi Kurniawan</t>
  </si>
  <si>
    <t>Kabupaten Aceh Selatan</t>
  </si>
  <si>
    <t>Biaya sertifikasi yang terjangkau bagi UMKM</t>
  </si>
  <si>
    <t>Kualitas pengawasan pasca-sertifikasi. Menjamin produk tetap sesuai standar halal.</t>
  </si>
  <si>
    <t>Minimnya laboratorium pengujian halal di daerah tertentu</t>
  </si>
  <si>
    <t>dedikurniawan@aromaaceh.id</t>
  </si>
  <si>
    <t>Aroma Aceh</t>
  </si>
  <si>
    <t>Kabupaten Kaur</t>
  </si>
  <si>
    <t>Partisipasi aktif organisasi keagamaan dan masyarakat sipil</t>
  </si>
  <si>
    <t>Dukungan asosiasi UMKM – Memfasilitasi advokasi dan edukasi massal.</t>
  </si>
  <si>
    <t>Kurangnya studi kasus atau contoh sukses UMKM bersertifikat halal</t>
  </si>
  <si>
    <t>sari.melati@yahoo.com</t>
  </si>
  <si>
    <t>Sari Laut Bengkulu</t>
  </si>
  <si>
    <t>Rizky Maulana</t>
  </si>
  <si>
    <t>Kota Padang Panjang</t>
  </si>
  <si>
    <t>Dukungan teknologi informasi dan sistem digitalisasi JPH</t>
  </si>
  <si>
    <t>Peran media dan edukasi masyarakat. Meningkatkan literasi halal secara luas.</t>
  </si>
  <si>
    <t>Keterbatasan program pendampingan pasca-sertifikasi</t>
  </si>
  <si>
    <t>rizky.sambal@gmail.com</t>
  </si>
  <si>
    <t>Sambal Lado Maulana</t>
  </si>
  <si>
    <t>Fitri Andayani</t>
  </si>
  <si>
    <t>Kolaborasi lintas sektor (swasta, pemerintah, akademisi)</t>
  </si>
  <si>
    <t>Kolaborasi lintas sektor. Mengintegrasikan berbagai pihak agar proses lebih efektif.</t>
  </si>
  <si>
    <t>Inkonistensi atau perbedaan pelaksanaan regulasi antar daerah</t>
  </si>
  <si>
    <t>fitrisongket.bkl@gmail.com</t>
  </si>
  <si>
    <t>Songket Tradisional</t>
  </si>
  <si>
    <t>Arif Hidayat</t>
  </si>
  <si>
    <t>Kabupaten Bener Meriah</t>
  </si>
  <si>
    <t>Ketersediaan bahan baku halal – Penting untuk menjaga keaslian dan kehalalan produk.</t>
  </si>
  <si>
    <t>arifh@gayoarif.co.id</t>
  </si>
  <si>
    <t>Gayo Arif Coffee</t>
  </si>
  <si>
    <t>Melly Juniarti</t>
  </si>
  <si>
    <t>Kabupaten Deli Serdang</t>
  </si>
  <si>
    <t>Peran media dalam edukasi dan promosi produk halal</t>
  </si>
  <si>
    <t>Inisiatif pemerintah pusat. Kebijakan nasional yang mendukung skala besar dan konsisten.</t>
  </si>
  <si>
    <t>Ketiadaan materi edukasi halal yang kontekstual dan mudah dipahami</t>
  </si>
  <si>
    <t>melly.juniarti@salakkita.id</t>
  </si>
  <si>
    <t>Salak Medan Kita</t>
  </si>
  <si>
    <t>Rahmat Prasetyo</t>
  </si>
  <si>
    <t>Kota Bukittinggi</t>
  </si>
  <si>
    <t>Adanya insentif atau subsidi bagi UMKM dalam proses sertifikasi</t>
  </si>
  <si>
    <t>Motivasi pelaku usaha untuk ekspor. Memacu penerapan standar halal internasional.</t>
  </si>
  <si>
    <t>Dukungan dari asosiasi UMKM yang aktif mengadvokasi sertifikasi</t>
  </si>
  <si>
    <t>rahmat@rendangexpress.co.id</t>
  </si>
  <si>
    <t>Rendang Kaleng</t>
  </si>
  <si>
    <t>Lilis Nuraini</t>
  </si>
  <si>
    <t>Kabupaten Mukomuko</t>
  </si>
  <si>
    <t>Efektivitas pengawasan pasca-sertifikasi oleh otoritas terkait</t>
  </si>
  <si>
    <t>Pengalaman positif dari studi kasus sukses Memberi contoh nyata dan inspirasi.</t>
  </si>
  <si>
    <t>Stigma bahwa halal hanya penting bagi produk makanan/minuman</t>
  </si>
  <si>
    <t>lilisfood.bkl@gmail.com</t>
  </si>
  <si>
    <t>Lilis Food</t>
  </si>
  <si>
    <t>Tarmizi Abdullah</t>
  </si>
  <si>
    <t>Kota Sabang</t>
  </si>
  <si>
    <t>Kesiapan pelaku usaha menghadapi perubahan regulasi halal</t>
  </si>
  <si>
    <t>Adaptasi terhadap regulasi terbaru, Agar selalu sesuai dengan perkembangan hukum dan standar.</t>
  </si>
  <si>
    <t>Ketidaktahuan bahwa sertifikasi halal juga berlaku untuk barang non-konsumsi (kosmetik, fashion, dll)</t>
  </si>
  <si>
    <t>tarmizi.pala@gmail.com</t>
  </si>
  <si>
    <t>Sirup Pala Tradisional</t>
  </si>
  <si>
    <t>Rizky Ramadhan</t>
  </si>
  <si>
    <t>Pelatihan untuk masyarakat jarang dilakukan</t>
  </si>
  <si>
    <t>Pendampingan untuk UMKM</t>
  </si>
  <si>
    <t>Budaya konsumsi masyarakat</t>
  </si>
  <si>
    <t>RizkyRamadhan2392@gmail.com</t>
  </si>
  <si>
    <t>Halimah</t>
  </si>
  <si>
    <t>Proses adm rumit</t>
  </si>
  <si>
    <t>Dukungan LSM</t>
  </si>
  <si>
    <t>Halimah1976@gmail.com</t>
  </si>
  <si>
    <t>Dina Septiana</t>
  </si>
  <si>
    <t>Staff Kepdes</t>
  </si>
  <si>
    <t>Aturan sering berubah-ubah</t>
  </si>
  <si>
    <t>Keseriusan pejabart daerah</t>
  </si>
  <si>
    <t>DSeptiana@gmail.com</t>
  </si>
  <si>
    <t>Admin</t>
  </si>
  <si>
    <t>Aceh BEsar</t>
  </si>
  <si>
    <t>Kurang dukungan dari pemerintah daerah</t>
  </si>
  <si>
    <t>Stsrah@gmail.com</t>
  </si>
  <si>
    <t>Dhia Ulhaq</t>
  </si>
  <si>
    <t>Aceh besar</t>
  </si>
  <si>
    <t>Laporan dan feedback lama di tindaklanjuti</t>
  </si>
  <si>
    <t xml:space="preserve">Sosialisasi </t>
  </si>
  <si>
    <t>Dhiaulhaq98@gmail.com</t>
  </si>
  <si>
    <t>Ghina Suraya</t>
  </si>
  <si>
    <t>GhinaSRY@gmail.com</t>
  </si>
  <si>
    <t>Zafran Ramadhan</t>
  </si>
  <si>
    <t>Sekretaris</t>
  </si>
  <si>
    <t>Kadang ada pemahaman perbedaan aturan</t>
  </si>
  <si>
    <t>Adanya teladan dari pejabat</t>
  </si>
  <si>
    <t>Dukungan tokoh masyarakat</t>
  </si>
  <si>
    <t>ZafranRamadhan6798@gmail.com</t>
  </si>
  <si>
    <t>Zulkifli</t>
  </si>
  <si>
    <t>Kabag kepdes</t>
  </si>
  <si>
    <t>Koordinasi pusat dan daerah tidak selaras</t>
  </si>
  <si>
    <t>Zkifli@gmail.com</t>
  </si>
  <si>
    <t>Ade Rida</t>
  </si>
  <si>
    <t>Sistem layanan online belum stabil</t>
  </si>
  <si>
    <t>Biaya yang terjangkau</t>
  </si>
  <si>
    <t>AdeRidaW@gmail.com</t>
  </si>
  <si>
    <t>Yunita Safitri</t>
  </si>
  <si>
    <t>YunitaSaf@gmail.com</t>
  </si>
  <si>
    <t>Firhan</t>
  </si>
  <si>
    <t>Staff kantor Kepdes</t>
  </si>
  <si>
    <t>Aceh barat</t>
  </si>
  <si>
    <t>Sosialisasi yang terbatas</t>
  </si>
  <si>
    <t>Komitmen pelaku usaha</t>
  </si>
  <si>
    <t>FirhanPratama@gmail.com</t>
  </si>
  <si>
    <t>No.</t>
  </si>
  <si>
    <t>Komunikasi vs Sumber Daya</t>
  </si>
  <si>
    <t>Komunikasi vs Disposisi</t>
  </si>
  <si>
    <t>Komunikasi vs Struktur Birokrasi</t>
  </si>
  <si>
    <t>Sumber Daya vs Disposisi</t>
  </si>
  <si>
    <t>Sumber Daya vs Struktur Birokrasi</t>
  </si>
  <si>
    <t>Disposisi vs Struktur Birokrasi</t>
  </si>
  <si>
    <t>Komunikasi</t>
  </si>
  <si>
    <t>Sumber Daya</t>
  </si>
  <si>
    <t>Disposisi</t>
  </si>
  <si>
    <t>Struktur Birokrasi</t>
  </si>
  <si>
    <t>Total</t>
  </si>
  <si>
    <t>Priority</t>
  </si>
  <si>
    <t>Parameter</t>
  </si>
  <si>
    <t>Max Eigen Value</t>
  </si>
  <si>
    <t>CI</t>
  </si>
  <si>
    <t>RI</t>
  </si>
  <si>
    <t>CR = CI/RI</t>
  </si>
  <si>
    <t>Value</t>
  </si>
  <si>
    <t>Conclusion</t>
  </si>
  <si>
    <t>Tabel Random Consistency Ratio (RI)</t>
  </si>
  <si>
    <t>Jumlah Kategori</t>
  </si>
  <si>
    <t xml:space="preserve"> </t>
  </si>
  <si>
    <t>Total Baris</t>
  </si>
  <si>
    <t>Eigen Vector</t>
  </si>
  <si>
    <t>Squaring the Matrix: First Attempt</t>
  </si>
  <si>
    <t>Squaring the Matrix: Second Attempt</t>
  </si>
  <si>
    <t>First EV - Second EV</t>
  </si>
  <si>
    <t>Kategori</t>
  </si>
  <si>
    <t>Kriteria</t>
  </si>
  <si>
    <t>Rank</t>
  </si>
  <si>
    <t>Pertimbangan</t>
  </si>
  <si>
    <t>Karena semua nilai First EV - Second EV seluruhnya sudah cukup kecil (mendekati 0), maka kita bisa gunakan EV terakhir sebagai bobot prioritas</t>
  </si>
  <si>
    <t xml:space="preserve">Komunikasi vs Sumber Daya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</si>
</sst>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10" fontId="0" fillId="0" borderId="1" xfId="0" applyNumberFormat="1" applyBorder="1"/>
    <xf numFmtId="0" fontId="0" fillId="0" borderId="1" xfId="0" applyBorder="1" applyAlignment="1">
      <alignment horizontal="center" vertical="center"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84230D-D1C0-4C5A-BE5C-F76C4460AA2A}" name="Form_Responses13" displayName="Form_Responses13" ref="A1:W1204" headerRowCount="0">
  <tableColumns count="23">
    <tableColumn id="3" xr3:uid="{1ADE1B7E-D5F7-4438-88B4-6754D5107FC8}" name="Column3"/>
    <tableColumn id="4" xr3:uid="{1B9E8260-6FFD-48F8-9CD1-BC6B3C23037E}" name="Column4"/>
    <tableColumn id="5" xr3:uid="{D202818A-80A2-4BBF-9A97-3F6A68F57C88}" name="Column5"/>
    <tableColumn id="6" xr3:uid="{CF069B88-E6CD-4B9E-B4BA-A13B61A110EF}" name="Column6"/>
    <tableColumn id="7" xr3:uid="{CA506A52-8C71-46E4-8CAB-D30FF60307AB}" name="Column7"/>
    <tableColumn id="8" xr3:uid="{D3A8BF2C-79C5-4955-913C-A2691A6E320A}" name="Column8"/>
    <tableColumn id="9" xr3:uid="{554B6311-14B1-40FA-AB2B-726032B8088C}" name="Column9"/>
    <tableColumn id="10" xr3:uid="{E53892B8-E0D5-4CBA-B649-78A4ABAA81B0}" name="Column10"/>
    <tableColumn id="11" xr3:uid="{5576365D-5D99-43DF-B839-82F191F247F7}" name="Column11"/>
    <tableColumn id="12" xr3:uid="{BD47B33E-3238-40CB-A73A-B995FB7B5094}" name="Column12"/>
    <tableColumn id="13" xr3:uid="{3ACBC797-966F-44C7-99EB-D58FE3599D24}" name="Column13"/>
    <tableColumn id="14" xr3:uid="{52279B9D-E090-4F11-97C1-7619E456E967}" name="Column14"/>
    <tableColumn id="15" xr3:uid="{EDA8A63E-E9B9-414B-8C2A-8D4257C9442E}" name="Column15"/>
    <tableColumn id="16" xr3:uid="{B0BAFB4A-D53B-44BF-A61B-1EB84E55D10C}" name="Column16"/>
    <tableColumn id="17" xr3:uid="{0D69051A-6ACA-4A1C-BD5F-C0E83EAB7266}" name="Column17"/>
    <tableColumn id="18" xr3:uid="{012D69BD-2C5C-4519-A6A5-C5157F68CEC7}" name="Column18"/>
    <tableColumn id="19" xr3:uid="{DE3840C6-90BB-4BE7-AAA7-DB7BE9390CC5}" name="Column19"/>
    <tableColumn id="20" xr3:uid="{81132D74-8FFF-436C-86B7-29408B142216}" name="Column20"/>
    <tableColumn id="21" xr3:uid="{C3FC45D0-66A4-4898-B863-EAE2842FEE3B}" name="Column21"/>
    <tableColumn id="23" xr3:uid="{86A5349A-76F0-41D1-B904-9FE6906413E9}" name="Column23"/>
    <tableColumn id="24" xr3:uid="{8171908F-D998-42C5-AB56-61C8799D4EF6}" name="Column24"/>
    <tableColumn id="25" xr3:uid="{54311E15-87D4-4048-9C9A-82FECF6C52E9}" name="Column25"/>
    <tableColumn id="27" xr3:uid="{F8D80A9B-DD93-4BFB-AA51-77F32C92DA00}" name="Column27"/>
  </tableColumns>
  <tableStyleInfo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Form_Responses1" displayName="Form_Responses1" ref="B1:AA1204" headerRowCount="0">
  <tableColumns count="2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7" xr3:uid="{00000000-0010-0000-0000-00001B000000}" name="Column27"/>
  </tableColumns>
  <tableStyleInfo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04"/>
  <sheetViews>
    <sheetView tabSelected="1" workbookViewId="0">
      <selection activeCell="A18" sqref="A18"/>
    </sheetView>
  </sheetViews>
  <sheetFormatPr defaultColWidth="11" defaultRowHeight="13.5" x14ac:dyDescent="0.35"/>
  <cols>
    <col min="1" max="1" width="38.75" customWidth="1"/>
    <col min="2" max="2" width="35.375" customWidth="1"/>
    <col min="3" max="3" width="41.875" customWidth="1"/>
    <col min="4" max="4" width="37" customWidth="1"/>
    <col min="5" max="6" width="41.875" customWidth="1"/>
  </cols>
  <sheetData>
    <row r="1" spans="1:6" ht="13.15" customHeight="1" x14ac:dyDescent="0.35">
      <c r="A1" t="s">
        <v>6106</v>
      </c>
      <c r="B1" t="s">
        <v>4</v>
      </c>
      <c r="C1" t="s">
        <v>5</v>
      </c>
      <c r="D1" t="s">
        <v>6</v>
      </c>
      <c r="E1" t="s">
        <v>7</v>
      </c>
      <c r="F1" t="s">
        <v>8</v>
      </c>
    </row>
    <row r="2" spans="1:6" x14ac:dyDescent="0.35">
      <c r="A2" t="s">
        <v>28</v>
      </c>
      <c r="B2" t="s">
        <v>28</v>
      </c>
      <c r="C2" t="s">
        <v>29</v>
      </c>
      <c r="D2" t="s">
        <v>30</v>
      </c>
      <c r="E2" t="s">
        <v>30</v>
      </c>
      <c r="F2" t="s">
        <v>28</v>
      </c>
    </row>
    <row r="3" spans="1:6" x14ac:dyDescent="0.35">
      <c r="A3" t="s">
        <v>33</v>
      </c>
      <c r="B3" t="s">
        <v>33</v>
      </c>
      <c r="C3" t="s">
        <v>33</v>
      </c>
      <c r="D3" t="s">
        <v>34</v>
      </c>
      <c r="E3" t="s">
        <v>30</v>
      </c>
      <c r="F3" t="s">
        <v>35</v>
      </c>
    </row>
    <row r="4" spans="1:6" x14ac:dyDescent="0.35">
      <c r="A4" t="s">
        <v>29</v>
      </c>
      <c r="B4" t="s">
        <v>28</v>
      </c>
      <c r="C4" t="s">
        <v>44</v>
      </c>
      <c r="D4" t="s">
        <v>28</v>
      </c>
      <c r="E4" t="s">
        <v>45</v>
      </c>
      <c r="F4" t="s">
        <v>28</v>
      </c>
    </row>
    <row r="5" spans="1:6" x14ac:dyDescent="0.35">
      <c r="A5" t="s">
        <v>60</v>
      </c>
      <c r="B5" t="s">
        <v>29</v>
      </c>
      <c r="C5" t="s">
        <v>29</v>
      </c>
      <c r="D5" t="s">
        <v>30</v>
      </c>
      <c r="E5" t="s">
        <v>34</v>
      </c>
      <c r="F5" t="s">
        <v>61</v>
      </c>
    </row>
    <row r="6" spans="1:6" x14ac:dyDescent="0.35">
      <c r="A6" t="s">
        <v>71</v>
      </c>
      <c r="B6" t="s">
        <v>72</v>
      </c>
      <c r="C6" t="s">
        <v>73</v>
      </c>
      <c r="D6" t="s">
        <v>34</v>
      </c>
      <c r="E6" t="s">
        <v>34</v>
      </c>
      <c r="F6" t="s">
        <v>74</v>
      </c>
    </row>
    <row r="7" spans="1:6" x14ac:dyDescent="0.35">
      <c r="A7" t="s">
        <v>33</v>
      </c>
      <c r="B7" t="s">
        <v>33</v>
      </c>
      <c r="C7" t="s">
        <v>33</v>
      </c>
      <c r="D7" t="s">
        <v>34</v>
      </c>
      <c r="E7" t="s">
        <v>34</v>
      </c>
      <c r="F7" t="s">
        <v>73</v>
      </c>
    </row>
    <row r="8" spans="1:6" x14ac:dyDescent="0.35">
      <c r="A8" t="s">
        <v>28</v>
      </c>
      <c r="B8" t="s">
        <v>29</v>
      </c>
      <c r="C8" t="s">
        <v>29</v>
      </c>
      <c r="D8" t="s">
        <v>30</v>
      </c>
      <c r="E8" t="s">
        <v>30</v>
      </c>
      <c r="F8" t="s">
        <v>94</v>
      </c>
    </row>
    <row r="9" spans="1:6" x14ac:dyDescent="0.35">
      <c r="A9" t="s">
        <v>44</v>
      </c>
      <c r="B9" t="s">
        <v>60</v>
      </c>
      <c r="C9" t="s">
        <v>28</v>
      </c>
      <c r="D9" t="s">
        <v>28</v>
      </c>
      <c r="E9" t="s">
        <v>103</v>
      </c>
      <c r="F9" t="s">
        <v>35</v>
      </c>
    </row>
    <row r="10" spans="1:6" x14ac:dyDescent="0.35">
      <c r="A10" t="s">
        <v>33</v>
      </c>
      <c r="B10" t="s">
        <v>33</v>
      </c>
      <c r="C10" t="s">
        <v>44</v>
      </c>
      <c r="D10" t="s">
        <v>34</v>
      </c>
      <c r="E10" t="s">
        <v>30</v>
      </c>
      <c r="F10" t="s">
        <v>74</v>
      </c>
    </row>
    <row r="11" spans="1:6" x14ac:dyDescent="0.35">
      <c r="A11" t="s">
        <v>71</v>
      </c>
      <c r="B11" t="s">
        <v>33</v>
      </c>
      <c r="C11" t="s">
        <v>33</v>
      </c>
      <c r="D11" t="s">
        <v>34</v>
      </c>
      <c r="E11" t="s">
        <v>34</v>
      </c>
      <c r="F11" t="s">
        <v>74</v>
      </c>
    </row>
    <row r="12" spans="1:6" x14ac:dyDescent="0.35">
      <c r="A12" t="s">
        <v>28</v>
      </c>
      <c r="B12" t="s">
        <v>28</v>
      </c>
      <c r="C12" t="s">
        <v>28</v>
      </c>
      <c r="D12" t="s">
        <v>28</v>
      </c>
      <c r="E12" t="s">
        <v>28</v>
      </c>
      <c r="F12" t="s">
        <v>28</v>
      </c>
    </row>
    <row r="13" spans="1:6" x14ac:dyDescent="0.35">
      <c r="A13" t="s">
        <v>29</v>
      </c>
      <c r="B13" t="s">
        <v>29</v>
      </c>
      <c r="C13" t="s">
        <v>29</v>
      </c>
      <c r="D13" t="s">
        <v>28</v>
      </c>
      <c r="E13" t="s">
        <v>28</v>
      </c>
      <c r="F13" t="s">
        <v>28</v>
      </c>
    </row>
    <row r="14" spans="1:6" x14ac:dyDescent="0.35">
      <c r="A14" t="s">
        <v>28</v>
      </c>
      <c r="B14" t="s">
        <v>28</v>
      </c>
      <c r="C14" t="s">
        <v>28</v>
      </c>
      <c r="D14" t="s">
        <v>28</v>
      </c>
      <c r="E14" t="s">
        <v>28</v>
      </c>
      <c r="F14" t="s">
        <v>28</v>
      </c>
    </row>
    <row r="15" spans="1:6" x14ac:dyDescent="0.35">
      <c r="A15" t="s">
        <v>29</v>
      </c>
      <c r="B15" t="s">
        <v>28</v>
      </c>
      <c r="C15" t="s">
        <v>157</v>
      </c>
      <c r="D15" t="s">
        <v>158</v>
      </c>
      <c r="E15" t="s">
        <v>45</v>
      </c>
      <c r="F15" t="s">
        <v>45</v>
      </c>
    </row>
    <row r="16" spans="1:6" x14ac:dyDescent="0.35">
      <c r="A16" t="s">
        <v>28</v>
      </c>
      <c r="B16" t="s">
        <v>29</v>
      </c>
      <c r="C16" t="s">
        <v>28</v>
      </c>
      <c r="D16" t="s">
        <v>30</v>
      </c>
      <c r="E16" t="s">
        <v>28</v>
      </c>
      <c r="F16" t="s">
        <v>28</v>
      </c>
    </row>
    <row r="17" spans="1:6" x14ac:dyDescent="0.35">
      <c r="A17" t="s">
        <v>28</v>
      </c>
      <c r="B17" t="s">
        <v>29</v>
      </c>
      <c r="C17" t="s">
        <v>33</v>
      </c>
      <c r="D17" t="s">
        <v>173</v>
      </c>
      <c r="E17" t="s">
        <v>103</v>
      </c>
      <c r="F17" t="s">
        <v>28</v>
      </c>
    </row>
    <row r="18" spans="1:6" x14ac:dyDescent="0.35">
      <c r="A18" t="s">
        <v>28</v>
      </c>
      <c r="B18" t="s">
        <v>28</v>
      </c>
      <c r="C18" t="s">
        <v>28</v>
      </c>
      <c r="D18" t="s">
        <v>28</v>
      </c>
      <c r="E18" t="s">
        <v>28</v>
      </c>
      <c r="F18" t="s">
        <v>28</v>
      </c>
    </row>
    <row r="19" spans="1:6" x14ac:dyDescent="0.35">
      <c r="A19" t="s">
        <v>28</v>
      </c>
      <c r="B19" t="s">
        <v>29</v>
      </c>
      <c r="C19" t="s">
        <v>157</v>
      </c>
      <c r="D19" t="s">
        <v>34</v>
      </c>
      <c r="E19" t="s">
        <v>34</v>
      </c>
      <c r="F19" t="s">
        <v>45</v>
      </c>
    </row>
    <row r="20" spans="1:6" x14ac:dyDescent="0.35">
      <c r="A20" t="s">
        <v>29</v>
      </c>
      <c r="B20" t="s">
        <v>196</v>
      </c>
      <c r="C20" t="s">
        <v>29</v>
      </c>
      <c r="D20" t="s">
        <v>197</v>
      </c>
      <c r="E20" t="s">
        <v>34</v>
      </c>
      <c r="F20" t="s">
        <v>28</v>
      </c>
    </row>
    <row r="21" spans="1:6" x14ac:dyDescent="0.35">
      <c r="A21" t="s">
        <v>71</v>
      </c>
      <c r="B21" t="s">
        <v>72</v>
      </c>
      <c r="C21" t="s">
        <v>206</v>
      </c>
      <c r="D21" t="s">
        <v>34</v>
      </c>
      <c r="E21" t="s">
        <v>173</v>
      </c>
      <c r="F21" t="s">
        <v>28</v>
      </c>
    </row>
    <row r="22" spans="1:6" x14ac:dyDescent="0.35">
      <c r="A22" t="s">
        <v>29</v>
      </c>
      <c r="B22" t="s">
        <v>28</v>
      </c>
      <c r="C22" t="s">
        <v>28</v>
      </c>
      <c r="D22" t="s">
        <v>28</v>
      </c>
      <c r="E22" t="s">
        <v>28</v>
      </c>
      <c r="F22" t="s">
        <v>28</v>
      </c>
    </row>
    <row r="23" spans="1:6" x14ac:dyDescent="0.35">
      <c r="A23" t="s">
        <v>71</v>
      </c>
      <c r="B23" t="s">
        <v>33</v>
      </c>
      <c r="C23" t="s">
        <v>33</v>
      </c>
      <c r="D23" t="s">
        <v>34</v>
      </c>
      <c r="E23" t="s">
        <v>34</v>
      </c>
      <c r="F23" t="s">
        <v>74</v>
      </c>
    </row>
    <row r="24" spans="1:6" x14ac:dyDescent="0.35">
      <c r="A24" t="s">
        <v>33</v>
      </c>
      <c r="B24" t="s">
        <v>28</v>
      </c>
      <c r="C24" t="s">
        <v>28</v>
      </c>
      <c r="D24" t="s">
        <v>28</v>
      </c>
      <c r="E24" t="s">
        <v>103</v>
      </c>
      <c r="F24" t="s">
        <v>28</v>
      </c>
    </row>
    <row r="25" spans="1:6" x14ac:dyDescent="0.35">
      <c r="A25" t="s">
        <v>28</v>
      </c>
      <c r="B25" t="s">
        <v>28</v>
      </c>
      <c r="C25" t="s">
        <v>28</v>
      </c>
      <c r="D25" t="s">
        <v>28</v>
      </c>
      <c r="E25" t="s">
        <v>28</v>
      </c>
      <c r="F25" t="s">
        <v>28</v>
      </c>
    </row>
    <row r="26" spans="1:6" x14ac:dyDescent="0.35">
      <c r="A26" t="s">
        <v>33</v>
      </c>
      <c r="B26" t="s">
        <v>29</v>
      </c>
      <c r="C26" t="s">
        <v>60</v>
      </c>
      <c r="D26" t="s">
        <v>28</v>
      </c>
      <c r="E26" t="s">
        <v>103</v>
      </c>
      <c r="F26" t="s">
        <v>45</v>
      </c>
    </row>
    <row r="27" spans="1:6" x14ac:dyDescent="0.35">
      <c r="A27" t="s">
        <v>71</v>
      </c>
      <c r="B27" t="s">
        <v>33</v>
      </c>
      <c r="C27" t="s">
        <v>28</v>
      </c>
      <c r="D27" t="s">
        <v>30</v>
      </c>
      <c r="E27" t="s">
        <v>94</v>
      </c>
      <c r="F27" t="s">
        <v>28</v>
      </c>
    </row>
    <row r="28" spans="1:6" x14ac:dyDescent="0.35">
      <c r="A28" t="s">
        <v>28</v>
      </c>
      <c r="B28" t="s">
        <v>28</v>
      </c>
      <c r="C28" t="s">
        <v>28</v>
      </c>
      <c r="D28" t="s">
        <v>28</v>
      </c>
      <c r="E28" t="s">
        <v>28</v>
      </c>
      <c r="F28" t="s">
        <v>28</v>
      </c>
    </row>
    <row r="29" spans="1:6" x14ac:dyDescent="0.35">
      <c r="A29" t="s">
        <v>28</v>
      </c>
      <c r="B29" t="s">
        <v>28</v>
      </c>
      <c r="C29" t="s">
        <v>28</v>
      </c>
      <c r="D29" t="s">
        <v>28</v>
      </c>
      <c r="E29" t="s">
        <v>28</v>
      </c>
      <c r="F29" t="s">
        <v>28</v>
      </c>
    </row>
    <row r="30" spans="1:6" x14ac:dyDescent="0.35">
      <c r="A30" t="s">
        <v>33</v>
      </c>
      <c r="B30" t="s">
        <v>33</v>
      </c>
      <c r="C30" t="s">
        <v>33</v>
      </c>
      <c r="D30" t="s">
        <v>34</v>
      </c>
      <c r="E30" t="s">
        <v>34</v>
      </c>
      <c r="F30" t="s">
        <v>74</v>
      </c>
    </row>
    <row r="31" spans="1:6" x14ac:dyDescent="0.35">
      <c r="A31" t="s">
        <v>28</v>
      </c>
      <c r="B31" t="s">
        <v>60</v>
      </c>
      <c r="C31" t="s">
        <v>28</v>
      </c>
      <c r="D31" t="s">
        <v>158</v>
      </c>
      <c r="E31" t="s">
        <v>45</v>
      </c>
      <c r="F31" t="s">
        <v>28</v>
      </c>
    </row>
    <row r="32" spans="1:6" x14ac:dyDescent="0.35">
      <c r="A32" t="s">
        <v>28</v>
      </c>
      <c r="B32" t="s">
        <v>28</v>
      </c>
      <c r="C32" t="s">
        <v>28</v>
      </c>
      <c r="D32" t="s">
        <v>173</v>
      </c>
      <c r="E32" t="s">
        <v>28</v>
      </c>
      <c r="F32" t="s">
        <v>28</v>
      </c>
    </row>
    <row r="33" spans="1:6" x14ac:dyDescent="0.35">
      <c r="A33" t="s">
        <v>28</v>
      </c>
      <c r="B33" t="s">
        <v>196</v>
      </c>
      <c r="C33" t="s">
        <v>284</v>
      </c>
      <c r="D33" t="s">
        <v>197</v>
      </c>
      <c r="E33" t="s">
        <v>28</v>
      </c>
      <c r="F33" t="s">
        <v>28</v>
      </c>
    </row>
    <row r="34" spans="1:6" x14ac:dyDescent="0.35">
      <c r="A34" t="s">
        <v>28</v>
      </c>
      <c r="B34" t="s">
        <v>33</v>
      </c>
      <c r="C34" t="s">
        <v>284</v>
      </c>
      <c r="D34" t="s">
        <v>30</v>
      </c>
      <c r="E34" t="s">
        <v>34</v>
      </c>
      <c r="F34" t="s">
        <v>292</v>
      </c>
    </row>
    <row r="35" spans="1:6" x14ac:dyDescent="0.35">
      <c r="A35" t="s">
        <v>28</v>
      </c>
      <c r="B35" t="s">
        <v>29</v>
      </c>
      <c r="C35" t="s">
        <v>206</v>
      </c>
      <c r="D35" t="s">
        <v>30</v>
      </c>
      <c r="E35" t="s">
        <v>28</v>
      </c>
      <c r="F35" t="s">
        <v>94</v>
      </c>
    </row>
    <row r="36" spans="1:6" x14ac:dyDescent="0.35">
      <c r="A36" t="s">
        <v>33</v>
      </c>
      <c r="B36" t="s">
        <v>33</v>
      </c>
      <c r="C36" t="s">
        <v>33</v>
      </c>
      <c r="D36" t="s">
        <v>34</v>
      </c>
      <c r="E36" t="s">
        <v>34</v>
      </c>
      <c r="F36" t="s">
        <v>28</v>
      </c>
    </row>
    <row r="37" spans="1:6" x14ac:dyDescent="0.35">
      <c r="A37" t="s">
        <v>33</v>
      </c>
      <c r="B37" t="s">
        <v>72</v>
      </c>
      <c r="C37" t="s">
        <v>33</v>
      </c>
      <c r="D37" t="s">
        <v>72</v>
      </c>
      <c r="E37" t="s">
        <v>34</v>
      </c>
      <c r="F37" t="s">
        <v>74</v>
      </c>
    </row>
    <row r="38" spans="1:6" x14ac:dyDescent="0.35">
      <c r="A38" t="s">
        <v>33</v>
      </c>
      <c r="B38" t="s">
        <v>33</v>
      </c>
      <c r="C38" t="s">
        <v>33</v>
      </c>
      <c r="D38" t="s">
        <v>34</v>
      </c>
      <c r="E38" t="s">
        <v>34</v>
      </c>
      <c r="F38" t="s">
        <v>74</v>
      </c>
    </row>
    <row r="39" spans="1:6" x14ac:dyDescent="0.35">
      <c r="A39" t="s">
        <v>28</v>
      </c>
      <c r="B39" t="s">
        <v>29</v>
      </c>
      <c r="C39" t="s">
        <v>29</v>
      </c>
      <c r="D39" t="s">
        <v>173</v>
      </c>
      <c r="E39" t="s">
        <v>30</v>
      </c>
      <c r="F39" t="s">
        <v>35</v>
      </c>
    </row>
    <row r="40" spans="1:6" x14ac:dyDescent="0.35">
      <c r="A40" t="s">
        <v>28</v>
      </c>
      <c r="B40" t="s">
        <v>28</v>
      </c>
      <c r="C40" t="s">
        <v>28</v>
      </c>
      <c r="D40" t="s">
        <v>103</v>
      </c>
      <c r="E40" t="s">
        <v>103</v>
      </c>
      <c r="F40" t="s">
        <v>28</v>
      </c>
    </row>
    <row r="41" spans="1:6" x14ac:dyDescent="0.35">
      <c r="A41" t="s">
        <v>33</v>
      </c>
      <c r="B41" t="s">
        <v>28</v>
      </c>
      <c r="C41" t="s">
        <v>33</v>
      </c>
      <c r="D41" t="s">
        <v>30</v>
      </c>
      <c r="E41" t="s">
        <v>34</v>
      </c>
      <c r="F41" t="s">
        <v>74</v>
      </c>
    </row>
    <row r="42" spans="1:6" x14ac:dyDescent="0.35">
      <c r="A42" t="s">
        <v>33</v>
      </c>
      <c r="B42" t="s">
        <v>28</v>
      </c>
      <c r="C42" t="s">
        <v>33</v>
      </c>
      <c r="D42" t="s">
        <v>34</v>
      </c>
      <c r="E42" t="s">
        <v>34</v>
      </c>
      <c r="F42" t="s">
        <v>74</v>
      </c>
    </row>
    <row r="43" spans="1:6" x14ac:dyDescent="0.35">
      <c r="A43" t="s">
        <v>344</v>
      </c>
      <c r="B43" t="s">
        <v>29</v>
      </c>
      <c r="C43" t="s">
        <v>29</v>
      </c>
      <c r="D43" t="s">
        <v>30</v>
      </c>
      <c r="E43" t="s">
        <v>30</v>
      </c>
      <c r="F43" t="s">
        <v>94</v>
      </c>
    </row>
    <row r="44" spans="1:6" x14ac:dyDescent="0.35">
      <c r="A44" t="s">
        <v>33</v>
      </c>
      <c r="B44" t="s">
        <v>33</v>
      </c>
      <c r="C44" t="s">
        <v>33</v>
      </c>
      <c r="D44" t="s">
        <v>34</v>
      </c>
      <c r="E44" t="s">
        <v>34</v>
      </c>
      <c r="F44" t="s">
        <v>74</v>
      </c>
    </row>
    <row r="45" spans="1:6" x14ac:dyDescent="0.35">
      <c r="A45" t="s">
        <v>29</v>
      </c>
      <c r="B45" t="s">
        <v>60</v>
      </c>
      <c r="C45" t="s">
        <v>33</v>
      </c>
      <c r="D45" t="s">
        <v>28</v>
      </c>
      <c r="E45" t="s">
        <v>34</v>
      </c>
      <c r="F45" t="s">
        <v>61</v>
      </c>
    </row>
    <row r="46" spans="1:6" x14ac:dyDescent="0.35">
      <c r="A46" t="s">
        <v>29</v>
      </c>
      <c r="B46" t="s">
        <v>28</v>
      </c>
      <c r="C46" t="s">
        <v>284</v>
      </c>
      <c r="D46" t="s">
        <v>103</v>
      </c>
      <c r="E46" t="s">
        <v>368</v>
      </c>
      <c r="F46" t="s">
        <v>28</v>
      </c>
    </row>
    <row r="47" spans="1:6" x14ac:dyDescent="0.35">
      <c r="A47" t="s">
        <v>28</v>
      </c>
      <c r="B47" t="s">
        <v>29</v>
      </c>
      <c r="C47" t="s">
        <v>284</v>
      </c>
      <c r="D47" t="s">
        <v>30</v>
      </c>
      <c r="E47" t="s">
        <v>30</v>
      </c>
      <c r="F47" t="s">
        <v>28</v>
      </c>
    </row>
    <row r="48" spans="1:6" x14ac:dyDescent="0.35">
      <c r="A48" t="s">
        <v>377</v>
      </c>
      <c r="B48" t="s">
        <v>29</v>
      </c>
      <c r="C48" t="s">
        <v>28</v>
      </c>
      <c r="D48" t="s">
        <v>34</v>
      </c>
      <c r="E48" t="s">
        <v>28</v>
      </c>
      <c r="F48" t="s">
        <v>368</v>
      </c>
    </row>
    <row r="49" spans="1:6" x14ac:dyDescent="0.35">
      <c r="A49" t="s">
        <v>29</v>
      </c>
      <c r="B49" t="s">
        <v>29</v>
      </c>
      <c r="C49" t="s">
        <v>28</v>
      </c>
      <c r="D49" t="s">
        <v>28</v>
      </c>
      <c r="E49" t="s">
        <v>28</v>
      </c>
      <c r="F49" t="s">
        <v>28</v>
      </c>
    </row>
    <row r="50" spans="1:6" x14ac:dyDescent="0.35">
      <c r="A50" t="s">
        <v>344</v>
      </c>
      <c r="B50" t="s">
        <v>29</v>
      </c>
      <c r="C50" t="s">
        <v>28</v>
      </c>
      <c r="D50" t="s">
        <v>173</v>
      </c>
      <c r="E50" t="s">
        <v>28</v>
      </c>
      <c r="F50" t="s">
        <v>35</v>
      </c>
    </row>
    <row r="51" spans="1:6" x14ac:dyDescent="0.35">
      <c r="A51" t="s">
        <v>29</v>
      </c>
      <c r="B51" t="s">
        <v>44</v>
      </c>
      <c r="C51" t="s">
        <v>28</v>
      </c>
      <c r="D51" t="s">
        <v>173</v>
      </c>
      <c r="E51" t="s">
        <v>28</v>
      </c>
      <c r="F51" t="s">
        <v>28</v>
      </c>
    </row>
    <row r="52" spans="1:6" x14ac:dyDescent="0.35">
      <c r="A52" t="s">
        <v>60</v>
      </c>
      <c r="B52" t="s">
        <v>60</v>
      </c>
      <c r="C52" t="s">
        <v>60</v>
      </c>
      <c r="D52" t="s">
        <v>28</v>
      </c>
      <c r="E52" t="s">
        <v>28</v>
      </c>
      <c r="F52" t="s">
        <v>28</v>
      </c>
    </row>
    <row r="53" spans="1:6" x14ac:dyDescent="0.35">
      <c r="A53" t="s">
        <v>28</v>
      </c>
      <c r="B53" t="s">
        <v>28</v>
      </c>
      <c r="C53" t="s">
        <v>28</v>
      </c>
      <c r="D53" t="s">
        <v>28</v>
      </c>
      <c r="E53" t="s">
        <v>28</v>
      </c>
      <c r="F53" t="s">
        <v>28</v>
      </c>
    </row>
    <row r="54" spans="1:6" x14ac:dyDescent="0.35">
      <c r="A54" t="s">
        <v>29</v>
      </c>
      <c r="B54" t="s">
        <v>28</v>
      </c>
      <c r="C54" t="s">
        <v>28</v>
      </c>
      <c r="D54" t="s">
        <v>28</v>
      </c>
      <c r="E54" t="s">
        <v>28</v>
      </c>
      <c r="F54" t="s">
        <v>28</v>
      </c>
    </row>
    <row r="55" spans="1:6" x14ac:dyDescent="0.35">
      <c r="A55" t="s">
        <v>28</v>
      </c>
      <c r="B55" t="s">
        <v>28</v>
      </c>
      <c r="C55" t="s">
        <v>28</v>
      </c>
      <c r="D55" t="s">
        <v>28</v>
      </c>
      <c r="E55" t="s">
        <v>28</v>
      </c>
      <c r="F55" t="s">
        <v>28</v>
      </c>
    </row>
    <row r="56" spans="1:6" x14ac:dyDescent="0.35">
      <c r="A56" t="s">
        <v>28</v>
      </c>
      <c r="B56" t="s">
        <v>28</v>
      </c>
      <c r="C56" t="s">
        <v>28</v>
      </c>
      <c r="D56" t="s">
        <v>28</v>
      </c>
      <c r="E56" t="s">
        <v>28</v>
      </c>
      <c r="F56" t="s">
        <v>28</v>
      </c>
    </row>
    <row r="57" spans="1:6" x14ac:dyDescent="0.35">
      <c r="A57" t="s">
        <v>344</v>
      </c>
      <c r="B57" t="s">
        <v>29</v>
      </c>
      <c r="C57" t="s">
        <v>28</v>
      </c>
      <c r="D57" t="s">
        <v>28</v>
      </c>
      <c r="E57" t="s">
        <v>28</v>
      </c>
      <c r="F57" t="s">
        <v>368</v>
      </c>
    </row>
    <row r="58" spans="1:6" x14ac:dyDescent="0.35">
      <c r="A58" t="s">
        <v>33</v>
      </c>
      <c r="B58" t="s">
        <v>33</v>
      </c>
      <c r="C58" t="s">
        <v>33</v>
      </c>
      <c r="D58" t="s">
        <v>34</v>
      </c>
      <c r="E58" t="s">
        <v>34</v>
      </c>
      <c r="F58" t="s">
        <v>73</v>
      </c>
    </row>
    <row r="59" spans="1:6" x14ac:dyDescent="0.35">
      <c r="A59" t="s">
        <v>28</v>
      </c>
      <c r="B59" t="s">
        <v>28</v>
      </c>
      <c r="C59" t="s">
        <v>60</v>
      </c>
      <c r="D59" t="s">
        <v>196</v>
      </c>
      <c r="E59" t="s">
        <v>28</v>
      </c>
      <c r="F59" t="s">
        <v>61</v>
      </c>
    </row>
    <row r="60" spans="1:6" x14ac:dyDescent="0.35">
      <c r="A60" t="s">
        <v>449</v>
      </c>
      <c r="B60" t="s">
        <v>28</v>
      </c>
      <c r="C60" t="s">
        <v>28</v>
      </c>
      <c r="D60" t="s">
        <v>28</v>
      </c>
      <c r="E60" t="s">
        <v>45</v>
      </c>
      <c r="F60" t="s">
        <v>45</v>
      </c>
    </row>
    <row r="61" spans="1:6" x14ac:dyDescent="0.35">
      <c r="A61" t="s">
        <v>28</v>
      </c>
      <c r="B61" t="s">
        <v>60</v>
      </c>
      <c r="C61" t="s">
        <v>206</v>
      </c>
      <c r="D61" t="s">
        <v>34</v>
      </c>
      <c r="E61" t="s">
        <v>28</v>
      </c>
      <c r="F61" t="s">
        <v>368</v>
      </c>
    </row>
    <row r="62" spans="1:6" x14ac:dyDescent="0.35">
      <c r="A62" t="s">
        <v>28</v>
      </c>
      <c r="B62" t="s">
        <v>33</v>
      </c>
      <c r="C62" t="s">
        <v>28</v>
      </c>
      <c r="D62" t="s">
        <v>30</v>
      </c>
      <c r="E62" t="s">
        <v>28</v>
      </c>
      <c r="F62" t="s">
        <v>368</v>
      </c>
    </row>
    <row r="63" spans="1:6" x14ac:dyDescent="0.35">
      <c r="A63" t="s">
        <v>28</v>
      </c>
      <c r="B63" t="s">
        <v>33</v>
      </c>
      <c r="C63" t="s">
        <v>28</v>
      </c>
      <c r="D63" t="s">
        <v>34</v>
      </c>
      <c r="E63" t="s">
        <v>28</v>
      </c>
      <c r="F63" t="s">
        <v>368</v>
      </c>
    </row>
    <row r="64" spans="1:6" x14ac:dyDescent="0.35">
      <c r="A64" t="s">
        <v>28</v>
      </c>
      <c r="B64" t="s">
        <v>28</v>
      </c>
      <c r="C64" t="s">
        <v>28</v>
      </c>
      <c r="D64" t="s">
        <v>28</v>
      </c>
      <c r="E64" t="s">
        <v>34</v>
      </c>
      <c r="F64" t="s">
        <v>28</v>
      </c>
    </row>
    <row r="65" spans="1:6" x14ac:dyDescent="0.35">
      <c r="A65" t="s">
        <v>28</v>
      </c>
      <c r="B65" t="s">
        <v>28</v>
      </c>
      <c r="C65" t="s">
        <v>28</v>
      </c>
      <c r="D65" t="s">
        <v>28</v>
      </c>
      <c r="E65" t="s">
        <v>28</v>
      </c>
      <c r="F65" t="s">
        <v>28</v>
      </c>
    </row>
    <row r="66" spans="1:6" x14ac:dyDescent="0.35">
      <c r="A66" t="s">
        <v>28</v>
      </c>
      <c r="B66" t="s">
        <v>29</v>
      </c>
      <c r="C66" t="s">
        <v>73</v>
      </c>
      <c r="D66" t="s">
        <v>34</v>
      </c>
      <c r="E66" t="s">
        <v>28</v>
      </c>
      <c r="F66" t="s">
        <v>368</v>
      </c>
    </row>
    <row r="67" spans="1:6" x14ac:dyDescent="0.35">
      <c r="A67" t="s">
        <v>28</v>
      </c>
      <c r="B67" t="s">
        <v>33</v>
      </c>
      <c r="C67" t="s">
        <v>28</v>
      </c>
      <c r="D67" t="s">
        <v>30</v>
      </c>
      <c r="E67" t="s">
        <v>28</v>
      </c>
      <c r="F67" t="s">
        <v>94</v>
      </c>
    </row>
    <row r="68" spans="1:6" x14ac:dyDescent="0.35">
      <c r="A68" t="s">
        <v>60</v>
      </c>
      <c r="B68" t="s">
        <v>33</v>
      </c>
      <c r="C68" t="s">
        <v>284</v>
      </c>
      <c r="D68" t="s">
        <v>34</v>
      </c>
      <c r="E68" t="s">
        <v>28</v>
      </c>
      <c r="F68" t="s">
        <v>94</v>
      </c>
    </row>
    <row r="69" spans="1:6" x14ac:dyDescent="0.35">
      <c r="A69" t="s">
        <v>28</v>
      </c>
      <c r="B69" t="s">
        <v>33</v>
      </c>
      <c r="C69" t="s">
        <v>284</v>
      </c>
      <c r="D69" t="s">
        <v>34</v>
      </c>
      <c r="E69" t="s">
        <v>103</v>
      </c>
      <c r="F69" t="s">
        <v>368</v>
      </c>
    </row>
    <row r="70" spans="1:6" x14ac:dyDescent="0.35">
      <c r="A70" t="s">
        <v>28</v>
      </c>
      <c r="B70" t="s">
        <v>29</v>
      </c>
      <c r="C70" t="s">
        <v>28</v>
      </c>
      <c r="D70" t="s">
        <v>30</v>
      </c>
      <c r="E70" t="s">
        <v>45</v>
      </c>
      <c r="F70" t="s">
        <v>368</v>
      </c>
    </row>
    <row r="71" spans="1:6" x14ac:dyDescent="0.35">
      <c r="A71" t="s">
        <v>28</v>
      </c>
      <c r="B71" t="s">
        <v>60</v>
      </c>
      <c r="C71" t="s">
        <v>28</v>
      </c>
      <c r="D71" t="s">
        <v>158</v>
      </c>
      <c r="E71" t="s">
        <v>173</v>
      </c>
      <c r="F71" t="s">
        <v>94</v>
      </c>
    </row>
    <row r="72" spans="1:6" x14ac:dyDescent="0.35">
      <c r="A72" t="s">
        <v>28</v>
      </c>
      <c r="B72" t="s">
        <v>60</v>
      </c>
      <c r="C72" t="s">
        <v>284</v>
      </c>
      <c r="D72" t="s">
        <v>34</v>
      </c>
      <c r="E72" t="s">
        <v>28</v>
      </c>
      <c r="F72" t="s">
        <v>94</v>
      </c>
    </row>
    <row r="73" spans="1:6" x14ac:dyDescent="0.35">
      <c r="A73" t="s">
        <v>28</v>
      </c>
      <c r="B73" t="s">
        <v>29</v>
      </c>
      <c r="C73" t="s">
        <v>28</v>
      </c>
      <c r="D73" t="s">
        <v>173</v>
      </c>
      <c r="E73" t="s">
        <v>173</v>
      </c>
      <c r="F73" t="s">
        <v>368</v>
      </c>
    </row>
    <row r="74" spans="1:6" x14ac:dyDescent="0.35">
      <c r="A74" t="s">
        <v>28</v>
      </c>
      <c r="B74" t="s">
        <v>60</v>
      </c>
      <c r="C74" t="s">
        <v>28</v>
      </c>
      <c r="D74" t="s">
        <v>173</v>
      </c>
      <c r="E74" t="s">
        <v>28</v>
      </c>
      <c r="F74" t="s">
        <v>368</v>
      </c>
    </row>
    <row r="75" spans="1:6" x14ac:dyDescent="0.35">
      <c r="A75" t="s">
        <v>28</v>
      </c>
      <c r="B75" t="s">
        <v>28</v>
      </c>
      <c r="C75" t="s">
        <v>28</v>
      </c>
      <c r="D75" t="s">
        <v>28</v>
      </c>
      <c r="E75" t="s">
        <v>28</v>
      </c>
      <c r="F75" t="s">
        <v>28</v>
      </c>
    </row>
    <row r="76" spans="1:6" x14ac:dyDescent="0.35">
      <c r="A76" t="s">
        <v>28</v>
      </c>
      <c r="B76" t="s">
        <v>28</v>
      </c>
      <c r="C76" t="s">
        <v>28</v>
      </c>
      <c r="D76" t="s">
        <v>28</v>
      </c>
      <c r="E76" t="s">
        <v>28</v>
      </c>
      <c r="F76" t="s">
        <v>28</v>
      </c>
    </row>
    <row r="77" spans="1:6" x14ac:dyDescent="0.35">
      <c r="A77" t="s">
        <v>28</v>
      </c>
      <c r="B77" t="s">
        <v>28</v>
      </c>
      <c r="C77" t="s">
        <v>28</v>
      </c>
      <c r="D77" t="s">
        <v>28</v>
      </c>
      <c r="E77" t="s">
        <v>28</v>
      </c>
      <c r="F77" t="s">
        <v>45</v>
      </c>
    </row>
    <row r="78" spans="1:6" x14ac:dyDescent="0.35">
      <c r="A78" t="s">
        <v>28</v>
      </c>
      <c r="B78" t="s">
        <v>28</v>
      </c>
      <c r="C78" t="s">
        <v>28</v>
      </c>
      <c r="D78" t="s">
        <v>28</v>
      </c>
      <c r="E78" t="s">
        <v>28</v>
      </c>
      <c r="F78" t="s">
        <v>28</v>
      </c>
    </row>
    <row r="79" spans="1:6" x14ac:dyDescent="0.35">
      <c r="A79" t="s">
        <v>28</v>
      </c>
      <c r="B79" t="s">
        <v>29</v>
      </c>
      <c r="C79" t="s">
        <v>44</v>
      </c>
      <c r="D79" t="s">
        <v>28</v>
      </c>
      <c r="E79" t="s">
        <v>94</v>
      </c>
      <c r="F79" t="s">
        <v>45</v>
      </c>
    </row>
    <row r="80" spans="1:6" x14ac:dyDescent="0.35">
      <c r="A80" t="s">
        <v>28</v>
      </c>
      <c r="B80" t="s">
        <v>44</v>
      </c>
      <c r="C80" t="s">
        <v>284</v>
      </c>
      <c r="D80" t="s">
        <v>103</v>
      </c>
      <c r="E80" t="s">
        <v>28</v>
      </c>
      <c r="F80" t="s">
        <v>28</v>
      </c>
    </row>
    <row r="81" spans="1:6" x14ac:dyDescent="0.35">
      <c r="A81" t="s">
        <v>28</v>
      </c>
      <c r="B81" t="s">
        <v>158</v>
      </c>
      <c r="C81" t="s">
        <v>28</v>
      </c>
      <c r="D81" t="s">
        <v>28</v>
      </c>
      <c r="E81" t="s">
        <v>368</v>
      </c>
      <c r="F81" t="s">
        <v>28</v>
      </c>
    </row>
    <row r="82" spans="1:6" x14ac:dyDescent="0.35">
      <c r="A82" t="s">
        <v>28</v>
      </c>
      <c r="B82" t="s">
        <v>28</v>
      </c>
      <c r="C82" t="s">
        <v>157</v>
      </c>
      <c r="D82" t="s">
        <v>158</v>
      </c>
      <c r="E82" t="s">
        <v>28</v>
      </c>
      <c r="F82" t="s">
        <v>28</v>
      </c>
    </row>
    <row r="83" spans="1:6" x14ac:dyDescent="0.35">
      <c r="A83" t="s">
        <v>28</v>
      </c>
      <c r="B83" t="s">
        <v>28</v>
      </c>
      <c r="C83" t="s">
        <v>28</v>
      </c>
      <c r="D83" t="s">
        <v>28</v>
      </c>
      <c r="E83" t="s">
        <v>173</v>
      </c>
      <c r="F83" t="s">
        <v>28</v>
      </c>
    </row>
    <row r="84" spans="1:6" x14ac:dyDescent="0.35">
      <c r="A84" t="s">
        <v>28</v>
      </c>
      <c r="B84" t="s">
        <v>28</v>
      </c>
      <c r="C84" t="s">
        <v>28</v>
      </c>
      <c r="D84" t="s">
        <v>158</v>
      </c>
      <c r="E84" t="s">
        <v>45</v>
      </c>
      <c r="F84" t="s">
        <v>35</v>
      </c>
    </row>
    <row r="85" spans="1:6" x14ac:dyDescent="0.35">
      <c r="A85" t="s">
        <v>28</v>
      </c>
      <c r="B85" t="s">
        <v>44</v>
      </c>
      <c r="C85" t="s">
        <v>284</v>
      </c>
      <c r="D85" t="s">
        <v>28</v>
      </c>
      <c r="E85" t="s">
        <v>28</v>
      </c>
      <c r="F85" t="s">
        <v>292</v>
      </c>
    </row>
    <row r="86" spans="1:6" x14ac:dyDescent="0.35">
      <c r="A86" t="s">
        <v>28</v>
      </c>
      <c r="B86" t="s">
        <v>60</v>
      </c>
      <c r="C86" t="s">
        <v>157</v>
      </c>
      <c r="D86" t="s">
        <v>173</v>
      </c>
      <c r="E86" t="s">
        <v>45</v>
      </c>
      <c r="F86" t="s">
        <v>292</v>
      </c>
    </row>
    <row r="87" spans="1:6" x14ac:dyDescent="0.35">
      <c r="A87" t="s">
        <v>28</v>
      </c>
      <c r="B87" t="s">
        <v>28</v>
      </c>
      <c r="C87" t="s">
        <v>157</v>
      </c>
      <c r="D87" t="s">
        <v>197</v>
      </c>
      <c r="E87" t="s">
        <v>173</v>
      </c>
      <c r="F87" t="s">
        <v>74</v>
      </c>
    </row>
    <row r="88" spans="1:6" x14ac:dyDescent="0.35">
      <c r="A88" t="s">
        <v>28</v>
      </c>
      <c r="B88" t="s">
        <v>60</v>
      </c>
      <c r="C88" t="s">
        <v>29</v>
      </c>
      <c r="D88" t="s">
        <v>158</v>
      </c>
      <c r="E88" t="s">
        <v>45</v>
      </c>
      <c r="F88" t="s">
        <v>28</v>
      </c>
    </row>
    <row r="89" spans="1:6" x14ac:dyDescent="0.35">
      <c r="A89" t="s">
        <v>28</v>
      </c>
      <c r="B89" t="s">
        <v>28</v>
      </c>
      <c r="C89" t="s">
        <v>60</v>
      </c>
      <c r="D89" t="s">
        <v>30</v>
      </c>
      <c r="E89" t="s">
        <v>30</v>
      </c>
      <c r="F89" t="s">
        <v>61</v>
      </c>
    </row>
    <row r="90" spans="1:6" x14ac:dyDescent="0.35">
      <c r="A90" t="s">
        <v>29</v>
      </c>
      <c r="B90" t="s">
        <v>60</v>
      </c>
      <c r="C90" t="s">
        <v>33</v>
      </c>
      <c r="D90" t="s">
        <v>34</v>
      </c>
      <c r="E90" t="s">
        <v>28</v>
      </c>
      <c r="F90" t="s">
        <v>45</v>
      </c>
    </row>
    <row r="91" spans="1:6" x14ac:dyDescent="0.35">
      <c r="A91" t="s">
        <v>29</v>
      </c>
      <c r="B91" t="s">
        <v>60</v>
      </c>
      <c r="C91" t="s">
        <v>33</v>
      </c>
      <c r="D91" t="s">
        <v>34</v>
      </c>
      <c r="E91" t="s">
        <v>28</v>
      </c>
      <c r="F91" t="s">
        <v>28</v>
      </c>
    </row>
    <row r="92" spans="1:6" x14ac:dyDescent="0.35">
      <c r="A92" t="s">
        <v>28</v>
      </c>
      <c r="B92" t="s">
        <v>28</v>
      </c>
      <c r="C92" t="s">
        <v>28</v>
      </c>
      <c r="D92" t="s">
        <v>28</v>
      </c>
      <c r="E92" t="s">
        <v>103</v>
      </c>
      <c r="F92" t="s">
        <v>28</v>
      </c>
    </row>
    <row r="93" spans="1:6" x14ac:dyDescent="0.35">
      <c r="A93" t="s">
        <v>28</v>
      </c>
      <c r="B93" t="s">
        <v>44</v>
      </c>
      <c r="C93" t="s">
        <v>44</v>
      </c>
      <c r="D93" t="s">
        <v>173</v>
      </c>
      <c r="E93" t="s">
        <v>30</v>
      </c>
      <c r="F93" t="s">
        <v>61</v>
      </c>
    </row>
    <row r="94" spans="1:6" x14ac:dyDescent="0.35">
      <c r="A94" t="s">
        <v>344</v>
      </c>
      <c r="B94" t="s">
        <v>29</v>
      </c>
      <c r="C94" t="s">
        <v>29</v>
      </c>
      <c r="D94" t="s">
        <v>30</v>
      </c>
      <c r="E94" t="s">
        <v>30</v>
      </c>
      <c r="F94" t="s">
        <v>94</v>
      </c>
    </row>
    <row r="95" spans="1:6" x14ac:dyDescent="0.35">
      <c r="A95" t="s">
        <v>28</v>
      </c>
      <c r="B95" t="s">
        <v>29</v>
      </c>
      <c r="C95" t="s">
        <v>33</v>
      </c>
      <c r="D95" t="s">
        <v>30</v>
      </c>
      <c r="E95" t="s">
        <v>94</v>
      </c>
      <c r="F95" t="s">
        <v>94</v>
      </c>
    </row>
    <row r="96" spans="1:6" x14ac:dyDescent="0.35">
      <c r="A96" t="s">
        <v>71</v>
      </c>
      <c r="B96" t="s">
        <v>33</v>
      </c>
      <c r="C96" t="s">
        <v>33</v>
      </c>
      <c r="D96" t="s">
        <v>34</v>
      </c>
      <c r="E96" t="s">
        <v>34</v>
      </c>
      <c r="F96" t="s">
        <v>73</v>
      </c>
    </row>
    <row r="97" spans="1:6" x14ac:dyDescent="0.35">
      <c r="A97" t="s">
        <v>29</v>
      </c>
      <c r="B97" t="s">
        <v>29</v>
      </c>
      <c r="C97" t="s">
        <v>29</v>
      </c>
      <c r="D97" t="s">
        <v>30</v>
      </c>
      <c r="E97" t="s">
        <v>30</v>
      </c>
      <c r="F97" t="s">
        <v>94</v>
      </c>
    </row>
    <row r="98" spans="1:6" x14ac:dyDescent="0.35">
      <c r="A98" t="s">
        <v>344</v>
      </c>
      <c r="B98" t="s">
        <v>29</v>
      </c>
      <c r="C98" t="s">
        <v>206</v>
      </c>
      <c r="D98" t="s">
        <v>30</v>
      </c>
      <c r="E98" t="s">
        <v>173</v>
      </c>
      <c r="F98" t="s">
        <v>94</v>
      </c>
    </row>
    <row r="99" spans="1:6" x14ac:dyDescent="0.35">
      <c r="A99" t="s">
        <v>344</v>
      </c>
      <c r="B99" t="s">
        <v>29</v>
      </c>
      <c r="C99" t="s">
        <v>29</v>
      </c>
      <c r="D99" t="s">
        <v>30</v>
      </c>
      <c r="E99" t="s">
        <v>30</v>
      </c>
      <c r="F99" t="s">
        <v>94</v>
      </c>
    </row>
    <row r="100" spans="1:6" x14ac:dyDescent="0.35">
      <c r="A100" t="s">
        <v>344</v>
      </c>
      <c r="B100" t="s">
        <v>196</v>
      </c>
      <c r="C100" t="s">
        <v>206</v>
      </c>
      <c r="D100" t="s">
        <v>34</v>
      </c>
      <c r="E100" t="s">
        <v>34</v>
      </c>
      <c r="F100" t="s">
        <v>94</v>
      </c>
    </row>
    <row r="101" spans="1:6" x14ac:dyDescent="0.35">
      <c r="A101" t="s">
        <v>29</v>
      </c>
      <c r="B101" t="s">
        <v>29</v>
      </c>
      <c r="C101" t="s">
        <v>29</v>
      </c>
      <c r="D101" t="s">
        <v>30</v>
      </c>
      <c r="E101" t="s">
        <v>30</v>
      </c>
      <c r="F101" t="s">
        <v>94</v>
      </c>
    </row>
    <row r="102" spans="1:6" x14ac:dyDescent="0.35">
      <c r="A102" t="s">
        <v>71</v>
      </c>
      <c r="B102" t="s">
        <v>33</v>
      </c>
      <c r="C102" t="s">
        <v>33</v>
      </c>
      <c r="D102" t="s">
        <v>34</v>
      </c>
      <c r="E102" t="s">
        <v>34</v>
      </c>
      <c r="F102" t="s">
        <v>73</v>
      </c>
    </row>
    <row r="103" spans="1:6" x14ac:dyDescent="0.35">
      <c r="A103" t="s">
        <v>28</v>
      </c>
      <c r="B103" t="s">
        <v>28</v>
      </c>
      <c r="C103" t="s">
        <v>28</v>
      </c>
      <c r="D103" t="s">
        <v>28</v>
      </c>
      <c r="E103" t="s">
        <v>28</v>
      </c>
      <c r="F103" t="s">
        <v>28</v>
      </c>
    </row>
    <row r="104" spans="1:6" x14ac:dyDescent="0.35">
      <c r="A104" t="s">
        <v>71</v>
      </c>
      <c r="B104" t="s">
        <v>33</v>
      </c>
      <c r="C104" t="s">
        <v>33</v>
      </c>
      <c r="D104" t="s">
        <v>34</v>
      </c>
      <c r="E104" t="s">
        <v>34</v>
      </c>
      <c r="F104" t="s">
        <v>73</v>
      </c>
    </row>
    <row r="105" spans="1:6" x14ac:dyDescent="0.35">
      <c r="A105" t="s">
        <v>28</v>
      </c>
      <c r="B105" t="s">
        <v>28</v>
      </c>
      <c r="C105" t="s">
        <v>28</v>
      </c>
      <c r="D105" t="s">
        <v>28</v>
      </c>
      <c r="E105" t="s">
        <v>28</v>
      </c>
      <c r="F105" t="s">
        <v>28</v>
      </c>
    </row>
    <row r="106" spans="1:6" x14ac:dyDescent="0.35">
      <c r="A106" t="s">
        <v>29</v>
      </c>
      <c r="B106" t="s">
        <v>29</v>
      </c>
      <c r="C106" t="s">
        <v>29</v>
      </c>
      <c r="D106" t="s">
        <v>30</v>
      </c>
      <c r="E106" t="s">
        <v>30</v>
      </c>
      <c r="F106" t="s">
        <v>94</v>
      </c>
    </row>
    <row r="107" spans="1:6" x14ac:dyDescent="0.35">
      <c r="A107" t="s">
        <v>344</v>
      </c>
      <c r="B107" t="s">
        <v>196</v>
      </c>
      <c r="C107" t="s">
        <v>206</v>
      </c>
      <c r="D107" t="s">
        <v>30</v>
      </c>
      <c r="E107" t="s">
        <v>30</v>
      </c>
      <c r="F107" t="s">
        <v>94</v>
      </c>
    </row>
    <row r="108" spans="1:6" x14ac:dyDescent="0.35">
      <c r="A108" t="s">
        <v>71</v>
      </c>
      <c r="B108" t="s">
        <v>33</v>
      </c>
      <c r="C108" t="s">
        <v>33</v>
      </c>
      <c r="D108" t="s">
        <v>34</v>
      </c>
      <c r="E108" t="s">
        <v>34</v>
      </c>
      <c r="F108" t="s">
        <v>73</v>
      </c>
    </row>
    <row r="109" spans="1:6" x14ac:dyDescent="0.35">
      <c r="A109" t="s">
        <v>29</v>
      </c>
      <c r="B109" t="s">
        <v>29</v>
      </c>
      <c r="C109" t="s">
        <v>29</v>
      </c>
      <c r="D109" t="s">
        <v>30</v>
      </c>
      <c r="E109" t="s">
        <v>30</v>
      </c>
      <c r="F109" t="s">
        <v>94</v>
      </c>
    </row>
    <row r="110" spans="1:6" x14ac:dyDescent="0.35">
      <c r="A110" t="s">
        <v>71</v>
      </c>
      <c r="B110" t="s">
        <v>33</v>
      </c>
      <c r="C110" t="s">
        <v>33</v>
      </c>
      <c r="D110" t="s">
        <v>34</v>
      </c>
      <c r="E110" t="s">
        <v>34</v>
      </c>
      <c r="F110" t="s">
        <v>73</v>
      </c>
    </row>
    <row r="111" spans="1:6" x14ac:dyDescent="0.35">
      <c r="A111" t="s">
        <v>29</v>
      </c>
      <c r="B111" t="s">
        <v>29</v>
      </c>
      <c r="C111" t="s">
        <v>29</v>
      </c>
      <c r="D111" t="s">
        <v>30</v>
      </c>
      <c r="E111" t="s">
        <v>30</v>
      </c>
      <c r="F111" t="s">
        <v>94</v>
      </c>
    </row>
    <row r="112" spans="1:6" x14ac:dyDescent="0.35">
      <c r="A112" t="s">
        <v>344</v>
      </c>
      <c r="B112" t="s">
        <v>33</v>
      </c>
      <c r="C112" t="s">
        <v>29</v>
      </c>
      <c r="D112" t="s">
        <v>34</v>
      </c>
      <c r="E112" t="s">
        <v>34</v>
      </c>
      <c r="F112" t="s">
        <v>73</v>
      </c>
    </row>
    <row r="113" spans="1:6" x14ac:dyDescent="0.35">
      <c r="A113" t="s">
        <v>33</v>
      </c>
      <c r="B113" t="s">
        <v>33</v>
      </c>
      <c r="C113" t="s">
        <v>33</v>
      </c>
      <c r="D113" t="s">
        <v>34</v>
      </c>
      <c r="E113" t="s">
        <v>34</v>
      </c>
      <c r="F113" t="s">
        <v>74</v>
      </c>
    </row>
    <row r="114" spans="1:6" x14ac:dyDescent="0.35">
      <c r="A114" t="s">
        <v>29</v>
      </c>
      <c r="B114" t="s">
        <v>29</v>
      </c>
      <c r="C114" t="s">
        <v>29</v>
      </c>
      <c r="D114" t="s">
        <v>30</v>
      </c>
      <c r="E114" t="s">
        <v>30</v>
      </c>
      <c r="F114" t="s">
        <v>61</v>
      </c>
    </row>
    <row r="115" spans="1:6" x14ac:dyDescent="0.35">
      <c r="A115" t="s">
        <v>29</v>
      </c>
      <c r="B115" t="s">
        <v>29</v>
      </c>
      <c r="C115" t="s">
        <v>29</v>
      </c>
      <c r="D115" t="s">
        <v>30</v>
      </c>
      <c r="E115" t="s">
        <v>30</v>
      </c>
      <c r="F115" t="s">
        <v>61</v>
      </c>
    </row>
    <row r="116" spans="1:6" x14ac:dyDescent="0.35">
      <c r="A116" t="s">
        <v>28</v>
      </c>
      <c r="B116" t="s">
        <v>60</v>
      </c>
      <c r="C116" t="s">
        <v>284</v>
      </c>
      <c r="D116" t="s">
        <v>197</v>
      </c>
      <c r="E116" t="s">
        <v>173</v>
      </c>
      <c r="F116" t="s">
        <v>368</v>
      </c>
    </row>
    <row r="117" spans="1:6" x14ac:dyDescent="0.35">
      <c r="A117" t="s">
        <v>28</v>
      </c>
      <c r="B117" t="s">
        <v>60</v>
      </c>
      <c r="C117" t="s">
        <v>28</v>
      </c>
      <c r="D117" t="s">
        <v>30</v>
      </c>
      <c r="E117" t="s">
        <v>28</v>
      </c>
      <c r="F117" t="s">
        <v>94</v>
      </c>
    </row>
    <row r="118" spans="1:6" x14ac:dyDescent="0.35">
      <c r="A118" t="s">
        <v>28</v>
      </c>
      <c r="B118" t="s">
        <v>60</v>
      </c>
      <c r="C118" t="s">
        <v>60</v>
      </c>
      <c r="D118" t="s">
        <v>34</v>
      </c>
      <c r="E118" t="s">
        <v>30</v>
      </c>
      <c r="F118" t="s">
        <v>45</v>
      </c>
    </row>
    <row r="119" spans="1:6" x14ac:dyDescent="0.35">
      <c r="A119" t="s">
        <v>28</v>
      </c>
      <c r="B119" t="s">
        <v>29</v>
      </c>
      <c r="C119" t="s">
        <v>29</v>
      </c>
      <c r="D119" t="s">
        <v>34</v>
      </c>
      <c r="E119" t="s">
        <v>173</v>
      </c>
      <c r="F119" t="s">
        <v>45</v>
      </c>
    </row>
    <row r="120" spans="1:6" x14ac:dyDescent="0.35">
      <c r="A120" t="s">
        <v>449</v>
      </c>
      <c r="B120" t="s">
        <v>29</v>
      </c>
      <c r="C120" t="s">
        <v>44</v>
      </c>
      <c r="D120" t="s">
        <v>173</v>
      </c>
      <c r="E120" t="s">
        <v>34</v>
      </c>
      <c r="F120" t="s">
        <v>28</v>
      </c>
    </row>
    <row r="121" spans="1:6" x14ac:dyDescent="0.35">
      <c r="A121" t="s">
        <v>60</v>
      </c>
      <c r="B121" t="s">
        <v>158</v>
      </c>
      <c r="C121" t="s">
        <v>29</v>
      </c>
      <c r="D121" t="s">
        <v>34</v>
      </c>
      <c r="E121" t="s">
        <v>103</v>
      </c>
      <c r="F121" t="s">
        <v>35</v>
      </c>
    </row>
    <row r="122" spans="1:6" x14ac:dyDescent="0.35">
      <c r="A122" t="s">
        <v>29</v>
      </c>
      <c r="B122" t="s">
        <v>29</v>
      </c>
      <c r="C122" t="s">
        <v>29</v>
      </c>
      <c r="D122" t="s">
        <v>34</v>
      </c>
      <c r="E122" t="s">
        <v>34</v>
      </c>
      <c r="F122" t="s">
        <v>45</v>
      </c>
    </row>
    <row r="123" spans="1:6" x14ac:dyDescent="0.35">
      <c r="A123" t="s">
        <v>449</v>
      </c>
      <c r="B123" t="s">
        <v>44</v>
      </c>
      <c r="C123" t="s">
        <v>29</v>
      </c>
      <c r="D123" t="s">
        <v>103</v>
      </c>
      <c r="E123" t="s">
        <v>30</v>
      </c>
      <c r="F123" t="s">
        <v>35</v>
      </c>
    </row>
    <row r="124" spans="1:6" x14ac:dyDescent="0.35">
      <c r="A124" t="s">
        <v>28</v>
      </c>
      <c r="B124" t="s">
        <v>29</v>
      </c>
      <c r="C124" t="s">
        <v>29</v>
      </c>
      <c r="D124" t="s">
        <v>30</v>
      </c>
      <c r="E124" t="s">
        <v>173</v>
      </c>
      <c r="F124" t="s">
        <v>28</v>
      </c>
    </row>
    <row r="125" spans="1:6" x14ac:dyDescent="0.35">
      <c r="A125" t="s">
        <v>28</v>
      </c>
      <c r="B125" t="s">
        <v>60</v>
      </c>
      <c r="C125" t="s">
        <v>60</v>
      </c>
      <c r="D125" t="s">
        <v>30</v>
      </c>
      <c r="E125" t="s">
        <v>34</v>
      </c>
      <c r="F125" t="s">
        <v>61</v>
      </c>
    </row>
    <row r="126" spans="1:6" x14ac:dyDescent="0.35">
      <c r="A126" t="s">
        <v>28</v>
      </c>
      <c r="B126" t="s">
        <v>33</v>
      </c>
      <c r="C126" t="s">
        <v>33</v>
      </c>
      <c r="D126" t="s">
        <v>34</v>
      </c>
      <c r="E126" t="s">
        <v>34</v>
      </c>
      <c r="F126" t="s">
        <v>45</v>
      </c>
    </row>
    <row r="127" spans="1:6" x14ac:dyDescent="0.35">
      <c r="A127" t="s">
        <v>28</v>
      </c>
      <c r="B127" t="s">
        <v>29</v>
      </c>
      <c r="C127" t="s">
        <v>29</v>
      </c>
      <c r="D127" t="s">
        <v>30</v>
      </c>
      <c r="E127" t="s">
        <v>30</v>
      </c>
      <c r="F127" t="s">
        <v>35</v>
      </c>
    </row>
    <row r="128" spans="1:6" x14ac:dyDescent="0.35">
      <c r="A128" t="s">
        <v>60</v>
      </c>
      <c r="B128" t="s">
        <v>29</v>
      </c>
      <c r="C128" t="s">
        <v>29</v>
      </c>
      <c r="D128" t="s">
        <v>173</v>
      </c>
      <c r="E128" t="s">
        <v>173</v>
      </c>
      <c r="F128" t="s">
        <v>45</v>
      </c>
    </row>
    <row r="129" spans="1:6" x14ac:dyDescent="0.35">
      <c r="A129" t="s">
        <v>28</v>
      </c>
      <c r="B129" t="s">
        <v>60</v>
      </c>
      <c r="C129" t="s">
        <v>60</v>
      </c>
      <c r="D129" t="s">
        <v>173</v>
      </c>
      <c r="E129" t="s">
        <v>173</v>
      </c>
      <c r="F129" t="s">
        <v>28</v>
      </c>
    </row>
    <row r="130" spans="1:6" x14ac:dyDescent="0.35">
      <c r="A130" t="s">
        <v>344</v>
      </c>
      <c r="B130" t="s">
        <v>29</v>
      </c>
      <c r="C130" t="s">
        <v>60</v>
      </c>
      <c r="D130" t="s">
        <v>34</v>
      </c>
      <c r="E130" t="s">
        <v>34</v>
      </c>
      <c r="F130" t="s">
        <v>28</v>
      </c>
    </row>
    <row r="131" spans="1:6" x14ac:dyDescent="0.35">
      <c r="A131" t="s">
        <v>344</v>
      </c>
      <c r="B131" t="s">
        <v>44</v>
      </c>
      <c r="C131" t="s">
        <v>44</v>
      </c>
      <c r="D131" t="s">
        <v>30</v>
      </c>
      <c r="E131" t="s">
        <v>30</v>
      </c>
      <c r="F131" t="s">
        <v>292</v>
      </c>
    </row>
    <row r="132" spans="1:6" x14ac:dyDescent="0.35">
      <c r="A132" t="s">
        <v>28</v>
      </c>
      <c r="B132" t="s">
        <v>44</v>
      </c>
      <c r="C132" t="s">
        <v>29</v>
      </c>
      <c r="D132" t="s">
        <v>30</v>
      </c>
      <c r="E132" t="s">
        <v>30</v>
      </c>
      <c r="F132" t="s">
        <v>35</v>
      </c>
    </row>
    <row r="133" spans="1:6" x14ac:dyDescent="0.35">
      <c r="A133" t="s">
        <v>28</v>
      </c>
      <c r="B133" t="s">
        <v>60</v>
      </c>
      <c r="C133" t="s">
        <v>60</v>
      </c>
      <c r="D133" t="s">
        <v>173</v>
      </c>
      <c r="E133" t="s">
        <v>173</v>
      </c>
      <c r="F133" t="s">
        <v>28</v>
      </c>
    </row>
    <row r="134" spans="1:6" x14ac:dyDescent="0.35">
      <c r="A134" t="s">
        <v>28</v>
      </c>
      <c r="B134" t="s">
        <v>29</v>
      </c>
      <c r="C134" t="s">
        <v>29</v>
      </c>
      <c r="D134" t="s">
        <v>34</v>
      </c>
      <c r="E134" t="s">
        <v>30</v>
      </c>
      <c r="F134" t="s">
        <v>45</v>
      </c>
    </row>
    <row r="135" spans="1:6" x14ac:dyDescent="0.35">
      <c r="A135" t="s">
        <v>28</v>
      </c>
      <c r="B135" t="s">
        <v>33</v>
      </c>
      <c r="C135" t="s">
        <v>33</v>
      </c>
      <c r="D135" t="s">
        <v>34</v>
      </c>
      <c r="E135" t="s">
        <v>34</v>
      </c>
      <c r="F135" t="s">
        <v>45</v>
      </c>
    </row>
    <row r="136" spans="1:6" x14ac:dyDescent="0.35">
      <c r="A136" t="s">
        <v>28</v>
      </c>
      <c r="B136" t="s">
        <v>29</v>
      </c>
      <c r="C136" t="s">
        <v>33</v>
      </c>
      <c r="D136" t="s">
        <v>34</v>
      </c>
      <c r="E136" t="s">
        <v>30</v>
      </c>
      <c r="F136" t="s">
        <v>45</v>
      </c>
    </row>
    <row r="137" spans="1:6" x14ac:dyDescent="0.35">
      <c r="A137" t="s">
        <v>28</v>
      </c>
      <c r="B137" t="s">
        <v>60</v>
      </c>
      <c r="C137" t="s">
        <v>28</v>
      </c>
      <c r="D137" t="s">
        <v>173</v>
      </c>
      <c r="E137" t="s">
        <v>28</v>
      </c>
      <c r="F137" t="s">
        <v>368</v>
      </c>
    </row>
    <row r="138" spans="1:6" x14ac:dyDescent="0.35">
      <c r="A138" t="s">
        <v>29</v>
      </c>
      <c r="B138" t="s">
        <v>29</v>
      </c>
      <c r="C138" t="s">
        <v>29</v>
      </c>
      <c r="D138" t="s">
        <v>30</v>
      </c>
      <c r="E138" t="s">
        <v>30</v>
      </c>
      <c r="F138" t="s">
        <v>94</v>
      </c>
    </row>
    <row r="139" spans="1:6" x14ac:dyDescent="0.35">
      <c r="A139" t="s">
        <v>71</v>
      </c>
      <c r="B139" t="s">
        <v>33</v>
      </c>
      <c r="C139" t="s">
        <v>33</v>
      </c>
      <c r="D139" t="s">
        <v>34</v>
      </c>
      <c r="E139" t="s">
        <v>34</v>
      </c>
      <c r="F139" t="s">
        <v>94</v>
      </c>
    </row>
    <row r="140" spans="1:6" x14ac:dyDescent="0.35">
      <c r="A140" t="s">
        <v>344</v>
      </c>
      <c r="B140" t="s">
        <v>29</v>
      </c>
      <c r="C140" t="s">
        <v>29</v>
      </c>
      <c r="D140" t="s">
        <v>30</v>
      </c>
      <c r="E140" t="s">
        <v>30</v>
      </c>
      <c r="F140" t="s">
        <v>94</v>
      </c>
    </row>
    <row r="141" spans="1:6" x14ac:dyDescent="0.35">
      <c r="A141" t="s">
        <v>29</v>
      </c>
      <c r="B141" t="s">
        <v>29</v>
      </c>
      <c r="C141" t="s">
        <v>29</v>
      </c>
      <c r="D141" t="s">
        <v>30</v>
      </c>
      <c r="E141" t="s">
        <v>30</v>
      </c>
      <c r="F141" t="s">
        <v>61</v>
      </c>
    </row>
    <row r="142" spans="1:6" x14ac:dyDescent="0.35">
      <c r="A142" t="s">
        <v>33</v>
      </c>
      <c r="B142" t="s">
        <v>33</v>
      </c>
      <c r="C142" t="s">
        <v>33</v>
      </c>
      <c r="D142" t="s">
        <v>34</v>
      </c>
      <c r="E142" t="s">
        <v>34</v>
      </c>
      <c r="F142" t="s">
        <v>73</v>
      </c>
    </row>
    <row r="143" spans="1:6" x14ac:dyDescent="0.35">
      <c r="A143" t="s">
        <v>33</v>
      </c>
      <c r="B143" t="s">
        <v>33</v>
      </c>
      <c r="C143" t="s">
        <v>33</v>
      </c>
      <c r="D143" t="s">
        <v>34</v>
      </c>
      <c r="E143" t="s">
        <v>34</v>
      </c>
      <c r="F143" t="s">
        <v>73</v>
      </c>
    </row>
    <row r="144" spans="1:6" x14ac:dyDescent="0.35">
      <c r="A144" t="s">
        <v>33</v>
      </c>
      <c r="B144" t="s">
        <v>28</v>
      </c>
      <c r="C144" t="s">
        <v>29</v>
      </c>
      <c r="D144" t="s">
        <v>30</v>
      </c>
      <c r="E144" t="s">
        <v>103</v>
      </c>
      <c r="F144" t="s">
        <v>74</v>
      </c>
    </row>
    <row r="145" spans="1:6" x14ac:dyDescent="0.35">
      <c r="A145" t="s">
        <v>29</v>
      </c>
      <c r="B145" t="s">
        <v>29</v>
      </c>
      <c r="C145" t="s">
        <v>29</v>
      </c>
      <c r="D145" t="s">
        <v>30</v>
      </c>
      <c r="E145" t="s">
        <v>30</v>
      </c>
      <c r="F145" t="s">
        <v>94</v>
      </c>
    </row>
    <row r="146" spans="1:6" x14ac:dyDescent="0.35">
      <c r="A146" t="s">
        <v>33</v>
      </c>
      <c r="B146" t="s">
        <v>33</v>
      </c>
      <c r="C146" t="s">
        <v>33</v>
      </c>
      <c r="D146" t="s">
        <v>34</v>
      </c>
      <c r="E146" t="s">
        <v>34</v>
      </c>
      <c r="F146" t="s">
        <v>74</v>
      </c>
    </row>
    <row r="147" spans="1:6" x14ac:dyDescent="0.35">
      <c r="A147" t="s">
        <v>29</v>
      </c>
      <c r="B147" t="s">
        <v>29</v>
      </c>
      <c r="C147" t="s">
        <v>29</v>
      </c>
      <c r="D147" t="s">
        <v>30</v>
      </c>
      <c r="E147" t="s">
        <v>30</v>
      </c>
      <c r="F147" t="s">
        <v>94</v>
      </c>
    </row>
    <row r="148" spans="1:6" x14ac:dyDescent="0.35">
      <c r="A148" t="s">
        <v>71</v>
      </c>
      <c r="B148" t="s">
        <v>33</v>
      </c>
      <c r="C148" t="s">
        <v>284</v>
      </c>
      <c r="D148" t="s">
        <v>34</v>
      </c>
      <c r="E148" t="s">
        <v>34</v>
      </c>
      <c r="F148" t="s">
        <v>74</v>
      </c>
    </row>
    <row r="149" spans="1:6" x14ac:dyDescent="0.35">
      <c r="A149" t="s">
        <v>33</v>
      </c>
      <c r="B149" t="s">
        <v>33</v>
      </c>
      <c r="C149" t="s">
        <v>33</v>
      </c>
      <c r="D149" t="s">
        <v>30</v>
      </c>
      <c r="E149" t="s">
        <v>30</v>
      </c>
      <c r="F149" t="s">
        <v>61</v>
      </c>
    </row>
    <row r="150" spans="1:6" x14ac:dyDescent="0.35">
      <c r="A150" t="s">
        <v>33</v>
      </c>
      <c r="B150" t="s">
        <v>33</v>
      </c>
      <c r="C150" t="s">
        <v>33</v>
      </c>
      <c r="D150" t="s">
        <v>34</v>
      </c>
      <c r="E150" t="s">
        <v>34</v>
      </c>
      <c r="F150" t="s">
        <v>74</v>
      </c>
    </row>
    <row r="151" spans="1:6" x14ac:dyDescent="0.35">
      <c r="A151" t="s">
        <v>29</v>
      </c>
      <c r="B151" t="s">
        <v>29</v>
      </c>
      <c r="C151" t="s">
        <v>29</v>
      </c>
      <c r="D151" t="s">
        <v>30</v>
      </c>
      <c r="E151" t="s">
        <v>30</v>
      </c>
      <c r="F151" t="s">
        <v>94</v>
      </c>
    </row>
    <row r="152" spans="1:6" x14ac:dyDescent="0.35">
      <c r="A152" t="s">
        <v>33</v>
      </c>
      <c r="B152" t="s">
        <v>33</v>
      </c>
      <c r="C152" t="s">
        <v>33</v>
      </c>
      <c r="D152" t="s">
        <v>34</v>
      </c>
      <c r="E152" t="s">
        <v>34</v>
      </c>
      <c r="F152" t="s">
        <v>73</v>
      </c>
    </row>
    <row r="153" spans="1:6" x14ac:dyDescent="0.35">
      <c r="A153" t="s">
        <v>29</v>
      </c>
      <c r="B153" t="s">
        <v>29</v>
      </c>
      <c r="C153" t="s">
        <v>29</v>
      </c>
      <c r="D153" t="s">
        <v>30</v>
      </c>
      <c r="E153" t="s">
        <v>30</v>
      </c>
      <c r="F153" t="s">
        <v>61</v>
      </c>
    </row>
    <row r="154" spans="1:6" x14ac:dyDescent="0.35">
      <c r="A154" t="s">
        <v>29</v>
      </c>
      <c r="B154" t="s">
        <v>29</v>
      </c>
      <c r="C154" t="s">
        <v>29</v>
      </c>
      <c r="D154" t="s">
        <v>30</v>
      </c>
      <c r="E154" t="s">
        <v>30</v>
      </c>
      <c r="F154" t="s">
        <v>61</v>
      </c>
    </row>
    <row r="155" spans="1:6" x14ac:dyDescent="0.35">
      <c r="A155" t="s">
        <v>33</v>
      </c>
      <c r="B155" t="s">
        <v>33</v>
      </c>
      <c r="C155" t="s">
        <v>33</v>
      </c>
      <c r="D155" t="s">
        <v>34</v>
      </c>
      <c r="E155" t="s">
        <v>34</v>
      </c>
      <c r="F155" t="s">
        <v>74</v>
      </c>
    </row>
    <row r="156" spans="1:6" x14ac:dyDescent="0.35">
      <c r="A156" t="s">
        <v>33</v>
      </c>
      <c r="B156" t="s">
        <v>33</v>
      </c>
      <c r="C156" t="s">
        <v>33</v>
      </c>
      <c r="D156" t="s">
        <v>34</v>
      </c>
      <c r="E156" t="s">
        <v>34</v>
      </c>
      <c r="F156" t="s">
        <v>73</v>
      </c>
    </row>
    <row r="157" spans="1:6" x14ac:dyDescent="0.35">
      <c r="A157" t="s">
        <v>29</v>
      </c>
      <c r="B157" t="s">
        <v>29</v>
      </c>
      <c r="C157" t="s">
        <v>29</v>
      </c>
      <c r="D157" t="s">
        <v>30</v>
      </c>
      <c r="E157" t="s">
        <v>30</v>
      </c>
      <c r="F157" t="s">
        <v>94</v>
      </c>
    </row>
    <row r="158" spans="1:6" x14ac:dyDescent="0.35">
      <c r="A158" t="s">
        <v>29</v>
      </c>
      <c r="B158" t="s">
        <v>29</v>
      </c>
      <c r="C158" t="s">
        <v>29</v>
      </c>
      <c r="D158" t="s">
        <v>30</v>
      </c>
      <c r="E158" t="s">
        <v>30</v>
      </c>
      <c r="F158" t="s">
        <v>61</v>
      </c>
    </row>
    <row r="159" spans="1:6" x14ac:dyDescent="0.35">
      <c r="A159" t="s">
        <v>33</v>
      </c>
      <c r="B159" t="s">
        <v>33</v>
      </c>
      <c r="C159" t="s">
        <v>33</v>
      </c>
      <c r="D159" t="s">
        <v>34</v>
      </c>
      <c r="E159" t="s">
        <v>34</v>
      </c>
      <c r="F159" t="s">
        <v>74</v>
      </c>
    </row>
    <row r="160" spans="1:6" x14ac:dyDescent="0.35">
      <c r="A160" t="s">
        <v>29</v>
      </c>
      <c r="B160" t="s">
        <v>29</v>
      </c>
      <c r="C160" t="s">
        <v>29</v>
      </c>
      <c r="D160" t="s">
        <v>30</v>
      </c>
      <c r="E160" t="s">
        <v>30</v>
      </c>
      <c r="F160" t="s">
        <v>61</v>
      </c>
    </row>
    <row r="161" spans="1:6" x14ac:dyDescent="0.35">
      <c r="A161" t="s">
        <v>33</v>
      </c>
      <c r="B161" t="s">
        <v>33</v>
      </c>
      <c r="C161" t="s">
        <v>33</v>
      </c>
      <c r="D161" t="s">
        <v>34</v>
      </c>
      <c r="E161" t="s">
        <v>34</v>
      </c>
      <c r="F161" t="s">
        <v>74</v>
      </c>
    </row>
    <row r="162" spans="1:6" x14ac:dyDescent="0.35">
      <c r="A162" t="s">
        <v>29</v>
      </c>
      <c r="B162" t="s">
        <v>29</v>
      </c>
      <c r="C162" t="s">
        <v>29</v>
      </c>
      <c r="D162" t="s">
        <v>30</v>
      </c>
      <c r="E162" t="s">
        <v>30</v>
      </c>
      <c r="F162" t="s">
        <v>61</v>
      </c>
    </row>
    <row r="163" spans="1:6" x14ac:dyDescent="0.35">
      <c r="A163" t="s">
        <v>44</v>
      </c>
      <c r="B163" t="s">
        <v>60</v>
      </c>
      <c r="C163" t="s">
        <v>44</v>
      </c>
      <c r="D163" t="s">
        <v>30</v>
      </c>
      <c r="E163" t="s">
        <v>103</v>
      </c>
      <c r="F163" t="s">
        <v>28</v>
      </c>
    </row>
    <row r="164" spans="1:6" x14ac:dyDescent="0.35">
      <c r="A164" t="s">
        <v>28</v>
      </c>
      <c r="B164" t="s">
        <v>44</v>
      </c>
      <c r="C164" t="s">
        <v>29</v>
      </c>
      <c r="D164" t="s">
        <v>30</v>
      </c>
      <c r="E164" t="s">
        <v>34</v>
      </c>
      <c r="F164" t="s">
        <v>35</v>
      </c>
    </row>
    <row r="165" spans="1:6" x14ac:dyDescent="0.35">
      <c r="A165" t="s">
        <v>29</v>
      </c>
      <c r="B165" t="s">
        <v>29</v>
      </c>
      <c r="C165" t="s">
        <v>29</v>
      </c>
      <c r="D165" t="s">
        <v>30</v>
      </c>
      <c r="E165" t="s">
        <v>30</v>
      </c>
      <c r="F165" t="s">
        <v>61</v>
      </c>
    </row>
    <row r="166" spans="1:6" x14ac:dyDescent="0.35">
      <c r="A166" t="s">
        <v>44</v>
      </c>
      <c r="B166" t="s">
        <v>60</v>
      </c>
      <c r="C166" t="s">
        <v>60</v>
      </c>
      <c r="D166" t="s">
        <v>30</v>
      </c>
      <c r="E166" t="s">
        <v>173</v>
      </c>
      <c r="F166" t="s">
        <v>292</v>
      </c>
    </row>
    <row r="167" spans="1:6" x14ac:dyDescent="0.35">
      <c r="A167" t="s">
        <v>28</v>
      </c>
      <c r="B167" t="s">
        <v>60</v>
      </c>
      <c r="C167" t="s">
        <v>60</v>
      </c>
      <c r="D167" t="s">
        <v>34</v>
      </c>
      <c r="E167" t="s">
        <v>34</v>
      </c>
      <c r="F167" t="s">
        <v>28</v>
      </c>
    </row>
    <row r="168" spans="1:6" x14ac:dyDescent="0.35">
      <c r="A168" t="s">
        <v>33</v>
      </c>
      <c r="B168" t="s">
        <v>33</v>
      </c>
      <c r="C168" t="s">
        <v>33</v>
      </c>
      <c r="D168" t="s">
        <v>34</v>
      </c>
      <c r="E168" t="s">
        <v>34</v>
      </c>
      <c r="F168" t="s">
        <v>74</v>
      </c>
    </row>
    <row r="169" spans="1:6" x14ac:dyDescent="0.35">
      <c r="A169" t="s">
        <v>344</v>
      </c>
      <c r="B169" t="s">
        <v>28</v>
      </c>
      <c r="C169" t="s">
        <v>60</v>
      </c>
      <c r="D169" t="s">
        <v>30</v>
      </c>
      <c r="E169" t="s">
        <v>34</v>
      </c>
      <c r="F169" t="s">
        <v>45</v>
      </c>
    </row>
    <row r="170" spans="1:6" x14ac:dyDescent="0.35">
      <c r="A170" t="s">
        <v>344</v>
      </c>
      <c r="B170" t="s">
        <v>196</v>
      </c>
      <c r="C170" t="s">
        <v>206</v>
      </c>
      <c r="D170" t="s">
        <v>30</v>
      </c>
      <c r="E170" t="s">
        <v>94</v>
      </c>
      <c r="F170" t="s">
        <v>94</v>
      </c>
    </row>
    <row r="171" spans="1:6" x14ac:dyDescent="0.35">
      <c r="A171" t="s">
        <v>344</v>
      </c>
      <c r="B171" t="s">
        <v>29</v>
      </c>
      <c r="C171" t="s">
        <v>29</v>
      </c>
      <c r="D171" t="s">
        <v>30</v>
      </c>
      <c r="E171" t="s">
        <v>30</v>
      </c>
      <c r="F171" t="s">
        <v>94</v>
      </c>
    </row>
    <row r="172" spans="1:6" x14ac:dyDescent="0.35">
      <c r="A172" t="s">
        <v>60</v>
      </c>
      <c r="B172" t="s">
        <v>60</v>
      </c>
      <c r="C172" t="s">
        <v>60</v>
      </c>
      <c r="D172" t="s">
        <v>173</v>
      </c>
      <c r="E172" t="s">
        <v>173</v>
      </c>
      <c r="F172" t="s">
        <v>368</v>
      </c>
    </row>
    <row r="173" spans="1:6" x14ac:dyDescent="0.35">
      <c r="A173" t="s">
        <v>71</v>
      </c>
      <c r="B173" t="s">
        <v>33</v>
      </c>
      <c r="C173" t="s">
        <v>73</v>
      </c>
      <c r="D173" t="s">
        <v>34</v>
      </c>
      <c r="E173" t="s">
        <v>34</v>
      </c>
      <c r="F173" t="s">
        <v>73</v>
      </c>
    </row>
    <row r="174" spans="1:6" x14ac:dyDescent="0.35">
      <c r="A174" t="s">
        <v>28</v>
      </c>
      <c r="B174" t="s">
        <v>28</v>
      </c>
      <c r="C174" t="s">
        <v>28</v>
      </c>
      <c r="D174" t="s">
        <v>28</v>
      </c>
      <c r="E174" t="s">
        <v>28</v>
      </c>
      <c r="F174" t="s">
        <v>28</v>
      </c>
    </row>
    <row r="175" spans="1:6" x14ac:dyDescent="0.35">
      <c r="A175" t="s">
        <v>71</v>
      </c>
      <c r="B175" t="s">
        <v>33</v>
      </c>
      <c r="C175" t="s">
        <v>73</v>
      </c>
      <c r="D175" t="s">
        <v>34</v>
      </c>
      <c r="E175" t="s">
        <v>34</v>
      </c>
      <c r="F175" t="s">
        <v>94</v>
      </c>
    </row>
    <row r="176" spans="1:6" x14ac:dyDescent="0.35">
      <c r="A176" t="s">
        <v>28</v>
      </c>
      <c r="B176" t="s">
        <v>28</v>
      </c>
      <c r="C176" t="s">
        <v>28</v>
      </c>
      <c r="D176" t="s">
        <v>28</v>
      </c>
      <c r="E176" t="s">
        <v>28</v>
      </c>
      <c r="F176" t="s">
        <v>28</v>
      </c>
    </row>
    <row r="177" spans="1:6" x14ac:dyDescent="0.35">
      <c r="A177" t="s">
        <v>28</v>
      </c>
      <c r="B177" t="s">
        <v>28</v>
      </c>
      <c r="C177" t="s">
        <v>28</v>
      </c>
      <c r="D177" t="s">
        <v>28</v>
      </c>
      <c r="E177" t="s">
        <v>28</v>
      </c>
      <c r="F177" t="s">
        <v>28</v>
      </c>
    </row>
    <row r="178" spans="1:6" x14ac:dyDescent="0.35">
      <c r="A178" t="s">
        <v>71</v>
      </c>
      <c r="B178" t="s">
        <v>72</v>
      </c>
      <c r="C178" t="s">
        <v>33</v>
      </c>
      <c r="D178" t="s">
        <v>34</v>
      </c>
      <c r="E178" t="s">
        <v>34</v>
      </c>
      <c r="F178" t="s">
        <v>74</v>
      </c>
    </row>
    <row r="179" spans="1:6" x14ac:dyDescent="0.35">
      <c r="A179" t="s">
        <v>28</v>
      </c>
      <c r="B179" t="s">
        <v>28</v>
      </c>
      <c r="C179" t="s">
        <v>28</v>
      </c>
      <c r="D179" t="s">
        <v>28</v>
      </c>
      <c r="E179" t="s">
        <v>28</v>
      </c>
      <c r="F179" t="s">
        <v>28</v>
      </c>
    </row>
    <row r="180" spans="1:6" x14ac:dyDescent="0.35">
      <c r="A180" t="s">
        <v>29</v>
      </c>
      <c r="B180" t="s">
        <v>29</v>
      </c>
      <c r="C180" t="s">
        <v>29</v>
      </c>
      <c r="D180" t="s">
        <v>30</v>
      </c>
      <c r="E180" t="s">
        <v>30</v>
      </c>
      <c r="F180" t="s">
        <v>61</v>
      </c>
    </row>
    <row r="181" spans="1:6" x14ac:dyDescent="0.35">
      <c r="A181" t="s">
        <v>28</v>
      </c>
      <c r="B181" t="s">
        <v>28</v>
      </c>
      <c r="C181" t="s">
        <v>28</v>
      </c>
      <c r="D181" t="s">
        <v>28</v>
      </c>
      <c r="E181" t="s">
        <v>28</v>
      </c>
      <c r="F181" t="s">
        <v>28</v>
      </c>
    </row>
    <row r="182" spans="1:6" x14ac:dyDescent="0.35">
      <c r="A182" t="s">
        <v>28</v>
      </c>
      <c r="B182" t="s">
        <v>28</v>
      </c>
      <c r="C182" t="s">
        <v>28</v>
      </c>
      <c r="D182" t="s">
        <v>28</v>
      </c>
      <c r="E182" t="s">
        <v>28</v>
      </c>
      <c r="F182" t="s">
        <v>28</v>
      </c>
    </row>
    <row r="183" spans="1:6" x14ac:dyDescent="0.35">
      <c r="A183" t="s">
        <v>71</v>
      </c>
      <c r="B183" t="s">
        <v>33</v>
      </c>
      <c r="C183" t="s">
        <v>33</v>
      </c>
      <c r="D183" t="s">
        <v>34</v>
      </c>
      <c r="E183" t="s">
        <v>34</v>
      </c>
      <c r="F183" t="s">
        <v>73</v>
      </c>
    </row>
    <row r="184" spans="1:6" x14ac:dyDescent="0.35">
      <c r="A184" t="s">
        <v>29</v>
      </c>
      <c r="B184" t="s">
        <v>29</v>
      </c>
      <c r="C184" t="s">
        <v>29</v>
      </c>
      <c r="D184" t="s">
        <v>30</v>
      </c>
      <c r="E184" t="s">
        <v>30</v>
      </c>
      <c r="F184" t="s">
        <v>61</v>
      </c>
    </row>
    <row r="185" spans="1:6" x14ac:dyDescent="0.35">
      <c r="A185" t="s">
        <v>28</v>
      </c>
      <c r="B185" t="s">
        <v>28</v>
      </c>
      <c r="C185" t="s">
        <v>28</v>
      </c>
      <c r="D185" t="s">
        <v>28</v>
      </c>
      <c r="E185" t="s">
        <v>28</v>
      </c>
      <c r="F185" t="s">
        <v>28</v>
      </c>
    </row>
    <row r="186" spans="1:6" x14ac:dyDescent="0.35">
      <c r="A186" t="s">
        <v>28</v>
      </c>
      <c r="B186" t="s">
        <v>28</v>
      </c>
      <c r="C186" t="s">
        <v>157</v>
      </c>
      <c r="D186" t="s">
        <v>103</v>
      </c>
      <c r="E186" t="s">
        <v>28</v>
      </c>
      <c r="F186" t="s">
        <v>45</v>
      </c>
    </row>
    <row r="187" spans="1:6" x14ac:dyDescent="0.35">
      <c r="A187" t="s">
        <v>71</v>
      </c>
      <c r="B187" t="s">
        <v>196</v>
      </c>
      <c r="C187" t="s">
        <v>28</v>
      </c>
      <c r="D187" t="s">
        <v>158</v>
      </c>
      <c r="E187" t="s">
        <v>28</v>
      </c>
      <c r="F187" t="s">
        <v>28</v>
      </c>
    </row>
    <row r="188" spans="1:6" x14ac:dyDescent="0.35">
      <c r="A188" t="s">
        <v>28</v>
      </c>
      <c r="B188" t="s">
        <v>60</v>
      </c>
      <c r="C188" t="s">
        <v>206</v>
      </c>
      <c r="D188" t="s">
        <v>173</v>
      </c>
      <c r="E188" t="s">
        <v>173</v>
      </c>
      <c r="F188" t="s">
        <v>28</v>
      </c>
    </row>
    <row r="189" spans="1:6" x14ac:dyDescent="0.35">
      <c r="A189" t="s">
        <v>28</v>
      </c>
      <c r="B189" t="s">
        <v>60</v>
      </c>
      <c r="C189" t="s">
        <v>29</v>
      </c>
      <c r="D189" t="s">
        <v>173</v>
      </c>
      <c r="E189" t="s">
        <v>173</v>
      </c>
      <c r="F189" t="s">
        <v>28</v>
      </c>
    </row>
    <row r="190" spans="1:6" x14ac:dyDescent="0.35">
      <c r="A190" t="s">
        <v>28</v>
      </c>
      <c r="B190" t="s">
        <v>60</v>
      </c>
      <c r="C190" t="s">
        <v>28</v>
      </c>
      <c r="D190" t="s">
        <v>103</v>
      </c>
      <c r="E190" t="s">
        <v>28</v>
      </c>
      <c r="F190" t="s">
        <v>28</v>
      </c>
    </row>
    <row r="191" spans="1:6" x14ac:dyDescent="0.35">
      <c r="A191" t="s">
        <v>344</v>
      </c>
      <c r="B191" t="s">
        <v>28</v>
      </c>
      <c r="C191" t="s">
        <v>157</v>
      </c>
      <c r="D191" t="s">
        <v>28</v>
      </c>
      <c r="E191" t="s">
        <v>28</v>
      </c>
      <c r="F191" t="s">
        <v>28</v>
      </c>
    </row>
    <row r="192" spans="1:6" x14ac:dyDescent="0.35">
      <c r="A192" t="s">
        <v>28</v>
      </c>
      <c r="B192" t="s">
        <v>60</v>
      </c>
      <c r="C192" t="s">
        <v>28</v>
      </c>
      <c r="D192" t="s">
        <v>173</v>
      </c>
      <c r="E192" t="s">
        <v>28</v>
      </c>
      <c r="F192" t="s">
        <v>368</v>
      </c>
    </row>
    <row r="193" spans="1:6" x14ac:dyDescent="0.35">
      <c r="A193" t="s">
        <v>344</v>
      </c>
      <c r="B193" t="s">
        <v>29</v>
      </c>
      <c r="C193" t="s">
        <v>60</v>
      </c>
      <c r="D193" t="s">
        <v>34</v>
      </c>
      <c r="E193" t="s">
        <v>34</v>
      </c>
      <c r="F193" t="s">
        <v>35</v>
      </c>
    </row>
    <row r="194" spans="1:6" x14ac:dyDescent="0.35">
      <c r="A194" t="s">
        <v>28</v>
      </c>
      <c r="B194" t="s">
        <v>60</v>
      </c>
      <c r="C194" t="s">
        <v>28</v>
      </c>
      <c r="D194" t="s">
        <v>173</v>
      </c>
      <c r="E194" t="s">
        <v>28</v>
      </c>
      <c r="F194" t="s">
        <v>368</v>
      </c>
    </row>
    <row r="195" spans="1:6" x14ac:dyDescent="0.35">
      <c r="A195" t="s">
        <v>28</v>
      </c>
      <c r="B195" t="s">
        <v>60</v>
      </c>
      <c r="C195" t="s">
        <v>28</v>
      </c>
      <c r="D195" t="s">
        <v>30</v>
      </c>
      <c r="E195" t="s">
        <v>28</v>
      </c>
      <c r="F195" t="s">
        <v>368</v>
      </c>
    </row>
    <row r="196" spans="1:6" x14ac:dyDescent="0.35">
      <c r="A196" t="s">
        <v>28</v>
      </c>
      <c r="B196" t="s">
        <v>60</v>
      </c>
      <c r="C196" t="s">
        <v>28</v>
      </c>
      <c r="D196" t="s">
        <v>30</v>
      </c>
      <c r="E196" t="s">
        <v>34</v>
      </c>
      <c r="F196" t="s">
        <v>45</v>
      </c>
    </row>
    <row r="197" spans="1:6" x14ac:dyDescent="0.35">
      <c r="A197" t="s">
        <v>28</v>
      </c>
      <c r="B197" t="s">
        <v>60</v>
      </c>
      <c r="C197" t="s">
        <v>28</v>
      </c>
      <c r="D197" t="s">
        <v>28</v>
      </c>
      <c r="E197" t="s">
        <v>28</v>
      </c>
      <c r="F197" t="s">
        <v>28</v>
      </c>
    </row>
    <row r="198" spans="1:6" x14ac:dyDescent="0.35">
      <c r="A198" t="s">
        <v>449</v>
      </c>
      <c r="B198" t="s">
        <v>60</v>
      </c>
      <c r="C198" t="s">
        <v>44</v>
      </c>
      <c r="D198" t="s">
        <v>173</v>
      </c>
      <c r="E198" t="s">
        <v>173</v>
      </c>
      <c r="F198" t="s">
        <v>94</v>
      </c>
    </row>
    <row r="199" spans="1:6" x14ac:dyDescent="0.35">
      <c r="A199" t="s">
        <v>28</v>
      </c>
      <c r="B199" t="s">
        <v>29</v>
      </c>
      <c r="C199" t="s">
        <v>60</v>
      </c>
      <c r="D199" t="s">
        <v>30</v>
      </c>
      <c r="E199" t="s">
        <v>30</v>
      </c>
      <c r="F199" t="s">
        <v>45</v>
      </c>
    </row>
    <row r="200" spans="1:6" x14ac:dyDescent="0.35">
      <c r="A200" t="s">
        <v>28</v>
      </c>
      <c r="B200" t="s">
        <v>44</v>
      </c>
      <c r="C200" t="s">
        <v>28</v>
      </c>
      <c r="D200" t="s">
        <v>173</v>
      </c>
      <c r="E200" t="s">
        <v>103</v>
      </c>
      <c r="F200" t="s">
        <v>368</v>
      </c>
    </row>
    <row r="201" spans="1:6" x14ac:dyDescent="0.35">
      <c r="A201" t="s">
        <v>449</v>
      </c>
      <c r="B201" t="s">
        <v>60</v>
      </c>
      <c r="C201" t="s">
        <v>60</v>
      </c>
      <c r="D201" t="s">
        <v>30</v>
      </c>
      <c r="E201" t="s">
        <v>173</v>
      </c>
      <c r="F201" t="s">
        <v>45</v>
      </c>
    </row>
    <row r="202" spans="1:6" x14ac:dyDescent="0.35">
      <c r="A202" t="s">
        <v>28</v>
      </c>
      <c r="B202" t="s">
        <v>44</v>
      </c>
      <c r="C202" t="s">
        <v>284</v>
      </c>
      <c r="D202" t="s">
        <v>173</v>
      </c>
      <c r="E202" t="s">
        <v>28</v>
      </c>
      <c r="F202" t="s">
        <v>368</v>
      </c>
    </row>
    <row r="203" spans="1:6" x14ac:dyDescent="0.35">
      <c r="A203" t="s">
        <v>449</v>
      </c>
      <c r="B203" t="s">
        <v>158</v>
      </c>
      <c r="C203" t="s">
        <v>28</v>
      </c>
      <c r="D203" t="s">
        <v>28</v>
      </c>
      <c r="E203" t="s">
        <v>28</v>
      </c>
      <c r="F203" t="s">
        <v>28</v>
      </c>
    </row>
    <row r="204" spans="1:6" x14ac:dyDescent="0.35">
      <c r="A204" t="s">
        <v>44</v>
      </c>
      <c r="B204" t="s">
        <v>60</v>
      </c>
      <c r="C204" t="s">
        <v>60</v>
      </c>
      <c r="D204" t="s">
        <v>173</v>
      </c>
      <c r="E204" t="s">
        <v>173</v>
      </c>
      <c r="F204" t="s">
        <v>45</v>
      </c>
    </row>
    <row r="205" spans="1:6" x14ac:dyDescent="0.35">
      <c r="A205" t="s">
        <v>28</v>
      </c>
      <c r="B205" t="s">
        <v>28</v>
      </c>
      <c r="C205" t="s">
        <v>284</v>
      </c>
      <c r="D205" t="s">
        <v>28</v>
      </c>
      <c r="E205" t="s">
        <v>45</v>
      </c>
      <c r="F205" t="s">
        <v>368</v>
      </c>
    </row>
    <row r="206" spans="1:6" x14ac:dyDescent="0.35">
      <c r="A206" t="s">
        <v>28</v>
      </c>
      <c r="B206" t="s">
        <v>60</v>
      </c>
      <c r="C206" t="s">
        <v>28</v>
      </c>
      <c r="D206" t="s">
        <v>34</v>
      </c>
      <c r="E206" t="s">
        <v>30</v>
      </c>
      <c r="F206" t="s">
        <v>28</v>
      </c>
    </row>
    <row r="207" spans="1:6" x14ac:dyDescent="0.35">
      <c r="A207" t="s">
        <v>28</v>
      </c>
      <c r="B207" t="s">
        <v>197</v>
      </c>
      <c r="C207" t="s">
        <v>28</v>
      </c>
      <c r="D207" t="s">
        <v>197</v>
      </c>
      <c r="E207" t="s">
        <v>28</v>
      </c>
      <c r="F207" t="s">
        <v>368</v>
      </c>
    </row>
    <row r="208" spans="1:6" x14ac:dyDescent="0.35">
      <c r="A208" t="s">
        <v>377</v>
      </c>
      <c r="B208" t="s">
        <v>44</v>
      </c>
      <c r="C208" t="s">
        <v>60</v>
      </c>
      <c r="D208" t="s">
        <v>30</v>
      </c>
      <c r="E208" t="s">
        <v>103</v>
      </c>
      <c r="F208" t="s">
        <v>28</v>
      </c>
    </row>
    <row r="209" spans="1:6" x14ac:dyDescent="0.35">
      <c r="A209" t="s">
        <v>28</v>
      </c>
      <c r="B209" t="s">
        <v>197</v>
      </c>
      <c r="C209" t="s">
        <v>28</v>
      </c>
      <c r="D209" t="s">
        <v>158</v>
      </c>
      <c r="E209" t="s">
        <v>28</v>
      </c>
      <c r="F209" t="s">
        <v>292</v>
      </c>
    </row>
    <row r="210" spans="1:6" x14ac:dyDescent="0.35">
      <c r="A210" t="s">
        <v>28</v>
      </c>
      <c r="B210" t="s">
        <v>60</v>
      </c>
      <c r="C210" t="s">
        <v>284</v>
      </c>
      <c r="D210" t="s">
        <v>30</v>
      </c>
      <c r="E210" t="s">
        <v>28</v>
      </c>
      <c r="F210" t="s">
        <v>94</v>
      </c>
    </row>
    <row r="211" spans="1:6" x14ac:dyDescent="0.35">
      <c r="A211" t="s">
        <v>449</v>
      </c>
      <c r="B211" t="s">
        <v>197</v>
      </c>
      <c r="C211" t="s">
        <v>29</v>
      </c>
      <c r="D211" t="s">
        <v>30</v>
      </c>
      <c r="E211" t="s">
        <v>30</v>
      </c>
      <c r="F211" t="s">
        <v>61</v>
      </c>
    </row>
    <row r="212" spans="1:6" x14ac:dyDescent="0.35">
      <c r="A212" t="s">
        <v>28</v>
      </c>
      <c r="B212" t="s">
        <v>60</v>
      </c>
      <c r="C212" t="s">
        <v>284</v>
      </c>
      <c r="D212" t="s">
        <v>30</v>
      </c>
      <c r="E212" t="s">
        <v>368</v>
      </c>
      <c r="F212" t="s">
        <v>94</v>
      </c>
    </row>
    <row r="213" spans="1:6" x14ac:dyDescent="0.35">
      <c r="A213" t="s">
        <v>28</v>
      </c>
      <c r="B213" t="s">
        <v>60</v>
      </c>
      <c r="C213" t="s">
        <v>28</v>
      </c>
      <c r="D213" t="s">
        <v>173</v>
      </c>
      <c r="E213" t="s">
        <v>28</v>
      </c>
      <c r="F213" t="s">
        <v>94</v>
      </c>
    </row>
    <row r="214" spans="1:6" x14ac:dyDescent="0.35">
      <c r="A214" t="s">
        <v>28</v>
      </c>
      <c r="B214" t="s">
        <v>60</v>
      </c>
      <c r="C214" t="s">
        <v>157</v>
      </c>
      <c r="D214" t="s">
        <v>28</v>
      </c>
      <c r="E214" t="s">
        <v>173</v>
      </c>
      <c r="F214" t="s">
        <v>292</v>
      </c>
    </row>
    <row r="215" spans="1:6" x14ac:dyDescent="0.35">
      <c r="A215" t="s">
        <v>28</v>
      </c>
      <c r="B215" t="s">
        <v>60</v>
      </c>
      <c r="C215" t="s">
        <v>29</v>
      </c>
      <c r="D215" t="s">
        <v>30</v>
      </c>
      <c r="E215" t="s">
        <v>30</v>
      </c>
      <c r="F215" t="s">
        <v>28</v>
      </c>
    </row>
    <row r="216" spans="1:6" x14ac:dyDescent="0.35">
      <c r="A216" t="s">
        <v>28</v>
      </c>
      <c r="B216" t="s">
        <v>29</v>
      </c>
      <c r="C216" t="s">
        <v>29</v>
      </c>
      <c r="D216" t="s">
        <v>34</v>
      </c>
      <c r="E216" t="s">
        <v>34</v>
      </c>
      <c r="F216" t="s">
        <v>368</v>
      </c>
    </row>
    <row r="217" spans="1:6" x14ac:dyDescent="0.35">
      <c r="A217" t="s">
        <v>28</v>
      </c>
      <c r="B217" t="s">
        <v>28</v>
      </c>
      <c r="C217" t="s">
        <v>157</v>
      </c>
      <c r="D217" t="s">
        <v>158</v>
      </c>
      <c r="E217" t="s">
        <v>28</v>
      </c>
      <c r="F217" t="s">
        <v>28</v>
      </c>
    </row>
    <row r="218" spans="1:6" x14ac:dyDescent="0.35">
      <c r="A218" t="s">
        <v>344</v>
      </c>
      <c r="B218" t="s">
        <v>29</v>
      </c>
      <c r="C218" t="s">
        <v>206</v>
      </c>
      <c r="D218" t="s">
        <v>30</v>
      </c>
      <c r="E218" t="s">
        <v>103</v>
      </c>
      <c r="F218" t="s">
        <v>94</v>
      </c>
    </row>
    <row r="219" spans="1:6" x14ac:dyDescent="0.35">
      <c r="A219" t="s">
        <v>28</v>
      </c>
      <c r="B219" t="s">
        <v>60</v>
      </c>
      <c r="C219" t="s">
        <v>284</v>
      </c>
      <c r="D219" t="s">
        <v>103</v>
      </c>
      <c r="E219" t="s">
        <v>28</v>
      </c>
      <c r="F219" t="s">
        <v>292</v>
      </c>
    </row>
    <row r="220" spans="1:6" x14ac:dyDescent="0.35">
      <c r="A220" t="s">
        <v>28</v>
      </c>
      <c r="B220" t="s">
        <v>196</v>
      </c>
      <c r="C220" t="s">
        <v>157</v>
      </c>
      <c r="D220" t="s">
        <v>197</v>
      </c>
      <c r="E220" t="s">
        <v>173</v>
      </c>
      <c r="F220" t="s">
        <v>73</v>
      </c>
    </row>
    <row r="221" spans="1:6" x14ac:dyDescent="0.35">
      <c r="A221" t="s">
        <v>71</v>
      </c>
      <c r="B221" t="s">
        <v>28</v>
      </c>
      <c r="C221" t="s">
        <v>157</v>
      </c>
      <c r="D221" t="s">
        <v>103</v>
      </c>
      <c r="E221" t="s">
        <v>45</v>
      </c>
      <c r="F221" t="s">
        <v>28</v>
      </c>
    </row>
    <row r="222" spans="1:6" x14ac:dyDescent="0.35">
      <c r="A222" t="s">
        <v>449</v>
      </c>
      <c r="B222" t="s">
        <v>28</v>
      </c>
      <c r="C222" t="s">
        <v>29</v>
      </c>
      <c r="D222" t="s">
        <v>103</v>
      </c>
      <c r="E222" t="s">
        <v>173</v>
      </c>
      <c r="F222" t="s">
        <v>61</v>
      </c>
    </row>
    <row r="223" spans="1:6" x14ac:dyDescent="0.35">
      <c r="A223" t="s">
        <v>28</v>
      </c>
      <c r="B223" t="s">
        <v>28</v>
      </c>
      <c r="C223" t="s">
        <v>28</v>
      </c>
      <c r="D223" t="s">
        <v>28</v>
      </c>
      <c r="E223" t="s">
        <v>28</v>
      </c>
      <c r="F223" t="s">
        <v>28</v>
      </c>
    </row>
    <row r="224" spans="1:6" x14ac:dyDescent="0.35">
      <c r="A224" t="s">
        <v>28</v>
      </c>
      <c r="B224" t="s">
        <v>28</v>
      </c>
      <c r="C224" t="s">
        <v>28</v>
      </c>
      <c r="D224" t="s">
        <v>28</v>
      </c>
      <c r="E224" t="s">
        <v>28</v>
      </c>
      <c r="F224" t="s">
        <v>28</v>
      </c>
    </row>
    <row r="225" spans="1:6" x14ac:dyDescent="0.35">
      <c r="A225" t="s">
        <v>449</v>
      </c>
      <c r="B225" t="s">
        <v>44</v>
      </c>
      <c r="C225" t="s">
        <v>284</v>
      </c>
      <c r="D225" t="s">
        <v>173</v>
      </c>
      <c r="E225" t="s">
        <v>28</v>
      </c>
      <c r="F225" t="s">
        <v>94</v>
      </c>
    </row>
    <row r="226" spans="1:6" x14ac:dyDescent="0.35">
      <c r="A226" t="s">
        <v>28</v>
      </c>
      <c r="B226" t="s">
        <v>28</v>
      </c>
      <c r="C226" t="s">
        <v>28</v>
      </c>
      <c r="D226" t="s">
        <v>28</v>
      </c>
      <c r="E226" t="s">
        <v>28</v>
      </c>
      <c r="F226" t="s">
        <v>28</v>
      </c>
    </row>
    <row r="227" spans="1:6" x14ac:dyDescent="0.35">
      <c r="A227" t="s">
        <v>28</v>
      </c>
      <c r="B227" t="s">
        <v>196</v>
      </c>
      <c r="C227" t="s">
        <v>206</v>
      </c>
      <c r="D227" t="s">
        <v>197</v>
      </c>
      <c r="E227" t="s">
        <v>103</v>
      </c>
      <c r="F227" t="s">
        <v>94</v>
      </c>
    </row>
    <row r="228" spans="1:6" x14ac:dyDescent="0.35">
      <c r="A228" t="s">
        <v>28</v>
      </c>
      <c r="B228" t="s">
        <v>28</v>
      </c>
      <c r="C228" t="s">
        <v>28</v>
      </c>
      <c r="D228" t="s">
        <v>28</v>
      </c>
      <c r="E228" t="s">
        <v>28</v>
      </c>
      <c r="F228" t="s">
        <v>28</v>
      </c>
    </row>
    <row r="229" spans="1:6" x14ac:dyDescent="0.35">
      <c r="A229" t="s">
        <v>60</v>
      </c>
      <c r="B229" t="s">
        <v>33</v>
      </c>
      <c r="C229" t="s">
        <v>33</v>
      </c>
      <c r="D229" t="s">
        <v>173</v>
      </c>
      <c r="E229" t="s">
        <v>173</v>
      </c>
      <c r="F229" t="s">
        <v>28</v>
      </c>
    </row>
    <row r="230" spans="1:6" x14ac:dyDescent="0.35">
      <c r="A230" t="s">
        <v>28</v>
      </c>
      <c r="B230" t="s">
        <v>28</v>
      </c>
      <c r="C230" t="s">
        <v>28</v>
      </c>
      <c r="D230" t="s">
        <v>28</v>
      </c>
      <c r="E230" t="s">
        <v>28</v>
      </c>
      <c r="F230" t="s">
        <v>28</v>
      </c>
    </row>
    <row r="231" spans="1:6" x14ac:dyDescent="0.35">
      <c r="A231" t="s">
        <v>449</v>
      </c>
      <c r="B231" t="s">
        <v>60</v>
      </c>
      <c r="C231" t="s">
        <v>60</v>
      </c>
      <c r="D231" t="s">
        <v>34</v>
      </c>
      <c r="E231" t="s">
        <v>34</v>
      </c>
      <c r="F231" t="s">
        <v>28</v>
      </c>
    </row>
    <row r="232" spans="1:6" x14ac:dyDescent="0.35">
      <c r="A232" t="s">
        <v>28</v>
      </c>
      <c r="B232" t="s">
        <v>28</v>
      </c>
      <c r="C232" t="s">
        <v>28</v>
      </c>
      <c r="D232" t="s">
        <v>103</v>
      </c>
      <c r="E232" t="s">
        <v>45</v>
      </c>
      <c r="F232" t="s">
        <v>45</v>
      </c>
    </row>
    <row r="233" spans="1:6" x14ac:dyDescent="0.35">
      <c r="A233" t="s">
        <v>28</v>
      </c>
      <c r="B233" t="s">
        <v>44</v>
      </c>
      <c r="C233" t="s">
        <v>284</v>
      </c>
      <c r="D233" t="s">
        <v>173</v>
      </c>
      <c r="E233" t="s">
        <v>45</v>
      </c>
      <c r="F233" t="s">
        <v>73</v>
      </c>
    </row>
    <row r="234" spans="1:6" x14ac:dyDescent="0.35">
      <c r="A234" t="s">
        <v>28</v>
      </c>
      <c r="B234" t="s">
        <v>28</v>
      </c>
      <c r="C234" t="s">
        <v>28</v>
      </c>
      <c r="D234" t="s">
        <v>28</v>
      </c>
      <c r="E234" t="s">
        <v>28</v>
      </c>
      <c r="F234" t="s">
        <v>28</v>
      </c>
    </row>
    <row r="235" spans="1:6" x14ac:dyDescent="0.35">
      <c r="A235" t="s">
        <v>71</v>
      </c>
      <c r="B235" t="s">
        <v>28</v>
      </c>
      <c r="C235" t="s">
        <v>206</v>
      </c>
      <c r="D235" t="s">
        <v>30</v>
      </c>
      <c r="E235" t="s">
        <v>28</v>
      </c>
      <c r="F235" t="s">
        <v>28</v>
      </c>
    </row>
    <row r="236" spans="1:6" x14ac:dyDescent="0.35">
      <c r="A236" t="s">
        <v>377</v>
      </c>
      <c r="B236" t="s">
        <v>44</v>
      </c>
      <c r="C236" t="s">
        <v>206</v>
      </c>
      <c r="D236" t="s">
        <v>173</v>
      </c>
      <c r="E236" t="s">
        <v>94</v>
      </c>
      <c r="F236" t="s">
        <v>73</v>
      </c>
    </row>
    <row r="237" spans="1:6" x14ac:dyDescent="0.35">
      <c r="A237" t="s">
        <v>29</v>
      </c>
      <c r="B237" t="s">
        <v>33</v>
      </c>
      <c r="C237" t="s">
        <v>29</v>
      </c>
      <c r="D237" t="s">
        <v>30</v>
      </c>
      <c r="E237" t="s">
        <v>30</v>
      </c>
      <c r="F237" t="s">
        <v>45</v>
      </c>
    </row>
    <row r="238" spans="1:6" x14ac:dyDescent="0.35">
      <c r="A238" t="s">
        <v>44</v>
      </c>
      <c r="B238" t="s">
        <v>28</v>
      </c>
      <c r="C238" t="s">
        <v>28</v>
      </c>
      <c r="D238" t="s">
        <v>28</v>
      </c>
      <c r="E238" t="s">
        <v>28</v>
      </c>
      <c r="F238" t="s">
        <v>35</v>
      </c>
    </row>
    <row r="239" spans="1:6" x14ac:dyDescent="0.35">
      <c r="A239" t="s">
        <v>29</v>
      </c>
      <c r="B239" t="s">
        <v>29</v>
      </c>
      <c r="C239" t="s">
        <v>29</v>
      </c>
      <c r="D239" t="s">
        <v>103</v>
      </c>
      <c r="E239" t="s">
        <v>103</v>
      </c>
      <c r="F239" t="s">
        <v>45</v>
      </c>
    </row>
    <row r="240" spans="1:6" x14ac:dyDescent="0.35">
      <c r="A240" t="s">
        <v>28</v>
      </c>
      <c r="B240" t="s">
        <v>28</v>
      </c>
      <c r="C240" t="s">
        <v>28</v>
      </c>
      <c r="D240" t="s">
        <v>28</v>
      </c>
      <c r="E240" t="s">
        <v>28</v>
      </c>
      <c r="F240" t="s">
        <v>28</v>
      </c>
    </row>
    <row r="241" spans="1:6" x14ac:dyDescent="0.35">
      <c r="A241" t="s">
        <v>28</v>
      </c>
      <c r="B241" t="s">
        <v>28</v>
      </c>
      <c r="C241" t="s">
        <v>28</v>
      </c>
      <c r="D241" t="s">
        <v>28</v>
      </c>
      <c r="E241" t="s">
        <v>28</v>
      </c>
      <c r="F241" t="s">
        <v>28</v>
      </c>
    </row>
    <row r="242" spans="1:6" x14ac:dyDescent="0.35">
      <c r="A242" t="s">
        <v>71</v>
      </c>
      <c r="B242" t="s">
        <v>28</v>
      </c>
      <c r="C242" t="s">
        <v>28</v>
      </c>
      <c r="D242" t="s">
        <v>28</v>
      </c>
      <c r="E242" t="s">
        <v>28</v>
      </c>
      <c r="F242" t="s">
        <v>28</v>
      </c>
    </row>
    <row r="243" spans="1:6" x14ac:dyDescent="0.35">
      <c r="A243" t="s">
        <v>28</v>
      </c>
      <c r="B243" t="s">
        <v>28</v>
      </c>
      <c r="C243" t="s">
        <v>28</v>
      </c>
      <c r="D243" t="s">
        <v>28</v>
      </c>
      <c r="E243" t="s">
        <v>28</v>
      </c>
      <c r="F243" t="s">
        <v>28</v>
      </c>
    </row>
    <row r="244" spans="1:6" x14ac:dyDescent="0.35">
      <c r="A244" t="s">
        <v>28</v>
      </c>
      <c r="B244" t="s">
        <v>28</v>
      </c>
      <c r="C244" t="s">
        <v>28</v>
      </c>
      <c r="D244" t="s">
        <v>28</v>
      </c>
      <c r="E244" t="s">
        <v>28</v>
      </c>
      <c r="F244" t="s">
        <v>28</v>
      </c>
    </row>
    <row r="245" spans="1:6" x14ac:dyDescent="0.35">
      <c r="A245" t="s">
        <v>28</v>
      </c>
      <c r="B245" t="s">
        <v>28</v>
      </c>
      <c r="C245" t="s">
        <v>28</v>
      </c>
      <c r="D245" t="s">
        <v>28</v>
      </c>
      <c r="E245" t="s">
        <v>28</v>
      </c>
      <c r="F245" t="s">
        <v>28</v>
      </c>
    </row>
    <row r="246" spans="1:6" x14ac:dyDescent="0.35">
      <c r="A246" t="s">
        <v>28</v>
      </c>
      <c r="B246" t="s">
        <v>28</v>
      </c>
      <c r="C246" t="s">
        <v>28</v>
      </c>
      <c r="D246" t="s">
        <v>28</v>
      </c>
      <c r="E246" t="s">
        <v>28</v>
      </c>
      <c r="F246" t="s">
        <v>28</v>
      </c>
    </row>
    <row r="247" spans="1:6" x14ac:dyDescent="0.35">
      <c r="A247" t="s">
        <v>28</v>
      </c>
      <c r="B247" t="s">
        <v>28</v>
      </c>
      <c r="C247" t="s">
        <v>28</v>
      </c>
      <c r="D247" t="s">
        <v>28</v>
      </c>
      <c r="E247" t="s">
        <v>28</v>
      </c>
      <c r="F247" t="s">
        <v>28</v>
      </c>
    </row>
    <row r="248" spans="1:6" x14ac:dyDescent="0.35">
      <c r="A248" t="s">
        <v>28</v>
      </c>
      <c r="B248" t="s">
        <v>28</v>
      </c>
      <c r="C248" t="s">
        <v>28</v>
      </c>
      <c r="D248" t="s">
        <v>28</v>
      </c>
      <c r="E248" t="s">
        <v>28</v>
      </c>
      <c r="F248" t="s">
        <v>28</v>
      </c>
    </row>
    <row r="249" spans="1:6" x14ac:dyDescent="0.35">
      <c r="A249" t="s">
        <v>28</v>
      </c>
      <c r="B249" t="s">
        <v>28</v>
      </c>
      <c r="C249" t="s">
        <v>28</v>
      </c>
      <c r="D249" t="s">
        <v>28</v>
      </c>
      <c r="E249" t="s">
        <v>28</v>
      </c>
      <c r="F249" t="s">
        <v>28</v>
      </c>
    </row>
    <row r="250" spans="1:6" x14ac:dyDescent="0.35">
      <c r="A250" t="s">
        <v>28</v>
      </c>
      <c r="B250" t="s">
        <v>29</v>
      </c>
      <c r="C250" t="s">
        <v>60</v>
      </c>
      <c r="D250" t="s">
        <v>34</v>
      </c>
      <c r="E250" t="s">
        <v>173</v>
      </c>
      <c r="F250" t="s">
        <v>28</v>
      </c>
    </row>
    <row r="251" spans="1:6" x14ac:dyDescent="0.35">
      <c r="A251" t="s">
        <v>33</v>
      </c>
      <c r="B251" t="s">
        <v>28</v>
      </c>
      <c r="C251" t="s">
        <v>60</v>
      </c>
      <c r="D251" t="s">
        <v>34</v>
      </c>
      <c r="E251" t="s">
        <v>94</v>
      </c>
      <c r="F251" t="s">
        <v>28</v>
      </c>
    </row>
    <row r="252" spans="1:6" x14ac:dyDescent="0.35">
      <c r="A252" t="s">
        <v>28</v>
      </c>
      <c r="B252" t="s">
        <v>33</v>
      </c>
      <c r="C252" t="s">
        <v>60</v>
      </c>
      <c r="D252" t="s">
        <v>196</v>
      </c>
      <c r="E252" t="s">
        <v>30</v>
      </c>
      <c r="F252" t="s">
        <v>28</v>
      </c>
    </row>
    <row r="253" spans="1:6" x14ac:dyDescent="0.35">
      <c r="A253" t="s">
        <v>28</v>
      </c>
      <c r="B253" t="s">
        <v>28</v>
      </c>
      <c r="C253" t="s">
        <v>28</v>
      </c>
      <c r="D253" t="s">
        <v>103</v>
      </c>
      <c r="E253" t="s">
        <v>45</v>
      </c>
      <c r="F253" t="s">
        <v>35</v>
      </c>
    </row>
    <row r="254" spans="1:6" x14ac:dyDescent="0.35">
      <c r="A254" t="s">
        <v>33</v>
      </c>
      <c r="B254" t="s">
        <v>196</v>
      </c>
      <c r="C254" t="s">
        <v>206</v>
      </c>
      <c r="D254" t="s">
        <v>28</v>
      </c>
      <c r="E254" t="s">
        <v>30</v>
      </c>
      <c r="F254" t="s">
        <v>292</v>
      </c>
    </row>
    <row r="255" spans="1:6" x14ac:dyDescent="0.35">
      <c r="A255" t="s">
        <v>344</v>
      </c>
      <c r="B255" t="s">
        <v>28</v>
      </c>
      <c r="C255" t="s">
        <v>29</v>
      </c>
      <c r="D255" t="s">
        <v>30</v>
      </c>
      <c r="E255" t="s">
        <v>28</v>
      </c>
      <c r="F255" t="s">
        <v>94</v>
      </c>
    </row>
    <row r="256" spans="1:6" x14ac:dyDescent="0.35">
      <c r="A256" t="s">
        <v>344</v>
      </c>
      <c r="B256" t="s">
        <v>28</v>
      </c>
      <c r="C256" t="s">
        <v>29</v>
      </c>
      <c r="D256" t="s">
        <v>30</v>
      </c>
      <c r="E256" t="s">
        <v>173</v>
      </c>
      <c r="F256" t="s">
        <v>94</v>
      </c>
    </row>
    <row r="257" spans="1:6" x14ac:dyDescent="0.35">
      <c r="A257" t="s">
        <v>28</v>
      </c>
      <c r="B257" t="s">
        <v>60</v>
      </c>
      <c r="C257" t="s">
        <v>73</v>
      </c>
      <c r="D257" t="s">
        <v>173</v>
      </c>
      <c r="E257" t="s">
        <v>368</v>
      </c>
      <c r="F257" t="s">
        <v>94</v>
      </c>
    </row>
    <row r="258" spans="1:6" x14ac:dyDescent="0.35">
      <c r="A258" t="s">
        <v>28</v>
      </c>
      <c r="B258" t="s">
        <v>33</v>
      </c>
      <c r="C258" t="s">
        <v>29</v>
      </c>
      <c r="D258" t="s">
        <v>30</v>
      </c>
      <c r="E258" t="s">
        <v>30</v>
      </c>
      <c r="F258" t="s">
        <v>45</v>
      </c>
    </row>
    <row r="259" spans="1:6" x14ac:dyDescent="0.35">
      <c r="A259" t="s">
        <v>28</v>
      </c>
      <c r="B259" t="s">
        <v>158</v>
      </c>
      <c r="C259" t="s">
        <v>60</v>
      </c>
      <c r="D259" t="s">
        <v>158</v>
      </c>
      <c r="E259" t="s">
        <v>173</v>
      </c>
      <c r="F259" t="s">
        <v>292</v>
      </c>
    </row>
    <row r="260" spans="1:6" x14ac:dyDescent="0.35">
      <c r="A260" t="s">
        <v>28</v>
      </c>
      <c r="B260" t="s">
        <v>197</v>
      </c>
      <c r="C260" t="s">
        <v>60</v>
      </c>
      <c r="D260" t="s">
        <v>197</v>
      </c>
      <c r="E260" t="s">
        <v>28</v>
      </c>
      <c r="F260" t="s">
        <v>292</v>
      </c>
    </row>
    <row r="261" spans="1:6" x14ac:dyDescent="0.35">
      <c r="A261" t="s">
        <v>28</v>
      </c>
      <c r="B261" t="s">
        <v>60</v>
      </c>
      <c r="C261" t="s">
        <v>206</v>
      </c>
      <c r="D261" t="s">
        <v>173</v>
      </c>
      <c r="E261" t="s">
        <v>45</v>
      </c>
      <c r="F261" t="s">
        <v>73</v>
      </c>
    </row>
    <row r="262" spans="1:6" x14ac:dyDescent="0.35">
      <c r="A262" t="s">
        <v>449</v>
      </c>
      <c r="B262" t="s">
        <v>60</v>
      </c>
      <c r="C262" t="s">
        <v>60</v>
      </c>
      <c r="D262" t="s">
        <v>34</v>
      </c>
      <c r="E262" t="s">
        <v>30</v>
      </c>
      <c r="F262" t="s">
        <v>45</v>
      </c>
    </row>
    <row r="263" spans="1:6" x14ac:dyDescent="0.35">
      <c r="A263" t="s">
        <v>28</v>
      </c>
      <c r="B263" t="s">
        <v>196</v>
      </c>
      <c r="C263" t="s">
        <v>60</v>
      </c>
      <c r="D263" t="s">
        <v>196</v>
      </c>
      <c r="E263" t="s">
        <v>173</v>
      </c>
      <c r="F263" t="s">
        <v>292</v>
      </c>
    </row>
    <row r="264" spans="1:6" x14ac:dyDescent="0.35">
      <c r="A264" t="s">
        <v>28</v>
      </c>
      <c r="B264" t="s">
        <v>72</v>
      </c>
      <c r="C264" t="s">
        <v>28</v>
      </c>
      <c r="D264" t="s">
        <v>196</v>
      </c>
      <c r="E264" t="s">
        <v>28</v>
      </c>
      <c r="F264" t="s">
        <v>61</v>
      </c>
    </row>
    <row r="265" spans="1:6" x14ac:dyDescent="0.35">
      <c r="A265" t="s">
        <v>44</v>
      </c>
      <c r="B265" t="s">
        <v>60</v>
      </c>
      <c r="C265" t="s">
        <v>206</v>
      </c>
      <c r="D265" t="s">
        <v>28</v>
      </c>
      <c r="E265" t="s">
        <v>368</v>
      </c>
      <c r="F265" t="s">
        <v>73</v>
      </c>
    </row>
    <row r="266" spans="1:6" x14ac:dyDescent="0.35">
      <c r="A266" t="s">
        <v>60</v>
      </c>
      <c r="B266" t="s">
        <v>33</v>
      </c>
      <c r="C266" t="s">
        <v>33</v>
      </c>
      <c r="D266" t="s">
        <v>173</v>
      </c>
      <c r="E266" t="s">
        <v>30</v>
      </c>
      <c r="F266" t="s">
        <v>28</v>
      </c>
    </row>
    <row r="267" spans="1:6" x14ac:dyDescent="0.35">
      <c r="A267" t="s">
        <v>28</v>
      </c>
      <c r="B267" t="s">
        <v>60</v>
      </c>
      <c r="C267" t="s">
        <v>206</v>
      </c>
      <c r="D267" t="s">
        <v>173</v>
      </c>
      <c r="E267" t="s">
        <v>94</v>
      </c>
      <c r="F267" t="s">
        <v>73</v>
      </c>
    </row>
    <row r="268" spans="1:6" x14ac:dyDescent="0.35">
      <c r="A268" t="s">
        <v>28</v>
      </c>
      <c r="B268" t="s">
        <v>197</v>
      </c>
      <c r="C268" t="s">
        <v>44</v>
      </c>
      <c r="D268" t="s">
        <v>197</v>
      </c>
      <c r="E268" t="s">
        <v>103</v>
      </c>
      <c r="F268" t="s">
        <v>61</v>
      </c>
    </row>
    <row r="269" spans="1:6" x14ac:dyDescent="0.35">
      <c r="A269" t="s">
        <v>449</v>
      </c>
      <c r="B269" t="s">
        <v>60</v>
      </c>
      <c r="C269" t="s">
        <v>206</v>
      </c>
      <c r="D269" t="s">
        <v>30</v>
      </c>
      <c r="E269" t="s">
        <v>94</v>
      </c>
      <c r="F269" t="s">
        <v>73</v>
      </c>
    </row>
    <row r="270" spans="1:6" x14ac:dyDescent="0.35">
      <c r="A270" t="s">
        <v>29</v>
      </c>
      <c r="B270" t="s">
        <v>33</v>
      </c>
      <c r="C270" t="s">
        <v>33</v>
      </c>
      <c r="D270" t="s">
        <v>173</v>
      </c>
      <c r="E270" t="s">
        <v>173</v>
      </c>
      <c r="F270" t="s">
        <v>28</v>
      </c>
    </row>
    <row r="271" spans="1:6" x14ac:dyDescent="0.35">
      <c r="A271" t="s">
        <v>60</v>
      </c>
      <c r="B271" t="s">
        <v>28</v>
      </c>
      <c r="C271" t="s">
        <v>60</v>
      </c>
      <c r="D271" t="s">
        <v>197</v>
      </c>
      <c r="E271" t="s">
        <v>173</v>
      </c>
      <c r="F271" t="s">
        <v>61</v>
      </c>
    </row>
    <row r="272" spans="1:6" x14ac:dyDescent="0.35">
      <c r="A272" t="s">
        <v>449</v>
      </c>
      <c r="B272" t="s">
        <v>29</v>
      </c>
      <c r="C272" t="s">
        <v>206</v>
      </c>
      <c r="D272" t="s">
        <v>30</v>
      </c>
      <c r="E272" t="s">
        <v>368</v>
      </c>
      <c r="F272" t="s">
        <v>73</v>
      </c>
    </row>
    <row r="273" spans="1:6" x14ac:dyDescent="0.35">
      <c r="A273" t="s">
        <v>29</v>
      </c>
      <c r="B273" t="s">
        <v>33</v>
      </c>
      <c r="C273" t="s">
        <v>33</v>
      </c>
      <c r="D273" t="s">
        <v>173</v>
      </c>
      <c r="E273" t="s">
        <v>30</v>
      </c>
      <c r="F273" t="s">
        <v>292</v>
      </c>
    </row>
    <row r="274" spans="1:6" x14ac:dyDescent="0.35">
      <c r="A274" t="s">
        <v>377</v>
      </c>
      <c r="B274" t="s">
        <v>44</v>
      </c>
      <c r="C274" t="s">
        <v>206</v>
      </c>
      <c r="D274" t="s">
        <v>173</v>
      </c>
      <c r="E274" t="s">
        <v>94</v>
      </c>
      <c r="F274" t="s">
        <v>73</v>
      </c>
    </row>
    <row r="275" spans="1:6" x14ac:dyDescent="0.35">
      <c r="A275" t="s">
        <v>449</v>
      </c>
      <c r="B275" t="s">
        <v>60</v>
      </c>
      <c r="C275" t="s">
        <v>206</v>
      </c>
      <c r="D275" t="s">
        <v>173</v>
      </c>
      <c r="E275" t="s">
        <v>94</v>
      </c>
      <c r="F275" t="s">
        <v>73</v>
      </c>
    </row>
    <row r="276" spans="1:6" x14ac:dyDescent="0.35">
      <c r="A276" t="s">
        <v>29</v>
      </c>
      <c r="B276" t="s">
        <v>33</v>
      </c>
      <c r="C276" t="s">
        <v>33</v>
      </c>
      <c r="D276" t="s">
        <v>173</v>
      </c>
      <c r="E276" t="s">
        <v>173</v>
      </c>
      <c r="F276" t="s">
        <v>28</v>
      </c>
    </row>
    <row r="277" spans="1:6" x14ac:dyDescent="0.35">
      <c r="A277" t="s">
        <v>377</v>
      </c>
      <c r="B277" t="s">
        <v>44</v>
      </c>
      <c r="C277" t="s">
        <v>284</v>
      </c>
      <c r="D277" t="s">
        <v>103</v>
      </c>
      <c r="E277" t="s">
        <v>368</v>
      </c>
      <c r="F277" t="s">
        <v>94</v>
      </c>
    </row>
    <row r="278" spans="1:6" x14ac:dyDescent="0.35">
      <c r="A278" t="s">
        <v>44</v>
      </c>
      <c r="B278" t="s">
        <v>197</v>
      </c>
      <c r="C278" t="s">
        <v>60</v>
      </c>
      <c r="D278" t="s">
        <v>197</v>
      </c>
      <c r="E278" t="s">
        <v>173</v>
      </c>
      <c r="F278" t="s">
        <v>74</v>
      </c>
    </row>
    <row r="279" spans="1:6" x14ac:dyDescent="0.35">
      <c r="A279" t="s">
        <v>28</v>
      </c>
      <c r="B279" t="s">
        <v>60</v>
      </c>
      <c r="C279" t="s">
        <v>284</v>
      </c>
      <c r="D279" t="s">
        <v>173</v>
      </c>
      <c r="E279" t="s">
        <v>368</v>
      </c>
      <c r="F279" t="s">
        <v>94</v>
      </c>
    </row>
    <row r="280" spans="1:6" x14ac:dyDescent="0.35">
      <c r="A280" t="s">
        <v>60</v>
      </c>
      <c r="B280" t="s">
        <v>60</v>
      </c>
      <c r="C280" t="s">
        <v>60</v>
      </c>
      <c r="D280" t="s">
        <v>103</v>
      </c>
      <c r="E280" t="s">
        <v>103</v>
      </c>
      <c r="F280" t="s">
        <v>28</v>
      </c>
    </row>
    <row r="281" spans="1:6" x14ac:dyDescent="0.35">
      <c r="A281" t="s">
        <v>60</v>
      </c>
      <c r="B281" t="s">
        <v>28</v>
      </c>
      <c r="C281" t="s">
        <v>29</v>
      </c>
      <c r="D281" t="s">
        <v>197</v>
      </c>
      <c r="E281" t="s">
        <v>173</v>
      </c>
      <c r="F281" t="s">
        <v>292</v>
      </c>
    </row>
    <row r="282" spans="1:6" x14ac:dyDescent="0.35">
      <c r="A282" t="s">
        <v>60</v>
      </c>
      <c r="B282" t="s">
        <v>29</v>
      </c>
      <c r="C282" t="s">
        <v>29</v>
      </c>
      <c r="D282" t="s">
        <v>173</v>
      </c>
      <c r="E282" t="s">
        <v>173</v>
      </c>
      <c r="F282" t="s">
        <v>28</v>
      </c>
    </row>
    <row r="283" spans="1:6" x14ac:dyDescent="0.35">
      <c r="A283" t="s">
        <v>449</v>
      </c>
      <c r="B283" t="s">
        <v>60</v>
      </c>
      <c r="C283" t="s">
        <v>284</v>
      </c>
      <c r="D283" t="s">
        <v>173</v>
      </c>
      <c r="E283" t="s">
        <v>368</v>
      </c>
      <c r="F283" t="s">
        <v>73</v>
      </c>
    </row>
    <row r="284" spans="1:6" x14ac:dyDescent="0.35">
      <c r="A284" t="s">
        <v>44</v>
      </c>
      <c r="B284" t="s">
        <v>60</v>
      </c>
      <c r="C284" t="s">
        <v>60</v>
      </c>
      <c r="D284" t="s">
        <v>103</v>
      </c>
      <c r="E284" t="s">
        <v>173</v>
      </c>
      <c r="F284" t="s">
        <v>28</v>
      </c>
    </row>
    <row r="285" spans="1:6" x14ac:dyDescent="0.35">
      <c r="A285" t="s">
        <v>28</v>
      </c>
      <c r="B285" t="s">
        <v>60</v>
      </c>
      <c r="C285" t="s">
        <v>284</v>
      </c>
      <c r="D285" t="s">
        <v>30</v>
      </c>
      <c r="E285" t="s">
        <v>368</v>
      </c>
      <c r="F285" t="s">
        <v>73</v>
      </c>
    </row>
    <row r="286" spans="1:6" x14ac:dyDescent="0.35">
      <c r="A286" t="s">
        <v>28</v>
      </c>
      <c r="B286" t="s">
        <v>29</v>
      </c>
      <c r="C286" t="s">
        <v>28</v>
      </c>
      <c r="D286" t="s">
        <v>173</v>
      </c>
      <c r="E286" t="s">
        <v>28</v>
      </c>
      <c r="F286" t="s">
        <v>94</v>
      </c>
    </row>
    <row r="287" spans="1:6" x14ac:dyDescent="0.35">
      <c r="A287" t="s">
        <v>44</v>
      </c>
      <c r="B287" t="s">
        <v>33</v>
      </c>
      <c r="C287" t="s">
        <v>29</v>
      </c>
      <c r="D287" t="s">
        <v>173</v>
      </c>
      <c r="E287" t="s">
        <v>30</v>
      </c>
      <c r="F287" t="s">
        <v>45</v>
      </c>
    </row>
    <row r="288" spans="1:6" x14ac:dyDescent="0.35">
      <c r="A288" t="s">
        <v>28</v>
      </c>
      <c r="B288" t="s">
        <v>60</v>
      </c>
      <c r="C288" t="s">
        <v>206</v>
      </c>
      <c r="D288" t="s">
        <v>30</v>
      </c>
      <c r="E288" t="s">
        <v>73</v>
      </c>
      <c r="F288" t="s">
        <v>73</v>
      </c>
    </row>
    <row r="289" spans="1:6" x14ac:dyDescent="0.35">
      <c r="A289" t="s">
        <v>28</v>
      </c>
      <c r="B289" t="s">
        <v>197</v>
      </c>
      <c r="C289" t="s">
        <v>28</v>
      </c>
      <c r="D289" t="s">
        <v>197</v>
      </c>
      <c r="E289" t="s">
        <v>28</v>
      </c>
      <c r="F289" t="s">
        <v>61</v>
      </c>
    </row>
    <row r="290" spans="1:6" x14ac:dyDescent="0.35">
      <c r="A290" t="s">
        <v>44</v>
      </c>
      <c r="B290" t="s">
        <v>33</v>
      </c>
      <c r="C290" t="s">
        <v>29</v>
      </c>
      <c r="D290" t="s">
        <v>30</v>
      </c>
      <c r="E290" t="s">
        <v>30</v>
      </c>
      <c r="F290" t="s">
        <v>45</v>
      </c>
    </row>
    <row r="291" spans="1:6" x14ac:dyDescent="0.35">
      <c r="A291" t="s">
        <v>28</v>
      </c>
      <c r="B291" t="s">
        <v>44</v>
      </c>
      <c r="C291" t="s">
        <v>284</v>
      </c>
      <c r="D291" t="s">
        <v>173</v>
      </c>
      <c r="E291" t="s">
        <v>368</v>
      </c>
      <c r="F291" t="s">
        <v>94</v>
      </c>
    </row>
    <row r="292" spans="1:6" x14ac:dyDescent="0.35">
      <c r="A292" t="s">
        <v>449</v>
      </c>
      <c r="B292" t="s">
        <v>44</v>
      </c>
      <c r="C292" t="s">
        <v>60</v>
      </c>
      <c r="D292" t="s">
        <v>34</v>
      </c>
      <c r="E292" t="s">
        <v>34</v>
      </c>
      <c r="F292" t="s">
        <v>45</v>
      </c>
    </row>
    <row r="293" spans="1:6" x14ac:dyDescent="0.35">
      <c r="A293" t="s">
        <v>28</v>
      </c>
      <c r="B293" t="s">
        <v>60</v>
      </c>
      <c r="C293" t="s">
        <v>284</v>
      </c>
      <c r="D293" t="s">
        <v>173</v>
      </c>
      <c r="E293" t="s">
        <v>94</v>
      </c>
      <c r="F293" t="s">
        <v>73</v>
      </c>
    </row>
    <row r="294" spans="1:6" x14ac:dyDescent="0.35">
      <c r="A294" t="s">
        <v>28</v>
      </c>
      <c r="B294" t="s">
        <v>197</v>
      </c>
      <c r="C294" t="s">
        <v>60</v>
      </c>
      <c r="D294" t="s">
        <v>197</v>
      </c>
      <c r="E294" t="s">
        <v>28</v>
      </c>
      <c r="F294" t="s">
        <v>61</v>
      </c>
    </row>
    <row r="295" spans="1:6" x14ac:dyDescent="0.35">
      <c r="A295" t="s">
        <v>28</v>
      </c>
      <c r="B295" t="s">
        <v>29</v>
      </c>
      <c r="C295" t="s">
        <v>206</v>
      </c>
      <c r="D295" t="s">
        <v>173</v>
      </c>
      <c r="E295" t="s">
        <v>368</v>
      </c>
      <c r="F295" t="s">
        <v>94</v>
      </c>
    </row>
    <row r="296" spans="1:6" x14ac:dyDescent="0.35">
      <c r="A296" t="s">
        <v>28</v>
      </c>
      <c r="B296" t="s">
        <v>29</v>
      </c>
      <c r="C296" t="s">
        <v>157</v>
      </c>
      <c r="D296" t="s">
        <v>173</v>
      </c>
      <c r="E296" t="s">
        <v>94</v>
      </c>
      <c r="F296" t="s">
        <v>73</v>
      </c>
    </row>
    <row r="297" spans="1:6" x14ac:dyDescent="0.35">
      <c r="A297" t="s">
        <v>28</v>
      </c>
      <c r="B297" t="s">
        <v>28</v>
      </c>
      <c r="C297" t="s">
        <v>28</v>
      </c>
      <c r="D297" t="s">
        <v>103</v>
      </c>
      <c r="E297" t="s">
        <v>28</v>
      </c>
      <c r="F297" t="s">
        <v>28</v>
      </c>
    </row>
    <row r="298" spans="1:6" x14ac:dyDescent="0.35">
      <c r="A298" t="s">
        <v>28</v>
      </c>
      <c r="B298" t="s">
        <v>44</v>
      </c>
      <c r="C298" t="s">
        <v>28</v>
      </c>
      <c r="D298" t="s">
        <v>28</v>
      </c>
      <c r="E298" t="s">
        <v>28</v>
      </c>
      <c r="F298" t="s">
        <v>45</v>
      </c>
    </row>
    <row r="299" spans="1:6" x14ac:dyDescent="0.35">
      <c r="A299" t="s">
        <v>44</v>
      </c>
      <c r="B299" t="s">
        <v>158</v>
      </c>
      <c r="C299" t="s">
        <v>29</v>
      </c>
      <c r="D299" t="s">
        <v>173</v>
      </c>
      <c r="E299" t="s">
        <v>94</v>
      </c>
      <c r="F299" t="s">
        <v>368</v>
      </c>
    </row>
    <row r="300" spans="1:6" x14ac:dyDescent="0.35">
      <c r="A300" t="s">
        <v>28</v>
      </c>
      <c r="B300" t="s">
        <v>28</v>
      </c>
      <c r="C300" t="s">
        <v>44</v>
      </c>
      <c r="D300" t="s">
        <v>173</v>
      </c>
      <c r="E300" t="s">
        <v>34</v>
      </c>
      <c r="F300" t="s">
        <v>94</v>
      </c>
    </row>
    <row r="301" spans="1:6" x14ac:dyDescent="0.35">
      <c r="A301" t="s">
        <v>28</v>
      </c>
      <c r="B301" t="s">
        <v>158</v>
      </c>
      <c r="C301" t="s">
        <v>206</v>
      </c>
      <c r="D301" t="s">
        <v>158</v>
      </c>
      <c r="E301" t="s">
        <v>30</v>
      </c>
      <c r="F301" t="s">
        <v>45</v>
      </c>
    </row>
    <row r="302" spans="1:6" x14ac:dyDescent="0.35">
      <c r="A302" t="s">
        <v>60</v>
      </c>
      <c r="B302" t="s">
        <v>44</v>
      </c>
      <c r="C302" t="s">
        <v>29</v>
      </c>
      <c r="D302" t="s">
        <v>173</v>
      </c>
      <c r="E302" t="s">
        <v>45</v>
      </c>
      <c r="F302" t="s">
        <v>35</v>
      </c>
    </row>
    <row r="303" spans="1:6" x14ac:dyDescent="0.35">
      <c r="A303" t="s">
        <v>28</v>
      </c>
      <c r="B303" t="s">
        <v>28</v>
      </c>
      <c r="C303" t="s">
        <v>206</v>
      </c>
      <c r="D303" t="s">
        <v>173</v>
      </c>
      <c r="E303" t="s">
        <v>368</v>
      </c>
      <c r="F303" t="s">
        <v>73</v>
      </c>
    </row>
    <row r="304" spans="1:6" x14ac:dyDescent="0.35">
      <c r="A304" t="s">
        <v>44</v>
      </c>
      <c r="B304" t="s">
        <v>33</v>
      </c>
      <c r="C304" t="s">
        <v>60</v>
      </c>
      <c r="D304" t="s">
        <v>173</v>
      </c>
      <c r="E304" t="s">
        <v>173</v>
      </c>
      <c r="F304" t="s">
        <v>28</v>
      </c>
    </row>
    <row r="305" spans="1:6" x14ac:dyDescent="0.35">
      <c r="A305" t="s">
        <v>44</v>
      </c>
      <c r="B305" t="s">
        <v>29</v>
      </c>
      <c r="C305" t="s">
        <v>29</v>
      </c>
      <c r="D305" t="s">
        <v>30</v>
      </c>
      <c r="E305" t="s">
        <v>173</v>
      </c>
      <c r="F305" t="s">
        <v>45</v>
      </c>
    </row>
    <row r="306" spans="1:6" x14ac:dyDescent="0.35">
      <c r="A306" t="s">
        <v>28</v>
      </c>
      <c r="B306" t="s">
        <v>158</v>
      </c>
      <c r="C306" t="s">
        <v>28</v>
      </c>
      <c r="D306" t="s">
        <v>197</v>
      </c>
      <c r="E306" t="s">
        <v>28</v>
      </c>
      <c r="F306" t="s">
        <v>292</v>
      </c>
    </row>
    <row r="307" spans="1:6" x14ac:dyDescent="0.35">
      <c r="A307" t="s">
        <v>28</v>
      </c>
      <c r="B307" t="s">
        <v>44</v>
      </c>
      <c r="C307" t="s">
        <v>206</v>
      </c>
      <c r="D307" t="s">
        <v>173</v>
      </c>
      <c r="E307" t="s">
        <v>368</v>
      </c>
      <c r="F307" t="s">
        <v>94</v>
      </c>
    </row>
    <row r="308" spans="1:6" x14ac:dyDescent="0.35">
      <c r="A308" t="s">
        <v>28</v>
      </c>
      <c r="B308" t="s">
        <v>158</v>
      </c>
      <c r="C308" t="s">
        <v>44</v>
      </c>
      <c r="D308" t="s">
        <v>196</v>
      </c>
      <c r="E308" t="s">
        <v>28</v>
      </c>
      <c r="F308" t="s">
        <v>74</v>
      </c>
    </row>
    <row r="309" spans="1:6" x14ac:dyDescent="0.35">
      <c r="A309" t="s">
        <v>28</v>
      </c>
      <c r="B309" t="s">
        <v>60</v>
      </c>
      <c r="C309" t="s">
        <v>206</v>
      </c>
      <c r="D309" t="s">
        <v>173</v>
      </c>
      <c r="E309" t="s">
        <v>94</v>
      </c>
      <c r="F309" t="s">
        <v>73</v>
      </c>
    </row>
    <row r="310" spans="1:6" x14ac:dyDescent="0.35">
      <c r="A310" t="s">
        <v>344</v>
      </c>
      <c r="B310" t="s">
        <v>60</v>
      </c>
      <c r="C310" t="s">
        <v>60</v>
      </c>
      <c r="D310" t="s">
        <v>34</v>
      </c>
      <c r="E310" t="s">
        <v>30</v>
      </c>
      <c r="F310" t="s">
        <v>28</v>
      </c>
    </row>
    <row r="311" spans="1:6" x14ac:dyDescent="0.35">
      <c r="A311" t="s">
        <v>29</v>
      </c>
      <c r="B311" t="s">
        <v>33</v>
      </c>
      <c r="C311" t="s">
        <v>60</v>
      </c>
      <c r="D311" t="s">
        <v>103</v>
      </c>
      <c r="E311" t="s">
        <v>173</v>
      </c>
      <c r="F311" t="s">
        <v>45</v>
      </c>
    </row>
    <row r="312" spans="1:6" x14ac:dyDescent="0.35">
      <c r="A312" t="s">
        <v>28</v>
      </c>
      <c r="B312" t="s">
        <v>44</v>
      </c>
      <c r="C312" t="s">
        <v>206</v>
      </c>
      <c r="D312" t="s">
        <v>28</v>
      </c>
      <c r="E312" t="s">
        <v>368</v>
      </c>
      <c r="F312" t="s">
        <v>73</v>
      </c>
    </row>
    <row r="313" spans="1:6" x14ac:dyDescent="0.35">
      <c r="A313" t="s">
        <v>28</v>
      </c>
      <c r="B313" t="s">
        <v>60</v>
      </c>
      <c r="C313" t="s">
        <v>73</v>
      </c>
      <c r="D313" t="s">
        <v>103</v>
      </c>
      <c r="E313" t="s">
        <v>94</v>
      </c>
      <c r="F313" t="s">
        <v>94</v>
      </c>
    </row>
    <row r="314" spans="1:6" x14ac:dyDescent="0.35">
      <c r="A314" t="s">
        <v>28</v>
      </c>
      <c r="B314" t="s">
        <v>197</v>
      </c>
      <c r="C314" t="s">
        <v>28</v>
      </c>
      <c r="D314" t="s">
        <v>197</v>
      </c>
      <c r="E314" t="s">
        <v>103</v>
      </c>
      <c r="F314" t="s">
        <v>61</v>
      </c>
    </row>
    <row r="315" spans="1:6" x14ac:dyDescent="0.35">
      <c r="A315" t="s">
        <v>28</v>
      </c>
      <c r="B315" t="s">
        <v>44</v>
      </c>
      <c r="C315" t="s">
        <v>284</v>
      </c>
      <c r="D315" t="s">
        <v>173</v>
      </c>
      <c r="E315" t="s">
        <v>368</v>
      </c>
      <c r="F315" t="s">
        <v>73</v>
      </c>
    </row>
    <row r="316" spans="1:6" x14ac:dyDescent="0.35">
      <c r="A316" t="s">
        <v>28</v>
      </c>
      <c r="B316" t="s">
        <v>60</v>
      </c>
      <c r="C316" t="s">
        <v>284</v>
      </c>
      <c r="D316" t="s">
        <v>173</v>
      </c>
      <c r="E316" t="s">
        <v>368</v>
      </c>
      <c r="F316" t="s">
        <v>73</v>
      </c>
    </row>
    <row r="317" spans="1:6" x14ac:dyDescent="0.35">
      <c r="A317" t="s">
        <v>28</v>
      </c>
      <c r="B317" t="s">
        <v>60</v>
      </c>
      <c r="C317" t="s">
        <v>284</v>
      </c>
      <c r="D317" t="s">
        <v>173</v>
      </c>
      <c r="E317" t="s">
        <v>368</v>
      </c>
      <c r="F317" t="s">
        <v>94</v>
      </c>
    </row>
    <row r="318" spans="1:6" x14ac:dyDescent="0.35">
      <c r="A318" t="s">
        <v>377</v>
      </c>
      <c r="B318" t="s">
        <v>196</v>
      </c>
      <c r="C318" t="s">
        <v>157</v>
      </c>
      <c r="D318" t="s">
        <v>196</v>
      </c>
      <c r="E318" t="s">
        <v>173</v>
      </c>
      <c r="F318" t="s">
        <v>61</v>
      </c>
    </row>
    <row r="319" spans="1:6" x14ac:dyDescent="0.35">
      <c r="A319" t="s">
        <v>60</v>
      </c>
      <c r="B319" t="s">
        <v>29</v>
      </c>
      <c r="C319" t="s">
        <v>29</v>
      </c>
      <c r="D319" t="s">
        <v>173</v>
      </c>
      <c r="E319" t="s">
        <v>173</v>
      </c>
      <c r="F319" t="s">
        <v>35</v>
      </c>
    </row>
    <row r="320" spans="1:6" x14ac:dyDescent="0.35">
      <c r="A320" t="s">
        <v>28</v>
      </c>
      <c r="B320" t="s">
        <v>44</v>
      </c>
      <c r="C320" t="s">
        <v>284</v>
      </c>
      <c r="D320" t="s">
        <v>103</v>
      </c>
      <c r="E320" t="s">
        <v>368</v>
      </c>
      <c r="F320" t="s">
        <v>94</v>
      </c>
    </row>
    <row r="321" spans="1:6" x14ac:dyDescent="0.35">
      <c r="A321" t="s">
        <v>344</v>
      </c>
      <c r="B321" t="s">
        <v>197</v>
      </c>
      <c r="C321" t="s">
        <v>60</v>
      </c>
      <c r="D321" t="s">
        <v>30</v>
      </c>
      <c r="E321" t="s">
        <v>34</v>
      </c>
      <c r="F321" t="s">
        <v>292</v>
      </c>
    </row>
    <row r="322" spans="1:6" x14ac:dyDescent="0.35">
      <c r="A322" t="s">
        <v>449</v>
      </c>
      <c r="B322" t="s">
        <v>196</v>
      </c>
      <c r="C322" t="s">
        <v>44</v>
      </c>
      <c r="D322" t="s">
        <v>196</v>
      </c>
      <c r="E322" t="s">
        <v>30</v>
      </c>
      <c r="F322" t="s">
        <v>74</v>
      </c>
    </row>
    <row r="323" spans="1:6" x14ac:dyDescent="0.35">
      <c r="A323" t="s">
        <v>29</v>
      </c>
      <c r="B323" t="s">
        <v>197</v>
      </c>
      <c r="C323" t="s">
        <v>33</v>
      </c>
      <c r="D323" t="s">
        <v>196</v>
      </c>
      <c r="E323" t="s">
        <v>173</v>
      </c>
      <c r="F323" t="s">
        <v>61</v>
      </c>
    </row>
    <row r="324" spans="1:6" x14ac:dyDescent="0.35">
      <c r="A324" t="s">
        <v>28</v>
      </c>
      <c r="B324" t="s">
        <v>196</v>
      </c>
      <c r="C324" t="s">
        <v>28</v>
      </c>
      <c r="D324" t="s">
        <v>196</v>
      </c>
      <c r="E324" t="s">
        <v>28</v>
      </c>
      <c r="F324" t="s">
        <v>61</v>
      </c>
    </row>
    <row r="325" spans="1:6" x14ac:dyDescent="0.35">
      <c r="A325" t="s">
        <v>449</v>
      </c>
      <c r="B325" t="s">
        <v>197</v>
      </c>
      <c r="C325" t="s">
        <v>60</v>
      </c>
      <c r="D325" t="s">
        <v>196</v>
      </c>
      <c r="E325" t="s">
        <v>30</v>
      </c>
      <c r="F325" t="s">
        <v>61</v>
      </c>
    </row>
    <row r="326" spans="1:6" x14ac:dyDescent="0.35">
      <c r="A326" t="s">
        <v>344</v>
      </c>
      <c r="B326" t="s">
        <v>197</v>
      </c>
      <c r="C326" t="s">
        <v>44</v>
      </c>
      <c r="D326" t="s">
        <v>28</v>
      </c>
      <c r="E326" t="s">
        <v>30</v>
      </c>
      <c r="F326" t="s">
        <v>61</v>
      </c>
    </row>
    <row r="327" spans="1:6" x14ac:dyDescent="0.35">
      <c r="A327" t="s">
        <v>344</v>
      </c>
      <c r="B327" t="s">
        <v>28</v>
      </c>
      <c r="C327" t="s">
        <v>28</v>
      </c>
      <c r="D327" t="s">
        <v>103</v>
      </c>
      <c r="E327" t="s">
        <v>173</v>
      </c>
      <c r="F327" t="s">
        <v>292</v>
      </c>
    </row>
    <row r="328" spans="1:6" x14ac:dyDescent="0.35">
      <c r="A328" t="s">
        <v>60</v>
      </c>
      <c r="B328" t="s">
        <v>29</v>
      </c>
      <c r="C328" t="s">
        <v>29</v>
      </c>
      <c r="D328" t="s">
        <v>103</v>
      </c>
      <c r="E328" t="s">
        <v>103</v>
      </c>
      <c r="F328" t="s">
        <v>28</v>
      </c>
    </row>
    <row r="329" spans="1:6" x14ac:dyDescent="0.35">
      <c r="A329" t="s">
        <v>29</v>
      </c>
      <c r="B329" t="s">
        <v>29</v>
      </c>
      <c r="C329" t="s">
        <v>29</v>
      </c>
      <c r="D329" t="s">
        <v>173</v>
      </c>
      <c r="E329" t="s">
        <v>173</v>
      </c>
      <c r="F329" t="s">
        <v>35</v>
      </c>
    </row>
    <row r="330" spans="1:6" x14ac:dyDescent="0.35">
      <c r="A330" t="s">
        <v>28</v>
      </c>
      <c r="B330" t="s">
        <v>60</v>
      </c>
      <c r="C330" t="s">
        <v>284</v>
      </c>
      <c r="D330" t="s">
        <v>173</v>
      </c>
      <c r="E330" t="s">
        <v>368</v>
      </c>
      <c r="F330" t="s">
        <v>368</v>
      </c>
    </row>
    <row r="331" spans="1:6" x14ac:dyDescent="0.35">
      <c r="A331" t="s">
        <v>449</v>
      </c>
      <c r="B331" t="s">
        <v>44</v>
      </c>
      <c r="C331" t="s">
        <v>206</v>
      </c>
      <c r="D331" t="s">
        <v>30</v>
      </c>
      <c r="E331" t="s">
        <v>368</v>
      </c>
      <c r="F331" t="s">
        <v>94</v>
      </c>
    </row>
    <row r="332" spans="1:6" x14ac:dyDescent="0.35">
      <c r="A332" t="s">
        <v>44</v>
      </c>
      <c r="B332" t="s">
        <v>197</v>
      </c>
      <c r="C332" t="s">
        <v>44</v>
      </c>
      <c r="D332" t="s">
        <v>197</v>
      </c>
      <c r="E332" t="s">
        <v>173</v>
      </c>
      <c r="F332" t="s">
        <v>292</v>
      </c>
    </row>
    <row r="333" spans="1:6" x14ac:dyDescent="0.35">
      <c r="A333" t="s">
        <v>28</v>
      </c>
      <c r="B333" t="s">
        <v>44</v>
      </c>
      <c r="C333" t="s">
        <v>284</v>
      </c>
      <c r="D333" t="s">
        <v>103</v>
      </c>
      <c r="E333" t="s">
        <v>368</v>
      </c>
      <c r="F333" t="s">
        <v>94</v>
      </c>
    </row>
    <row r="334" spans="1:6" x14ac:dyDescent="0.35">
      <c r="A334" t="s">
        <v>449</v>
      </c>
      <c r="B334" t="s">
        <v>197</v>
      </c>
      <c r="C334" t="s">
        <v>60</v>
      </c>
      <c r="D334" t="s">
        <v>173</v>
      </c>
      <c r="E334" t="s">
        <v>30</v>
      </c>
      <c r="F334" t="s">
        <v>35</v>
      </c>
    </row>
    <row r="335" spans="1:6" x14ac:dyDescent="0.35">
      <c r="A335" t="s">
        <v>33</v>
      </c>
      <c r="B335" t="s">
        <v>28</v>
      </c>
      <c r="C335" t="s">
        <v>60</v>
      </c>
      <c r="D335" t="s">
        <v>30</v>
      </c>
      <c r="E335" t="s">
        <v>173</v>
      </c>
      <c r="F335" t="s">
        <v>28</v>
      </c>
    </row>
    <row r="336" spans="1:6" x14ac:dyDescent="0.35">
      <c r="A336" t="s">
        <v>28</v>
      </c>
      <c r="B336" t="s">
        <v>28</v>
      </c>
      <c r="C336" t="s">
        <v>44</v>
      </c>
      <c r="D336" t="s">
        <v>173</v>
      </c>
      <c r="E336" t="s">
        <v>103</v>
      </c>
      <c r="F336" t="s">
        <v>45</v>
      </c>
    </row>
    <row r="337" spans="1:6" x14ac:dyDescent="0.35">
      <c r="A337" t="s">
        <v>60</v>
      </c>
      <c r="B337" t="s">
        <v>44</v>
      </c>
      <c r="C337" t="s">
        <v>28</v>
      </c>
      <c r="D337" t="s">
        <v>158</v>
      </c>
      <c r="E337" t="s">
        <v>368</v>
      </c>
      <c r="F337" t="s">
        <v>368</v>
      </c>
    </row>
    <row r="338" spans="1:6" x14ac:dyDescent="0.35">
      <c r="A338" t="s">
        <v>377</v>
      </c>
      <c r="B338" t="s">
        <v>28</v>
      </c>
      <c r="C338" t="s">
        <v>28</v>
      </c>
      <c r="D338" t="s">
        <v>28</v>
      </c>
      <c r="E338" t="s">
        <v>28</v>
      </c>
      <c r="F338" t="s">
        <v>28</v>
      </c>
    </row>
    <row r="339" spans="1:6" x14ac:dyDescent="0.35">
      <c r="A339" t="s">
        <v>28</v>
      </c>
      <c r="B339" t="s">
        <v>28</v>
      </c>
      <c r="C339" t="s">
        <v>28</v>
      </c>
      <c r="D339" t="s">
        <v>28</v>
      </c>
      <c r="E339" t="s">
        <v>28</v>
      </c>
      <c r="F339" t="s">
        <v>28</v>
      </c>
    </row>
    <row r="340" spans="1:6" x14ac:dyDescent="0.35">
      <c r="A340" t="s">
        <v>33</v>
      </c>
      <c r="B340" t="s">
        <v>60</v>
      </c>
      <c r="C340" t="s">
        <v>44</v>
      </c>
      <c r="D340" t="s">
        <v>173</v>
      </c>
      <c r="E340" t="s">
        <v>103</v>
      </c>
      <c r="F340" t="s">
        <v>45</v>
      </c>
    </row>
    <row r="341" spans="1:6" x14ac:dyDescent="0.35">
      <c r="A341" t="s">
        <v>28</v>
      </c>
      <c r="B341" t="s">
        <v>28</v>
      </c>
      <c r="C341" t="s">
        <v>28</v>
      </c>
      <c r="D341" t="s">
        <v>28</v>
      </c>
      <c r="E341" t="s">
        <v>28</v>
      </c>
      <c r="F341" t="s">
        <v>28</v>
      </c>
    </row>
    <row r="342" spans="1:6" x14ac:dyDescent="0.35">
      <c r="A342" t="s">
        <v>60</v>
      </c>
      <c r="B342" t="s">
        <v>28</v>
      </c>
      <c r="C342" t="s">
        <v>60</v>
      </c>
      <c r="D342" t="s">
        <v>197</v>
      </c>
      <c r="E342" t="s">
        <v>173</v>
      </c>
      <c r="F342" t="s">
        <v>292</v>
      </c>
    </row>
    <row r="343" spans="1:6" x14ac:dyDescent="0.35">
      <c r="A343" t="s">
        <v>28</v>
      </c>
      <c r="B343" t="s">
        <v>29</v>
      </c>
      <c r="C343" t="s">
        <v>28</v>
      </c>
      <c r="D343" t="s">
        <v>197</v>
      </c>
      <c r="E343" t="s">
        <v>73</v>
      </c>
      <c r="F343" t="s">
        <v>368</v>
      </c>
    </row>
    <row r="344" spans="1:6" x14ac:dyDescent="0.35">
      <c r="A344" t="s">
        <v>33</v>
      </c>
      <c r="B344" t="s">
        <v>28</v>
      </c>
      <c r="C344" t="s">
        <v>284</v>
      </c>
      <c r="D344" t="s">
        <v>173</v>
      </c>
      <c r="E344" t="s">
        <v>28</v>
      </c>
      <c r="F344" t="s">
        <v>35</v>
      </c>
    </row>
    <row r="345" spans="1:6" x14ac:dyDescent="0.35">
      <c r="A345" t="s">
        <v>44</v>
      </c>
      <c r="B345" t="s">
        <v>28</v>
      </c>
      <c r="C345" t="s">
        <v>28</v>
      </c>
      <c r="D345" t="s">
        <v>28</v>
      </c>
      <c r="E345" t="s">
        <v>28</v>
      </c>
      <c r="F345" t="s">
        <v>28</v>
      </c>
    </row>
    <row r="346" spans="1:6" x14ac:dyDescent="0.35">
      <c r="A346" t="s">
        <v>60</v>
      </c>
      <c r="B346" t="s">
        <v>28</v>
      </c>
      <c r="C346" t="s">
        <v>60</v>
      </c>
      <c r="D346" t="s">
        <v>197</v>
      </c>
      <c r="E346" t="s">
        <v>173</v>
      </c>
      <c r="F346" t="s">
        <v>292</v>
      </c>
    </row>
    <row r="347" spans="1:6" x14ac:dyDescent="0.35">
      <c r="A347" t="s">
        <v>28</v>
      </c>
      <c r="B347" t="s">
        <v>28</v>
      </c>
      <c r="C347" t="s">
        <v>28</v>
      </c>
      <c r="D347" t="s">
        <v>28</v>
      </c>
      <c r="E347" t="s">
        <v>28</v>
      </c>
      <c r="F347" t="s">
        <v>28</v>
      </c>
    </row>
    <row r="348" spans="1:6" x14ac:dyDescent="0.35">
      <c r="A348" t="s">
        <v>60</v>
      </c>
      <c r="B348" t="s">
        <v>29</v>
      </c>
      <c r="C348" t="s">
        <v>28</v>
      </c>
      <c r="D348" t="s">
        <v>173</v>
      </c>
      <c r="E348" t="s">
        <v>28</v>
      </c>
      <c r="F348" t="s">
        <v>45</v>
      </c>
    </row>
    <row r="349" spans="1:6" x14ac:dyDescent="0.35">
      <c r="A349" t="s">
        <v>377</v>
      </c>
      <c r="B349" t="s">
        <v>28</v>
      </c>
      <c r="C349" t="s">
        <v>28</v>
      </c>
      <c r="D349" t="s">
        <v>28</v>
      </c>
      <c r="E349" t="s">
        <v>28</v>
      </c>
      <c r="F349" t="s">
        <v>28</v>
      </c>
    </row>
    <row r="350" spans="1:6" x14ac:dyDescent="0.35">
      <c r="A350" t="s">
        <v>44</v>
      </c>
      <c r="B350" t="s">
        <v>28</v>
      </c>
      <c r="C350" t="s">
        <v>157</v>
      </c>
      <c r="D350" t="s">
        <v>173</v>
      </c>
      <c r="E350" t="s">
        <v>103</v>
      </c>
      <c r="F350" t="s">
        <v>35</v>
      </c>
    </row>
    <row r="351" spans="1:6" x14ac:dyDescent="0.35">
      <c r="A351" t="s">
        <v>60</v>
      </c>
      <c r="B351" t="s">
        <v>28</v>
      </c>
      <c r="C351" t="s">
        <v>60</v>
      </c>
      <c r="D351" t="s">
        <v>28</v>
      </c>
      <c r="E351" t="s">
        <v>173</v>
      </c>
      <c r="F351" t="s">
        <v>292</v>
      </c>
    </row>
    <row r="352" spans="1:6" x14ac:dyDescent="0.35">
      <c r="A352" t="s">
        <v>377</v>
      </c>
      <c r="B352" t="s">
        <v>60</v>
      </c>
      <c r="C352" t="s">
        <v>284</v>
      </c>
      <c r="D352" t="s">
        <v>103</v>
      </c>
      <c r="E352" t="s">
        <v>368</v>
      </c>
      <c r="F352" t="s">
        <v>292</v>
      </c>
    </row>
    <row r="353" spans="1:6" x14ac:dyDescent="0.35">
      <c r="A353" t="s">
        <v>44</v>
      </c>
      <c r="B353" t="s">
        <v>44</v>
      </c>
      <c r="C353" t="s">
        <v>60</v>
      </c>
      <c r="D353" t="s">
        <v>103</v>
      </c>
      <c r="E353" t="s">
        <v>103</v>
      </c>
      <c r="F353" t="s">
        <v>45</v>
      </c>
    </row>
    <row r="354" spans="1:6" x14ac:dyDescent="0.35">
      <c r="A354" t="s">
        <v>60</v>
      </c>
      <c r="B354" t="s">
        <v>28</v>
      </c>
      <c r="C354" t="s">
        <v>60</v>
      </c>
      <c r="D354" t="s">
        <v>173</v>
      </c>
      <c r="E354" t="s">
        <v>28</v>
      </c>
      <c r="F354" t="s">
        <v>368</v>
      </c>
    </row>
    <row r="355" spans="1:6" x14ac:dyDescent="0.35">
      <c r="A355" t="s">
        <v>377</v>
      </c>
      <c r="B355" t="s">
        <v>28</v>
      </c>
      <c r="C355" t="s">
        <v>44</v>
      </c>
      <c r="D355" t="s">
        <v>28</v>
      </c>
      <c r="E355" t="s">
        <v>28</v>
      </c>
      <c r="F355" t="s">
        <v>28</v>
      </c>
    </row>
    <row r="356" spans="1:6" x14ac:dyDescent="0.35">
      <c r="A356" t="s">
        <v>44</v>
      </c>
      <c r="B356" t="s">
        <v>197</v>
      </c>
      <c r="C356" t="s">
        <v>157</v>
      </c>
      <c r="D356" t="s">
        <v>158</v>
      </c>
      <c r="E356" t="s">
        <v>28</v>
      </c>
      <c r="F356" t="s">
        <v>45</v>
      </c>
    </row>
    <row r="357" spans="1:6" x14ac:dyDescent="0.35">
      <c r="A357" t="s">
        <v>28</v>
      </c>
      <c r="B357" t="s">
        <v>44</v>
      </c>
      <c r="C357" t="s">
        <v>157</v>
      </c>
      <c r="D357" t="s">
        <v>28</v>
      </c>
      <c r="E357" t="s">
        <v>173</v>
      </c>
      <c r="F357" t="s">
        <v>45</v>
      </c>
    </row>
    <row r="358" spans="1:6" x14ac:dyDescent="0.35">
      <c r="A358" t="s">
        <v>60</v>
      </c>
      <c r="B358" t="s">
        <v>28</v>
      </c>
      <c r="C358" t="s">
        <v>60</v>
      </c>
      <c r="D358" t="s">
        <v>197</v>
      </c>
      <c r="E358" t="s">
        <v>28</v>
      </c>
      <c r="F358" t="s">
        <v>292</v>
      </c>
    </row>
    <row r="359" spans="1:6" x14ac:dyDescent="0.35">
      <c r="A359" t="s">
        <v>29</v>
      </c>
      <c r="B359" t="s">
        <v>29</v>
      </c>
      <c r="C359" t="s">
        <v>28</v>
      </c>
      <c r="D359" t="s">
        <v>173</v>
      </c>
      <c r="E359" t="s">
        <v>173</v>
      </c>
      <c r="F359" t="s">
        <v>292</v>
      </c>
    </row>
    <row r="360" spans="1:6" x14ac:dyDescent="0.35">
      <c r="A360" t="s">
        <v>28</v>
      </c>
      <c r="B360" t="s">
        <v>60</v>
      </c>
      <c r="C360" t="s">
        <v>60</v>
      </c>
      <c r="D360" t="s">
        <v>173</v>
      </c>
      <c r="E360" t="s">
        <v>103</v>
      </c>
      <c r="F360" t="s">
        <v>28</v>
      </c>
    </row>
    <row r="361" spans="1:6" x14ac:dyDescent="0.35">
      <c r="A361" t="s">
        <v>28</v>
      </c>
      <c r="B361" t="s">
        <v>28</v>
      </c>
      <c r="C361" t="s">
        <v>157</v>
      </c>
      <c r="D361" t="s">
        <v>197</v>
      </c>
      <c r="E361" t="s">
        <v>94</v>
      </c>
      <c r="F361" t="s">
        <v>368</v>
      </c>
    </row>
    <row r="362" spans="1:6" x14ac:dyDescent="0.35">
      <c r="A362" t="s">
        <v>28</v>
      </c>
      <c r="B362" t="s">
        <v>60</v>
      </c>
      <c r="C362" t="s">
        <v>284</v>
      </c>
      <c r="D362" t="s">
        <v>28</v>
      </c>
      <c r="E362" t="s">
        <v>368</v>
      </c>
      <c r="F362" t="s">
        <v>292</v>
      </c>
    </row>
    <row r="363" spans="1:6" x14ac:dyDescent="0.35">
      <c r="A363" t="s">
        <v>44</v>
      </c>
      <c r="B363" t="s">
        <v>44</v>
      </c>
      <c r="C363" t="s">
        <v>28</v>
      </c>
      <c r="D363" t="s">
        <v>28</v>
      </c>
      <c r="E363" t="s">
        <v>28</v>
      </c>
      <c r="F363" t="s">
        <v>28</v>
      </c>
    </row>
    <row r="364" spans="1:6" x14ac:dyDescent="0.35">
      <c r="A364" t="s">
        <v>28</v>
      </c>
      <c r="B364" t="s">
        <v>60</v>
      </c>
      <c r="C364" t="s">
        <v>284</v>
      </c>
      <c r="D364" t="s">
        <v>30</v>
      </c>
      <c r="E364" t="s">
        <v>45</v>
      </c>
      <c r="F364" t="s">
        <v>61</v>
      </c>
    </row>
    <row r="365" spans="1:6" x14ac:dyDescent="0.35">
      <c r="A365" t="s">
        <v>60</v>
      </c>
      <c r="B365" t="s">
        <v>28</v>
      </c>
      <c r="C365" t="s">
        <v>284</v>
      </c>
      <c r="D365" t="s">
        <v>28</v>
      </c>
      <c r="E365" t="s">
        <v>45</v>
      </c>
      <c r="F365" t="s">
        <v>292</v>
      </c>
    </row>
    <row r="366" spans="1:6" x14ac:dyDescent="0.35">
      <c r="A366" t="s">
        <v>33</v>
      </c>
      <c r="B366" t="s">
        <v>33</v>
      </c>
      <c r="C366" t="s">
        <v>33</v>
      </c>
      <c r="D366" t="s">
        <v>30</v>
      </c>
      <c r="E366" t="s">
        <v>45</v>
      </c>
      <c r="F366" t="s">
        <v>74</v>
      </c>
    </row>
    <row r="367" spans="1:6" x14ac:dyDescent="0.35">
      <c r="A367" t="s">
        <v>29</v>
      </c>
      <c r="B367" t="s">
        <v>158</v>
      </c>
      <c r="C367" t="s">
        <v>284</v>
      </c>
      <c r="D367" t="s">
        <v>158</v>
      </c>
      <c r="E367" t="s">
        <v>28</v>
      </c>
      <c r="F367" t="s">
        <v>368</v>
      </c>
    </row>
    <row r="368" spans="1:6" x14ac:dyDescent="0.35">
      <c r="A368" t="s">
        <v>29</v>
      </c>
      <c r="B368" t="s">
        <v>60</v>
      </c>
      <c r="C368" t="s">
        <v>44</v>
      </c>
      <c r="D368" t="s">
        <v>173</v>
      </c>
      <c r="E368" t="s">
        <v>28</v>
      </c>
      <c r="F368" t="s">
        <v>368</v>
      </c>
    </row>
    <row r="369" spans="1:6" x14ac:dyDescent="0.35">
      <c r="A369" t="s">
        <v>28</v>
      </c>
      <c r="B369" t="s">
        <v>28</v>
      </c>
      <c r="C369" t="s">
        <v>28</v>
      </c>
      <c r="D369" t="s">
        <v>28</v>
      </c>
      <c r="E369" t="s">
        <v>28</v>
      </c>
      <c r="F369" t="s">
        <v>28</v>
      </c>
    </row>
    <row r="370" spans="1:6" x14ac:dyDescent="0.35">
      <c r="A370" t="s">
        <v>44</v>
      </c>
      <c r="B370" t="s">
        <v>158</v>
      </c>
      <c r="C370" t="s">
        <v>284</v>
      </c>
      <c r="D370" t="s">
        <v>173</v>
      </c>
      <c r="E370" t="s">
        <v>103</v>
      </c>
      <c r="F370" t="s">
        <v>28</v>
      </c>
    </row>
    <row r="371" spans="1:6" x14ac:dyDescent="0.35">
      <c r="A371" t="s">
        <v>29</v>
      </c>
      <c r="B371" t="s">
        <v>60</v>
      </c>
      <c r="C371" t="s">
        <v>206</v>
      </c>
      <c r="D371" t="s">
        <v>28</v>
      </c>
      <c r="E371" t="s">
        <v>173</v>
      </c>
      <c r="F371" t="s">
        <v>368</v>
      </c>
    </row>
    <row r="372" spans="1:6" x14ac:dyDescent="0.35">
      <c r="A372" t="s">
        <v>60</v>
      </c>
      <c r="B372" t="s">
        <v>28</v>
      </c>
      <c r="C372" t="s">
        <v>284</v>
      </c>
      <c r="D372" t="s">
        <v>103</v>
      </c>
      <c r="E372" t="s">
        <v>28</v>
      </c>
      <c r="F372" t="s">
        <v>28</v>
      </c>
    </row>
    <row r="373" spans="1:6" x14ac:dyDescent="0.35">
      <c r="A373" t="s">
        <v>29</v>
      </c>
      <c r="B373" t="s">
        <v>60</v>
      </c>
      <c r="C373" t="s">
        <v>206</v>
      </c>
      <c r="D373" t="s">
        <v>28</v>
      </c>
      <c r="E373" t="s">
        <v>368</v>
      </c>
      <c r="F373" t="s">
        <v>292</v>
      </c>
    </row>
    <row r="374" spans="1:6" x14ac:dyDescent="0.35">
      <c r="A374" t="s">
        <v>29</v>
      </c>
      <c r="B374" t="s">
        <v>44</v>
      </c>
      <c r="C374" t="s">
        <v>60</v>
      </c>
      <c r="D374" t="s">
        <v>103</v>
      </c>
      <c r="E374" t="s">
        <v>28</v>
      </c>
      <c r="F374" t="s">
        <v>368</v>
      </c>
    </row>
    <row r="375" spans="1:6" x14ac:dyDescent="0.35">
      <c r="A375" t="s">
        <v>44</v>
      </c>
      <c r="B375" t="s">
        <v>28</v>
      </c>
      <c r="C375" t="s">
        <v>157</v>
      </c>
      <c r="D375" t="s">
        <v>173</v>
      </c>
      <c r="E375" t="s">
        <v>45</v>
      </c>
      <c r="F375" t="s">
        <v>368</v>
      </c>
    </row>
    <row r="376" spans="1:6" x14ac:dyDescent="0.35">
      <c r="A376" t="s">
        <v>60</v>
      </c>
      <c r="B376" t="s">
        <v>28</v>
      </c>
      <c r="C376" t="s">
        <v>28</v>
      </c>
      <c r="D376" t="s">
        <v>28</v>
      </c>
      <c r="E376" t="s">
        <v>28</v>
      </c>
      <c r="F376" t="s">
        <v>28</v>
      </c>
    </row>
    <row r="377" spans="1:6" x14ac:dyDescent="0.35">
      <c r="A377" t="s">
        <v>44</v>
      </c>
      <c r="B377" t="s">
        <v>60</v>
      </c>
      <c r="C377" t="s">
        <v>29</v>
      </c>
      <c r="D377" t="s">
        <v>103</v>
      </c>
      <c r="E377" t="s">
        <v>103</v>
      </c>
      <c r="F377" t="s">
        <v>45</v>
      </c>
    </row>
    <row r="378" spans="1:6" x14ac:dyDescent="0.35">
      <c r="A378" t="s">
        <v>449</v>
      </c>
      <c r="B378" t="s">
        <v>28</v>
      </c>
      <c r="C378" t="s">
        <v>29</v>
      </c>
      <c r="D378" t="s">
        <v>28</v>
      </c>
      <c r="E378" t="s">
        <v>103</v>
      </c>
      <c r="F378" t="s">
        <v>28</v>
      </c>
    </row>
    <row r="379" spans="1:6" x14ac:dyDescent="0.35">
      <c r="A379" t="s">
        <v>344</v>
      </c>
      <c r="B379" t="s">
        <v>28</v>
      </c>
      <c r="C379" t="s">
        <v>44</v>
      </c>
      <c r="D379" t="s">
        <v>158</v>
      </c>
      <c r="E379" t="s">
        <v>173</v>
      </c>
      <c r="F379" t="s">
        <v>368</v>
      </c>
    </row>
    <row r="380" spans="1:6" x14ac:dyDescent="0.35">
      <c r="A380" t="s">
        <v>60</v>
      </c>
      <c r="B380" t="s">
        <v>44</v>
      </c>
      <c r="C380" t="s">
        <v>28</v>
      </c>
      <c r="D380" t="s">
        <v>173</v>
      </c>
      <c r="E380" t="s">
        <v>94</v>
      </c>
      <c r="F380" t="s">
        <v>368</v>
      </c>
    </row>
    <row r="381" spans="1:6" x14ac:dyDescent="0.35">
      <c r="A381" t="s">
        <v>44</v>
      </c>
      <c r="B381" t="s">
        <v>28</v>
      </c>
      <c r="C381" t="s">
        <v>157</v>
      </c>
      <c r="D381" t="s">
        <v>28</v>
      </c>
      <c r="E381" t="s">
        <v>103</v>
      </c>
      <c r="F381" t="s">
        <v>45</v>
      </c>
    </row>
    <row r="382" spans="1:6" x14ac:dyDescent="0.35">
      <c r="A382" t="s">
        <v>377</v>
      </c>
      <c r="B382" t="s">
        <v>60</v>
      </c>
      <c r="C382" t="s">
        <v>28</v>
      </c>
      <c r="D382" t="s">
        <v>197</v>
      </c>
      <c r="E382" t="s">
        <v>173</v>
      </c>
      <c r="F382" t="s">
        <v>45</v>
      </c>
    </row>
    <row r="383" spans="1:6" x14ac:dyDescent="0.35">
      <c r="A383" t="s">
        <v>29</v>
      </c>
      <c r="B383" t="s">
        <v>60</v>
      </c>
      <c r="C383" t="s">
        <v>28</v>
      </c>
      <c r="D383" t="s">
        <v>158</v>
      </c>
      <c r="E383" t="s">
        <v>94</v>
      </c>
      <c r="F383" t="s">
        <v>28</v>
      </c>
    </row>
    <row r="384" spans="1:6" x14ac:dyDescent="0.35">
      <c r="A384" t="s">
        <v>29</v>
      </c>
      <c r="B384" t="s">
        <v>28</v>
      </c>
      <c r="C384" t="s">
        <v>33</v>
      </c>
      <c r="D384" t="s">
        <v>34</v>
      </c>
      <c r="E384" t="s">
        <v>34</v>
      </c>
      <c r="F384" t="s">
        <v>45</v>
      </c>
    </row>
    <row r="385" spans="1:6" x14ac:dyDescent="0.35">
      <c r="A385" t="s">
        <v>33</v>
      </c>
      <c r="B385" t="s">
        <v>44</v>
      </c>
      <c r="C385" t="s">
        <v>28</v>
      </c>
      <c r="D385" t="s">
        <v>28</v>
      </c>
      <c r="E385" t="s">
        <v>103</v>
      </c>
      <c r="F385" t="s">
        <v>45</v>
      </c>
    </row>
    <row r="386" spans="1:6" x14ac:dyDescent="0.35">
      <c r="A386" t="s">
        <v>44</v>
      </c>
      <c r="B386" t="s">
        <v>60</v>
      </c>
      <c r="C386" t="s">
        <v>60</v>
      </c>
      <c r="D386" t="s">
        <v>103</v>
      </c>
      <c r="E386" t="s">
        <v>28</v>
      </c>
      <c r="F386" t="s">
        <v>45</v>
      </c>
    </row>
    <row r="387" spans="1:6" x14ac:dyDescent="0.35">
      <c r="A387" t="s">
        <v>33</v>
      </c>
      <c r="B387" t="s">
        <v>60</v>
      </c>
      <c r="C387" t="s">
        <v>33</v>
      </c>
      <c r="D387" t="s">
        <v>30</v>
      </c>
      <c r="E387" t="s">
        <v>34</v>
      </c>
      <c r="F387" t="s">
        <v>61</v>
      </c>
    </row>
    <row r="388" spans="1:6" x14ac:dyDescent="0.35">
      <c r="A388" t="s">
        <v>377</v>
      </c>
      <c r="B388" t="s">
        <v>196</v>
      </c>
      <c r="C388" t="s">
        <v>60</v>
      </c>
      <c r="D388" t="s">
        <v>173</v>
      </c>
      <c r="E388" t="s">
        <v>45</v>
      </c>
      <c r="F388" t="s">
        <v>368</v>
      </c>
    </row>
    <row r="389" spans="1:6" x14ac:dyDescent="0.35">
      <c r="A389" t="s">
        <v>44</v>
      </c>
      <c r="B389" t="s">
        <v>197</v>
      </c>
      <c r="C389" t="s">
        <v>60</v>
      </c>
      <c r="D389" t="s">
        <v>197</v>
      </c>
      <c r="E389" t="s">
        <v>173</v>
      </c>
      <c r="F389" t="s">
        <v>45</v>
      </c>
    </row>
    <row r="390" spans="1:6" x14ac:dyDescent="0.35">
      <c r="A390" t="s">
        <v>28</v>
      </c>
      <c r="B390" t="s">
        <v>28</v>
      </c>
      <c r="C390" t="s">
        <v>28</v>
      </c>
      <c r="D390" t="s">
        <v>28</v>
      </c>
      <c r="E390" t="s">
        <v>28</v>
      </c>
      <c r="F390" t="s">
        <v>28</v>
      </c>
    </row>
    <row r="391" spans="1:6" x14ac:dyDescent="0.35">
      <c r="A391" t="s">
        <v>28</v>
      </c>
      <c r="B391" t="s">
        <v>28</v>
      </c>
      <c r="C391" t="s">
        <v>60</v>
      </c>
      <c r="D391" t="s">
        <v>28</v>
      </c>
      <c r="E391" t="s">
        <v>45</v>
      </c>
      <c r="F391" t="s">
        <v>28</v>
      </c>
    </row>
    <row r="392" spans="1:6" x14ac:dyDescent="0.35">
      <c r="A392" t="s">
        <v>28</v>
      </c>
      <c r="B392" t="s">
        <v>28</v>
      </c>
      <c r="C392" t="s">
        <v>28</v>
      </c>
      <c r="D392" t="s">
        <v>28</v>
      </c>
      <c r="E392" t="s">
        <v>28</v>
      </c>
      <c r="F392" t="s">
        <v>35</v>
      </c>
    </row>
    <row r="393" spans="1:6" x14ac:dyDescent="0.35">
      <c r="A393" t="s">
        <v>60</v>
      </c>
      <c r="B393" t="s">
        <v>197</v>
      </c>
      <c r="C393" t="s">
        <v>60</v>
      </c>
      <c r="D393" t="s">
        <v>197</v>
      </c>
      <c r="E393" t="s">
        <v>103</v>
      </c>
      <c r="F393" t="s">
        <v>45</v>
      </c>
    </row>
    <row r="394" spans="1:6" x14ac:dyDescent="0.35">
      <c r="A394" t="s">
        <v>28</v>
      </c>
      <c r="B394" t="s">
        <v>28</v>
      </c>
      <c r="C394" t="s">
        <v>28</v>
      </c>
      <c r="D394" t="s">
        <v>28</v>
      </c>
      <c r="E394" t="s">
        <v>28</v>
      </c>
      <c r="F394" t="s">
        <v>28</v>
      </c>
    </row>
    <row r="395" spans="1:6" x14ac:dyDescent="0.35">
      <c r="A395" t="s">
        <v>449</v>
      </c>
      <c r="B395" t="s">
        <v>60</v>
      </c>
      <c r="C395" t="s">
        <v>206</v>
      </c>
      <c r="D395" t="s">
        <v>30</v>
      </c>
      <c r="E395" t="s">
        <v>173</v>
      </c>
      <c r="F395" t="s">
        <v>368</v>
      </c>
    </row>
    <row r="396" spans="1:6" x14ac:dyDescent="0.35">
      <c r="A396" t="s">
        <v>33</v>
      </c>
      <c r="B396" t="s">
        <v>33</v>
      </c>
      <c r="C396" t="s">
        <v>28</v>
      </c>
      <c r="D396" t="s">
        <v>28</v>
      </c>
      <c r="E396" t="s">
        <v>28</v>
      </c>
      <c r="F396" t="s">
        <v>28</v>
      </c>
    </row>
    <row r="397" spans="1:6" x14ac:dyDescent="0.35">
      <c r="A397" t="s">
        <v>28</v>
      </c>
      <c r="B397" t="s">
        <v>28</v>
      </c>
      <c r="C397" t="s">
        <v>28</v>
      </c>
      <c r="D397" t="s">
        <v>28</v>
      </c>
      <c r="E397" t="s">
        <v>28</v>
      </c>
      <c r="F397" t="s">
        <v>28</v>
      </c>
    </row>
    <row r="398" spans="1:6" x14ac:dyDescent="0.35">
      <c r="A398" t="s">
        <v>28</v>
      </c>
      <c r="B398" t="s">
        <v>28</v>
      </c>
      <c r="C398" t="s">
        <v>28</v>
      </c>
      <c r="D398" t="s">
        <v>28</v>
      </c>
      <c r="E398" t="s">
        <v>28</v>
      </c>
      <c r="F398" t="s">
        <v>28</v>
      </c>
    </row>
    <row r="399" spans="1:6" x14ac:dyDescent="0.35">
      <c r="A399" t="s">
        <v>28</v>
      </c>
      <c r="B399" t="s">
        <v>28</v>
      </c>
      <c r="C399" t="s">
        <v>28</v>
      </c>
      <c r="D399" t="s">
        <v>28</v>
      </c>
      <c r="E399" t="s">
        <v>28</v>
      </c>
      <c r="F399" t="s">
        <v>28</v>
      </c>
    </row>
    <row r="400" spans="1:6" x14ac:dyDescent="0.35">
      <c r="A400" t="s">
        <v>28</v>
      </c>
      <c r="B400" t="s">
        <v>28</v>
      </c>
      <c r="C400" t="s">
        <v>28</v>
      </c>
      <c r="D400" t="s">
        <v>28</v>
      </c>
      <c r="E400" t="s">
        <v>28</v>
      </c>
      <c r="F400" t="s">
        <v>28</v>
      </c>
    </row>
    <row r="401" spans="1:6" x14ac:dyDescent="0.35">
      <c r="A401" t="s">
        <v>44</v>
      </c>
      <c r="B401" t="s">
        <v>28</v>
      </c>
      <c r="C401" t="s">
        <v>44</v>
      </c>
      <c r="D401" t="s">
        <v>158</v>
      </c>
      <c r="E401" t="s">
        <v>28</v>
      </c>
      <c r="F401" t="s">
        <v>28</v>
      </c>
    </row>
    <row r="402" spans="1:6" x14ac:dyDescent="0.35">
      <c r="A402" t="s">
        <v>28</v>
      </c>
      <c r="B402" t="s">
        <v>28</v>
      </c>
      <c r="C402" t="s">
        <v>28</v>
      </c>
      <c r="D402" t="s">
        <v>28</v>
      </c>
      <c r="E402" t="s">
        <v>28</v>
      </c>
      <c r="F402" t="s">
        <v>35</v>
      </c>
    </row>
    <row r="403" spans="1:6" x14ac:dyDescent="0.35">
      <c r="A403" t="s">
        <v>28</v>
      </c>
      <c r="B403" t="s">
        <v>28</v>
      </c>
      <c r="C403" t="s">
        <v>28</v>
      </c>
      <c r="D403" t="s">
        <v>28</v>
      </c>
      <c r="E403" t="s">
        <v>28</v>
      </c>
      <c r="F403" t="s">
        <v>28</v>
      </c>
    </row>
    <row r="404" spans="1:6" x14ac:dyDescent="0.35">
      <c r="A404" t="s">
        <v>377</v>
      </c>
      <c r="B404" t="s">
        <v>28</v>
      </c>
      <c r="C404" t="s">
        <v>29</v>
      </c>
      <c r="D404" t="s">
        <v>28</v>
      </c>
      <c r="E404" t="s">
        <v>28</v>
      </c>
      <c r="F404" t="s">
        <v>28</v>
      </c>
    </row>
    <row r="405" spans="1:6" x14ac:dyDescent="0.35">
      <c r="A405" t="s">
        <v>28</v>
      </c>
      <c r="B405" t="s">
        <v>28</v>
      </c>
      <c r="C405" t="s">
        <v>28</v>
      </c>
      <c r="D405" t="s">
        <v>28</v>
      </c>
      <c r="E405" t="s">
        <v>28</v>
      </c>
      <c r="F405" t="s">
        <v>28</v>
      </c>
    </row>
    <row r="406" spans="1:6" x14ac:dyDescent="0.35">
      <c r="A406" t="s">
        <v>28</v>
      </c>
      <c r="B406" t="s">
        <v>60</v>
      </c>
      <c r="C406" t="s">
        <v>28</v>
      </c>
      <c r="D406" t="s">
        <v>103</v>
      </c>
      <c r="E406" t="s">
        <v>28</v>
      </c>
      <c r="F406" t="s">
        <v>28</v>
      </c>
    </row>
    <row r="407" spans="1:6" x14ac:dyDescent="0.35">
      <c r="A407" t="s">
        <v>449</v>
      </c>
      <c r="B407" t="s">
        <v>44</v>
      </c>
      <c r="C407" t="s">
        <v>28</v>
      </c>
      <c r="D407" t="s">
        <v>158</v>
      </c>
      <c r="E407" t="s">
        <v>28</v>
      </c>
      <c r="F407" t="s">
        <v>28</v>
      </c>
    </row>
    <row r="408" spans="1:6" x14ac:dyDescent="0.35">
      <c r="A408" t="s">
        <v>60</v>
      </c>
      <c r="B408" t="s">
        <v>28</v>
      </c>
      <c r="C408" t="s">
        <v>60</v>
      </c>
      <c r="D408" t="s">
        <v>28</v>
      </c>
      <c r="E408" t="s">
        <v>28</v>
      </c>
      <c r="F408" t="s">
        <v>28</v>
      </c>
    </row>
    <row r="409" spans="1:6" x14ac:dyDescent="0.35">
      <c r="A409" t="s">
        <v>28</v>
      </c>
      <c r="B409" t="s">
        <v>28</v>
      </c>
      <c r="C409" t="s">
        <v>28</v>
      </c>
      <c r="D409" t="s">
        <v>173</v>
      </c>
      <c r="E409" t="s">
        <v>28</v>
      </c>
      <c r="F409" t="s">
        <v>28</v>
      </c>
    </row>
    <row r="410" spans="1:6" x14ac:dyDescent="0.35">
      <c r="A410" t="s">
        <v>28</v>
      </c>
      <c r="B410" t="s">
        <v>60</v>
      </c>
      <c r="C410" t="s">
        <v>29</v>
      </c>
      <c r="D410" t="s">
        <v>30</v>
      </c>
      <c r="E410" t="s">
        <v>103</v>
      </c>
      <c r="F410" t="s">
        <v>28</v>
      </c>
    </row>
    <row r="411" spans="1:6" x14ac:dyDescent="0.35">
      <c r="A411" t="s">
        <v>28</v>
      </c>
      <c r="B411" t="s">
        <v>28</v>
      </c>
      <c r="C411" t="s">
        <v>28</v>
      </c>
      <c r="D411" t="s">
        <v>28</v>
      </c>
      <c r="E411" t="s">
        <v>28</v>
      </c>
      <c r="F411" t="s">
        <v>28</v>
      </c>
    </row>
    <row r="412" spans="1:6" x14ac:dyDescent="0.35">
      <c r="A412" t="s">
        <v>28</v>
      </c>
      <c r="B412" t="s">
        <v>196</v>
      </c>
      <c r="C412" t="s">
        <v>157</v>
      </c>
      <c r="D412" t="s">
        <v>103</v>
      </c>
      <c r="E412" t="s">
        <v>28</v>
      </c>
      <c r="F412" t="s">
        <v>28</v>
      </c>
    </row>
    <row r="413" spans="1:6" x14ac:dyDescent="0.35">
      <c r="A413" t="s">
        <v>28</v>
      </c>
      <c r="B413" t="s">
        <v>28</v>
      </c>
      <c r="C413" t="s">
        <v>28</v>
      </c>
      <c r="D413" t="s">
        <v>28</v>
      </c>
      <c r="E413" t="s">
        <v>28</v>
      </c>
      <c r="F413" t="s">
        <v>28</v>
      </c>
    </row>
    <row r="414" spans="1:6" x14ac:dyDescent="0.35">
      <c r="A414" t="s">
        <v>44</v>
      </c>
      <c r="B414" t="s">
        <v>44</v>
      </c>
      <c r="C414" t="s">
        <v>60</v>
      </c>
      <c r="D414" t="s">
        <v>173</v>
      </c>
      <c r="E414" t="s">
        <v>368</v>
      </c>
      <c r="F414" t="s">
        <v>45</v>
      </c>
    </row>
    <row r="415" spans="1:6" x14ac:dyDescent="0.35">
      <c r="A415" t="s">
        <v>28</v>
      </c>
      <c r="B415" t="s">
        <v>196</v>
      </c>
      <c r="C415" t="s">
        <v>28</v>
      </c>
      <c r="D415" t="s">
        <v>197</v>
      </c>
      <c r="E415" t="s">
        <v>28</v>
      </c>
      <c r="F415" t="s">
        <v>28</v>
      </c>
    </row>
    <row r="416" spans="1:6" x14ac:dyDescent="0.35">
      <c r="A416" t="s">
        <v>28</v>
      </c>
      <c r="B416" t="s">
        <v>44</v>
      </c>
      <c r="C416" t="s">
        <v>157</v>
      </c>
      <c r="D416" t="s">
        <v>28</v>
      </c>
      <c r="E416" t="s">
        <v>173</v>
      </c>
      <c r="F416" t="s">
        <v>28</v>
      </c>
    </row>
    <row r="417" spans="1:6" x14ac:dyDescent="0.35">
      <c r="A417" t="s">
        <v>29</v>
      </c>
      <c r="B417" t="s">
        <v>33</v>
      </c>
      <c r="C417" t="s">
        <v>29</v>
      </c>
      <c r="D417" t="s">
        <v>30</v>
      </c>
      <c r="E417" t="s">
        <v>30</v>
      </c>
      <c r="F417" t="s">
        <v>61</v>
      </c>
    </row>
    <row r="418" spans="1:6" x14ac:dyDescent="0.35">
      <c r="A418" t="s">
        <v>28</v>
      </c>
      <c r="B418" t="s">
        <v>44</v>
      </c>
      <c r="C418" t="s">
        <v>157</v>
      </c>
      <c r="D418" t="s">
        <v>103</v>
      </c>
      <c r="E418" t="s">
        <v>103</v>
      </c>
      <c r="F418" t="s">
        <v>28</v>
      </c>
    </row>
    <row r="419" spans="1:6" x14ac:dyDescent="0.35">
      <c r="A419" t="s">
        <v>28</v>
      </c>
      <c r="B419" t="s">
        <v>197</v>
      </c>
      <c r="C419" t="s">
        <v>28</v>
      </c>
      <c r="D419" t="s">
        <v>28</v>
      </c>
      <c r="E419" t="s">
        <v>28</v>
      </c>
      <c r="F419" t="s">
        <v>28</v>
      </c>
    </row>
    <row r="420" spans="1:6" x14ac:dyDescent="0.35">
      <c r="A420" t="s">
        <v>28</v>
      </c>
      <c r="B420" t="s">
        <v>28</v>
      </c>
      <c r="C420" t="s">
        <v>28</v>
      </c>
      <c r="D420" t="s">
        <v>28</v>
      </c>
      <c r="E420" t="s">
        <v>28</v>
      </c>
      <c r="F420" t="s">
        <v>28</v>
      </c>
    </row>
    <row r="421" spans="1:6" x14ac:dyDescent="0.35">
      <c r="A421" t="s">
        <v>44</v>
      </c>
      <c r="B421" t="s">
        <v>60</v>
      </c>
      <c r="C421" t="s">
        <v>28</v>
      </c>
      <c r="D421" t="s">
        <v>30</v>
      </c>
      <c r="E421" t="s">
        <v>368</v>
      </c>
      <c r="F421" t="s">
        <v>94</v>
      </c>
    </row>
    <row r="422" spans="1:6" x14ac:dyDescent="0.35">
      <c r="A422" t="s">
        <v>28</v>
      </c>
      <c r="B422" t="s">
        <v>28</v>
      </c>
      <c r="C422" t="s">
        <v>28</v>
      </c>
      <c r="D422" t="s">
        <v>28</v>
      </c>
      <c r="E422" t="s">
        <v>173</v>
      </c>
      <c r="F422" t="s">
        <v>292</v>
      </c>
    </row>
    <row r="423" spans="1:6" x14ac:dyDescent="0.35">
      <c r="A423" t="s">
        <v>60</v>
      </c>
      <c r="B423" t="s">
        <v>60</v>
      </c>
      <c r="C423" t="s">
        <v>44</v>
      </c>
      <c r="D423" t="s">
        <v>103</v>
      </c>
      <c r="E423" t="s">
        <v>28</v>
      </c>
      <c r="F423" t="s">
        <v>28</v>
      </c>
    </row>
    <row r="424" spans="1:6" x14ac:dyDescent="0.35">
      <c r="A424" t="s">
        <v>44</v>
      </c>
      <c r="B424" t="s">
        <v>60</v>
      </c>
      <c r="C424" t="s">
        <v>44</v>
      </c>
      <c r="D424" t="s">
        <v>173</v>
      </c>
      <c r="E424" t="s">
        <v>28</v>
      </c>
      <c r="F424" t="s">
        <v>28</v>
      </c>
    </row>
    <row r="425" spans="1:6" x14ac:dyDescent="0.35">
      <c r="A425" t="s">
        <v>28</v>
      </c>
      <c r="B425" t="s">
        <v>28</v>
      </c>
      <c r="C425" t="s">
        <v>28</v>
      </c>
      <c r="D425" t="s">
        <v>28</v>
      </c>
      <c r="E425" t="s">
        <v>28</v>
      </c>
      <c r="F425" t="s">
        <v>28</v>
      </c>
    </row>
    <row r="426" spans="1:6" x14ac:dyDescent="0.35">
      <c r="A426" t="s">
        <v>60</v>
      </c>
      <c r="B426" t="s">
        <v>29</v>
      </c>
      <c r="C426" t="s">
        <v>28</v>
      </c>
      <c r="D426" t="s">
        <v>30</v>
      </c>
      <c r="E426" t="s">
        <v>28</v>
      </c>
      <c r="F426" t="s">
        <v>368</v>
      </c>
    </row>
    <row r="427" spans="1:6" x14ac:dyDescent="0.35">
      <c r="A427" t="s">
        <v>28</v>
      </c>
      <c r="B427" t="s">
        <v>28</v>
      </c>
      <c r="C427" t="s">
        <v>28</v>
      </c>
      <c r="D427" t="s">
        <v>28</v>
      </c>
      <c r="E427" t="s">
        <v>28</v>
      </c>
      <c r="F427" t="s">
        <v>28</v>
      </c>
    </row>
    <row r="428" spans="1:6" x14ac:dyDescent="0.35">
      <c r="A428" t="s">
        <v>60</v>
      </c>
      <c r="B428" t="s">
        <v>60</v>
      </c>
      <c r="C428" t="s">
        <v>28</v>
      </c>
      <c r="D428" t="s">
        <v>173</v>
      </c>
      <c r="E428" t="s">
        <v>368</v>
      </c>
      <c r="F428" t="s">
        <v>94</v>
      </c>
    </row>
    <row r="429" spans="1:6" x14ac:dyDescent="0.35">
      <c r="A429" t="s">
        <v>28</v>
      </c>
      <c r="B429" t="s">
        <v>28</v>
      </c>
      <c r="C429" t="s">
        <v>28</v>
      </c>
      <c r="D429" t="s">
        <v>28</v>
      </c>
      <c r="E429" t="s">
        <v>28</v>
      </c>
      <c r="F429" t="s">
        <v>28</v>
      </c>
    </row>
    <row r="430" spans="1:6" x14ac:dyDescent="0.35">
      <c r="A430" t="s">
        <v>28</v>
      </c>
      <c r="B430" t="s">
        <v>44</v>
      </c>
      <c r="C430" t="s">
        <v>157</v>
      </c>
      <c r="D430" t="s">
        <v>103</v>
      </c>
      <c r="E430" t="s">
        <v>103</v>
      </c>
      <c r="F430" t="s">
        <v>28</v>
      </c>
    </row>
    <row r="431" spans="1:6" x14ac:dyDescent="0.35">
      <c r="A431" t="s">
        <v>28</v>
      </c>
      <c r="B431" t="s">
        <v>33</v>
      </c>
      <c r="C431" t="s">
        <v>157</v>
      </c>
      <c r="D431" t="s">
        <v>30</v>
      </c>
      <c r="E431" t="s">
        <v>28</v>
      </c>
      <c r="F431" t="s">
        <v>368</v>
      </c>
    </row>
    <row r="432" spans="1:6" x14ac:dyDescent="0.35">
      <c r="A432" t="s">
        <v>28</v>
      </c>
      <c r="B432" t="s">
        <v>44</v>
      </c>
      <c r="C432" t="s">
        <v>28</v>
      </c>
      <c r="D432" t="s">
        <v>173</v>
      </c>
      <c r="E432" t="s">
        <v>103</v>
      </c>
      <c r="F432" t="s">
        <v>35</v>
      </c>
    </row>
    <row r="433" spans="1:6" x14ac:dyDescent="0.35">
      <c r="A433" t="s">
        <v>28</v>
      </c>
      <c r="B433" t="s">
        <v>33</v>
      </c>
      <c r="C433" t="s">
        <v>60</v>
      </c>
      <c r="D433" t="s">
        <v>158</v>
      </c>
      <c r="E433" t="s">
        <v>103</v>
      </c>
      <c r="F433" t="s">
        <v>368</v>
      </c>
    </row>
    <row r="434" spans="1:6" x14ac:dyDescent="0.35">
      <c r="A434" t="s">
        <v>29</v>
      </c>
      <c r="B434" t="s">
        <v>158</v>
      </c>
      <c r="C434" t="s">
        <v>73</v>
      </c>
      <c r="D434" t="s">
        <v>72</v>
      </c>
      <c r="E434" t="s">
        <v>73</v>
      </c>
      <c r="F434" t="s">
        <v>74</v>
      </c>
    </row>
    <row r="435" spans="1:6" x14ac:dyDescent="0.35">
      <c r="A435" t="s">
        <v>60</v>
      </c>
      <c r="B435" t="s">
        <v>196</v>
      </c>
      <c r="C435" t="s">
        <v>206</v>
      </c>
      <c r="D435" t="s">
        <v>196</v>
      </c>
      <c r="E435" t="s">
        <v>73</v>
      </c>
      <c r="F435" t="s">
        <v>28</v>
      </c>
    </row>
    <row r="436" spans="1:6" x14ac:dyDescent="0.35">
      <c r="A436" t="s">
        <v>29</v>
      </c>
      <c r="B436" t="s">
        <v>60</v>
      </c>
      <c r="C436" t="s">
        <v>206</v>
      </c>
      <c r="D436" t="s">
        <v>72</v>
      </c>
      <c r="E436" t="s">
        <v>173</v>
      </c>
      <c r="F436" t="s">
        <v>73</v>
      </c>
    </row>
    <row r="437" spans="1:6" x14ac:dyDescent="0.35">
      <c r="A437" t="s">
        <v>71</v>
      </c>
      <c r="B437" t="s">
        <v>197</v>
      </c>
      <c r="C437" t="s">
        <v>44</v>
      </c>
      <c r="D437" t="s">
        <v>158</v>
      </c>
      <c r="E437" t="s">
        <v>28</v>
      </c>
      <c r="F437" t="s">
        <v>45</v>
      </c>
    </row>
    <row r="438" spans="1:6" x14ac:dyDescent="0.35">
      <c r="A438" t="s">
        <v>60</v>
      </c>
      <c r="B438" t="s">
        <v>72</v>
      </c>
      <c r="C438" t="s">
        <v>29</v>
      </c>
      <c r="D438" t="s">
        <v>196</v>
      </c>
      <c r="E438" t="s">
        <v>34</v>
      </c>
      <c r="F438" t="s">
        <v>94</v>
      </c>
    </row>
    <row r="439" spans="1:6" x14ac:dyDescent="0.35">
      <c r="A439" t="s">
        <v>28</v>
      </c>
      <c r="B439" t="s">
        <v>33</v>
      </c>
      <c r="C439" t="s">
        <v>29</v>
      </c>
      <c r="D439" t="s">
        <v>30</v>
      </c>
      <c r="E439" t="s">
        <v>103</v>
      </c>
      <c r="F439" t="s">
        <v>74</v>
      </c>
    </row>
    <row r="440" spans="1:6" x14ac:dyDescent="0.35">
      <c r="A440" t="s">
        <v>344</v>
      </c>
      <c r="B440" t="s">
        <v>196</v>
      </c>
      <c r="C440" t="s">
        <v>206</v>
      </c>
      <c r="D440" t="s">
        <v>196</v>
      </c>
      <c r="E440" t="s">
        <v>28</v>
      </c>
      <c r="F440" t="s">
        <v>94</v>
      </c>
    </row>
    <row r="441" spans="1:6" x14ac:dyDescent="0.35">
      <c r="A441" t="s">
        <v>60</v>
      </c>
      <c r="B441" t="s">
        <v>29</v>
      </c>
      <c r="C441" t="s">
        <v>28</v>
      </c>
      <c r="D441" t="s">
        <v>196</v>
      </c>
      <c r="E441" t="s">
        <v>45</v>
      </c>
      <c r="F441" t="s">
        <v>28</v>
      </c>
    </row>
    <row r="442" spans="1:6" x14ac:dyDescent="0.35">
      <c r="A442" t="s">
        <v>60</v>
      </c>
      <c r="B442" t="s">
        <v>28</v>
      </c>
      <c r="C442" t="s">
        <v>29</v>
      </c>
      <c r="D442" t="s">
        <v>197</v>
      </c>
      <c r="E442" t="s">
        <v>368</v>
      </c>
      <c r="F442" t="s">
        <v>35</v>
      </c>
    </row>
    <row r="443" spans="1:6" x14ac:dyDescent="0.35">
      <c r="A443" t="s">
        <v>60</v>
      </c>
      <c r="B443" t="s">
        <v>29</v>
      </c>
      <c r="C443" t="s">
        <v>28</v>
      </c>
      <c r="D443" t="s">
        <v>72</v>
      </c>
      <c r="E443" t="s">
        <v>368</v>
      </c>
      <c r="F443" t="s">
        <v>28</v>
      </c>
    </row>
    <row r="444" spans="1:6" x14ac:dyDescent="0.35">
      <c r="A444" t="s">
        <v>29</v>
      </c>
      <c r="B444" t="s">
        <v>60</v>
      </c>
      <c r="C444" t="s">
        <v>60</v>
      </c>
      <c r="D444" t="s">
        <v>28</v>
      </c>
      <c r="E444" t="s">
        <v>368</v>
      </c>
      <c r="F444" t="s">
        <v>94</v>
      </c>
    </row>
    <row r="445" spans="1:6" x14ac:dyDescent="0.35">
      <c r="A445" t="s">
        <v>28</v>
      </c>
      <c r="B445" t="s">
        <v>196</v>
      </c>
      <c r="C445" t="s">
        <v>28</v>
      </c>
      <c r="D445" t="s">
        <v>196</v>
      </c>
      <c r="E445" t="s">
        <v>28</v>
      </c>
      <c r="F445" t="s">
        <v>35</v>
      </c>
    </row>
    <row r="446" spans="1:6" x14ac:dyDescent="0.35">
      <c r="A446" t="s">
        <v>28</v>
      </c>
      <c r="B446" t="s">
        <v>28</v>
      </c>
      <c r="C446" t="s">
        <v>28</v>
      </c>
      <c r="D446" t="s">
        <v>28</v>
      </c>
      <c r="E446" t="s">
        <v>28</v>
      </c>
      <c r="F446" t="s">
        <v>28</v>
      </c>
    </row>
    <row r="447" spans="1:6" x14ac:dyDescent="0.35">
      <c r="A447" t="s">
        <v>60</v>
      </c>
      <c r="B447" t="s">
        <v>28</v>
      </c>
      <c r="C447" t="s">
        <v>284</v>
      </c>
      <c r="D447" t="s">
        <v>196</v>
      </c>
      <c r="E447" t="s">
        <v>173</v>
      </c>
      <c r="F447" t="s">
        <v>28</v>
      </c>
    </row>
    <row r="448" spans="1:6" x14ac:dyDescent="0.35">
      <c r="A448" t="s">
        <v>44</v>
      </c>
      <c r="B448" t="s">
        <v>44</v>
      </c>
      <c r="C448" t="s">
        <v>44</v>
      </c>
      <c r="D448" t="s">
        <v>103</v>
      </c>
      <c r="E448" t="s">
        <v>103</v>
      </c>
      <c r="F448" t="s">
        <v>28</v>
      </c>
    </row>
    <row r="449" spans="1:6" x14ac:dyDescent="0.35">
      <c r="A449" t="s">
        <v>60</v>
      </c>
      <c r="B449" t="s">
        <v>28</v>
      </c>
      <c r="C449" t="s">
        <v>60</v>
      </c>
      <c r="D449" t="s">
        <v>158</v>
      </c>
      <c r="E449" t="s">
        <v>368</v>
      </c>
      <c r="F449" t="s">
        <v>28</v>
      </c>
    </row>
    <row r="450" spans="1:6" x14ac:dyDescent="0.35">
      <c r="A450" t="s">
        <v>44</v>
      </c>
      <c r="B450" t="s">
        <v>60</v>
      </c>
      <c r="C450" t="s">
        <v>60</v>
      </c>
      <c r="D450" t="s">
        <v>103</v>
      </c>
      <c r="E450" t="s">
        <v>28</v>
      </c>
      <c r="F450" t="s">
        <v>45</v>
      </c>
    </row>
    <row r="451" spans="1:6" x14ac:dyDescent="0.35">
      <c r="A451" t="s">
        <v>60</v>
      </c>
      <c r="B451" t="s">
        <v>28</v>
      </c>
      <c r="C451" t="s">
        <v>284</v>
      </c>
      <c r="D451" t="s">
        <v>197</v>
      </c>
      <c r="E451" t="s">
        <v>28</v>
      </c>
      <c r="F451" t="s">
        <v>292</v>
      </c>
    </row>
    <row r="452" spans="1:6" x14ac:dyDescent="0.35">
      <c r="A452" t="s">
        <v>28</v>
      </c>
      <c r="B452" t="s">
        <v>28</v>
      </c>
      <c r="C452" t="s">
        <v>28</v>
      </c>
      <c r="D452" t="s">
        <v>28</v>
      </c>
      <c r="E452" t="s">
        <v>28</v>
      </c>
      <c r="F452" t="s">
        <v>28</v>
      </c>
    </row>
    <row r="453" spans="1:6" x14ac:dyDescent="0.35">
      <c r="A453" t="s">
        <v>28</v>
      </c>
      <c r="B453" t="s">
        <v>28</v>
      </c>
      <c r="C453" t="s">
        <v>44</v>
      </c>
      <c r="D453" t="s">
        <v>103</v>
      </c>
      <c r="E453" t="s">
        <v>103</v>
      </c>
      <c r="F453" t="s">
        <v>28</v>
      </c>
    </row>
    <row r="454" spans="1:6" x14ac:dyDescent="0.35">
      <c r="A454" t="s">
        <v>60</v>
      </c>
      <c r="B454" t="s">
        <v>60</v>
      </c>
      <c r="C454" t="s">
        <v>60</v>
      </c>
      <c r="D454" t="s">
        <v>173</v>
      </c>
      <c r="E454" t="s">
        <v>28</v>
      </c>
      <c r="F454" t="s">
        <v>368</v>
      </c>
    </row>
    <row r="455" spans="1:6" x14ac:dyDescent="0.35">
      <c r="A455" t="s">
        <v>29</v>
      </c>
      <c r="B455" t="s">
        <v>60</v>
      </c>
      <c r="C455" t="s">
        <v>206</v>
      </c>
      <c r="D455" t="s">
        <v>28</v>
      </c>
      <c r="E455" t="s">
        <v>368</v>
      </c>
      <c r="F455" t="s">
        <v>28</v>
      </c>
    </row>
    <row r="456" spans="1:6" x14ac:dyDescent="0.35">
      <c r="A456" t="s">
        <v>28</v>
      </c>
      <c r="B456" t="s">
        <v>44</v>
      </c>
      <c r="C456" t="s">
        <v>28</v>
      </c>
      <c r="D456" t="s">
        <v>103</v>
      </c>
      <c r="E456" t="s">
        <v>28</v>
      </c>
      <c r="F456" t="s">
        <v>45</v>
      </c>
    </row>
    <row r="457" spans="1:6" x14ac:dyDescent="0.35">
      <c r="A457" t="s">
        <v>60</v>
      </c>
      <c r="B457" t="s">
        <v>60</v>
      </c>
      <c r="C457" t="s">
        <v>60</v>
      </c>
      <c r="D457" t="s">
        <v>173</v>
      </c>
      <c r="E457" t="s">
        <v>28</v>
      </c>
      <c r="F457" t="s">
        <v>45</v>
      </c>
    </row>
    <row r="458" spans="1:6" x14ac:dyDescent="0.35">
      <c r="A458" t="s">
        <v>28</v>
      </c>
      <c r="B458" t="s">
        <v>28</v>
      </c>
      <c r="C458" t="s">
        <v>28</v>
      </c>
      <c r="D458" t="s">
        <v>28</v>
      </c>
      <c r="E458" t="s">
        <v>28</v>
      </c>
      <c r="F458" t="s">
        <v>28</v>
      </c>
    </row>
    <row r="459" spans="1:6" x14ac:dyDescent="0.35">
      <c r="A459" t="s">
        <v>33</v>
      </c>
      <c r="B459" t="s">
        <v>33</v>
      </c>
      <c r="C459" t="s">
        <v>33</v>
      </c>
      <c r="D459" t="s">
        <v>34</v>
      </c>
      <c r="E459" t="s">
        <v>34</v>
      </c>
      <c r="F459" t="s">
        <v>74</v>
      </c>
    </row>
    <row r="460" spans="1:6" x14ac:dyDescent="0.35">
      <c r="A460" t="s">
        <v>44</v>
      </c>
      <c r="B460" t="s">
        <v>44</v>
      </c>
      <c r="C460" t="s">
        <v>60</v>
      </c>
      <c r="D460" t="s">
        <v>173</v>
      </c>
      <c r="E460" t="s">
        <v>103</v>
      </c>
      <c r="F460" t="s">
        <v>28</v>
      </c>
    </row>
    <row r="461" spans="1:6" x14ac:dyDescent="0.35">
      <c r="A461" t="s">
        <v>33</v>
      </c>
      <c r="B461" t="s">
        <v>33</v>
      </c>
      <c r="C461" t="s">
        <v>33</v>
      </c>
      <c r="D461" t="s">
        <v>34</v>
      </c>
      <c r="E461" t="s">
        <v>34</v>
      </c>
      <c r="F461" t="s">
        <v>74</v>
      </c>
    </row>
    <row r="462" spans="1:6" x14ac:dyDescent="0.35">
      <c r="A462" t="s">
        <v>28</v>
      </c>
      <c r="B462" t="s">
        <v>28</v>
      </c>
      <c r="C462" t="s">
        <v>157</v>
      </c>
      <c r="D462" t="s">
        <v>28</v>
      </c>
      <c r="E462" t="s">
        <v>368</v>
      </c>
      <c r="F462" t="s">
        <v>28</v>
      </c>
    </row>
    <row r="463" spans="1:6" x14ac:dyDescent="0.35">
      <c r="A463" t="s">
        <v>28</v>
      </c>
      <c r="B463" t="s">
        <v>28</v>
      </c>
      <c r="C463" t="s">
        <v>28</v>
      </c>
      <c r="D463" t="s">
        <v>103</v>
      </c>
      <c r="E463" t="s">
        <v>28</v>
      </c>
      <c r="F463" t="s">
        <v>28</v>
      </c>
    </row>
    <row r="464" spans="1:6" x14ac:dyDescent="0.35">
      <c r="A464" t="s">
        <v>33</v>
      </c>
      <c r="B464" t="s">
        <v>33</v>
      </c>
      <c r="C464" t="s">
        <v>33</v>
      </c>
      <c r="D464" t="s">
        <v>34</v>
      </c>
      <c r="E464" t="s">
        <v>34</v>
      </c>
      <c r="F464" t="s">
        <v>74</v>
      </c>
    </row>
    <row r="465" spans="1:6" x14ac:dyDescent="0.35">
      <c r="A465" t="s">
        <v>28</v>
      </c>
      <c r="B465" t="s">
        <v>28</v>
      </c>
      <c r="C465" t="s">
        <v>28</v>
      </c>
      <c r="D465" t="s">
        <v>28</v>
      </c>
      <c r="E465" t="s">
        <v>28</v>
      </c>
      <c r="F465" t="s">
        <v>61</v>
      </c>
    </row>
    <row r="466" spans="1:6" x14ac:dyDescent="0.35">
      <c r="A466" t="s">
        <v>28</v>
      </c>
      <c r="B466" t="s">
        <v>28</v>
      </c>
      <c r="C466" t="s">
        <v>28</v>
      </c>
      <c r="D466" t="s">
        <v>28</v>
      </c>
      <c r="E466" t="s">
        <v>28</v>
      </c>
      <c r="F466" t="s">
        <v>28</v>
      </c>
    </row>
    <row r="467" spans="1:6" x14ac:dyDescent="0.35">
      <c r="A467" t="s">
        <v>33</v>
      </c>
      <c r="B467" t="s">
        <v>33</v>
      </c>
      <c r="C467" t="s">
        <v>29</v>
      </c>
      <c r="D467" t="s">
        <v>30</v>
      </c>
      <c r="E467" t="s">
        <v>34</v>
      </c>
      <c r="F467" t="s">
        <v>74</v>
      </c>
    </row>
    <row r="468" spans="1:6" x14ac:dyDescent="0.35">
      <c r="A468" t="s">
        <v>60</v>
      </c>
      <c r="B468" t="s">
        <v>60</v>
      </c>
      <c r="C468" t="s">
        <v>44</v>
      </c>
      <c r="D468" t="s">
        <v>103</v>
      </c>
      <c r="E468" t="s">
        <v>103</v>
      </c>
      <c r="F468" t="s">
        <v>28</v>
      </c>
    </row>
    <row r="469" spans="1:6" x14ac:dyDescent="0.35">
      <c r="A469" t="s">
        <v>28</v>
      </c>
      <c r="B469" t="s">
        <v>44</v>
      </c>
      <c r="C469" t="s">
        <v>28</v>
      </c>
      <c r="D469" t="s">
        <v>30</v>
      </c>
      <c r="E469" t="s">
        <v>28</v>
      </c>
      <c r="F469" t="s">
        <v>368</v>
      </c>
    </row>
    <row r="470" spans="1:6" x14ac:dyDescent="0.35">
      <c r="A470" t="s">
        <v>33</v>
      </c>
      <c r="B470" t="s">
        <v>33</v>
      </c>
      <c r="C470" t="s">
        <v>29</v>
      </c>
      <c r="D470" t="s">
        <v>30</v>
      </c>
      <c r="E470" t="s">
        <v>30</v>
      </c>
      <c r="F470" t="s">
        <v>292</v>
      </c>
    </row>
    <row r="471" spans="1:6" x14ac:dyDescent="0.35">
      <c r="A471" t="s">
        <v>60</v>
      </c>
      <c r="B471" t="s">
        <v>44</v>
      </c>
      <c r="C471" t="s">
        <v>60</v>
      </c>
      <c r="D471" t="s">
        <v>103</v>
      </c>
      <c r="E471" t="s">
        <v>103</v>
      </c>
      <c r="F471" t="s">
        <v>28</v>
      </c>
    </row>
    <row r="472" spans="1:6" x14ac:dyDescent="0.35">
      <c r="A472" t="s">
        <v>28</v>
      </c>
      <c r="B472" t="s">
        <v>28</v>
      </c>
      <c r="C472" t="s">
        <v>28</v>
      </c>
      <c r="D472" t="s">
        <v>28</v>
      </c>
      <c r="E472" t="s">
        <v>28</v>
      </c>
      <c r="F472" t="s">
        <v>28</v>
      </c>
    </row>
    <row r="473" spans="1:6" x14ac:dyDescent="0.35">
      <c r="A473" t="s">
        <v>449</v>
      </c>
      <c r="B473" t="s">
        <v>28</v>
      </c>
      <c r="C473" t="s">
        <v>28</v>
      </c>
      <c r="D473" t="s">
        <v>28</v>
      </c>
      <c r="E473" t="s">
        <v>28</v>
      </c>
      <c r="F473" t="s">
        <v>28</v>
      </c>
    </row>
    <row r="474" spans="1:6" x14ac:dyDescent="0.35">
      <c r="A474" t="s">
        <v>33</v>
      </c>
      <c r="B474" t="s">
        <v>33</v>
      </c>
      <c r="C474" t="s">
        <v>29</v>
      </c>
      <c r="D474" t="s">
        <v>34</v>
      </c>
      <c r="E474" t="s">
        <v>34</v>
      </c>
      <c r="F474" t="s">
        <v>74</v>
      </c>
    </row>
    <row r="475" spans="1:6" x14ac:dyDescent="0.35">
      <c r="A475" t="s">
        <v>28</v>
      </c>
      <c r="B475" t="s">
        <v>28</v>
      </c>
      <c r="C475" t="s">
        <v>28</v>
      </c>
      <c r="D475" t="s">
        <v>28</v>
      </c>
      <c r="E475" t="s">
        <v>28</v>
      </c>
      <c r="F475" t="s">
        <v>28</v>
      </c>
    </row>
    <row r="476" spans="1:6" x14ac:dyDescent="0.35">
      <c r="A476" t="s">
        <v>28</v>
      </c>
      <c r="B476" t="s">
        <v>60</v>
      </c>
      <c r="C476" t="s">
        <v>28</v>
      </c>
      <c r="D476" t="s">
        <v>28</v>
      </c>
      <c r="E476" t="s">
        <v>28</v>
      </c>
      <c r="F476" t="s">
        <v>28</v>
      </c>
    </row>
    <row r="477" spans="1:6" x14ac:dyDescent="0.35">
      <c r="A477" t="s">
        <v>33</v>
      </c>
      <c r="B477" t="s">
        <v>33</v>
      </c>
      <c r="C477" t="s">
        <v>33</v>
      </c>
      <c r="D477" t="s">
        <v>34</v>
      </c>
      <c r="E477" t="s">
        <v>34</v>
      </c>
      <c r="F477" t="s">
        <v>74</v>
      </c>
    </row>
    <row r="478" spans="1:6" x14ac:dyDescent="0.35">
      <c r="A478" t="s">
        <v>44</v>
      </c>
      <c r="B478" t="s">
        <v>28</v>
      </c>
      <c r="C478" t="s">
        <v>60</v>
      </c>
      <c r="D478" t="s">
        <v>196</v>
      </c>
      <c r="E478" t="s">
        <v>368</v>
      </c>
      <c r="F478" t="s">
        <v>28</v>
      </c>
    </row>
    <row r="479" spans="1:6" x14ac:dyDescent="0.35">
      <c r="A479" t="s">
        <v>28</v>
      </c>
      <c r="B479" t="s">
        <v>28</v>
      </c>
      <c r="C479" t="s">
        <v>28</v>
      </c>
      <c r="D479" t="s">
        <v>28</v>
      </c>
      <c r="E479" t="s">
        <v>28</v>
      </c>
      <c r="F479" t="s">
        <v>35</v>
      </c>
    </row>
    <row r="480" spans="1:6" x14ac:dyDescent="0.35">
      <c r="A480" t="s">
        <v>33</v>
      </c>
      <c r="B480" t="s">
        <v>33</v>
      </c>
      <c r="C480" t="s">
        <v>33</v>
      </c>
      <c r="D480" t="s">
        <v>34</v>
      </c>
      <c r="E480" t="s">
        <v>34</v>
      </c>
      <c r="F480" t="s">
        <v>74</v>
      </c>
    </row>
    <row r="481" spans="1:6" x14ac:dyDescent="0.35">
      <c r="A481" t="s">
        <v>28</v>
      </c>
      <c r="B481" t="s">
        <v>28</v>
      </c>
      <c r="C481" t="s">
        <v>28</v>
      </c>
      <c r="D481" t="s">
        <v>28</v>
      </c>
      <c r="E481" t="s">
        <v>28</v>
      </c>
      <c r="F481" t="s">
        <v>28</v>
      </c>
    </row>
    <row r="482" spans="1:6" x14ac:dyDescent="0.35">
      <c r="A482" t="s">
        <v>29</v>
      </c>
      <c r="B482" t="s">
        <v>28</v>
      </c>
      <c r="C482" t="s">
        <v>60</v>
      </c>
      <c r="D482" t="s">
        <v>196</v>
      </c>
      <c r="E482" t="s">
        <v>368</v>
      </c>
      <c r="F482" t="s">
        <v>28</v>
      </c>
    </row>
    <row r="483" spans="1:6" x14ac:dyDescent="0.35">
      <c r="A483" t="s">
        <v>28</v>
      </c>
      <c r="B483" t="s">
        <v>28</v>
      </c>
      <c r="C483" t="s">
        <v>206</v>
      </c>
      <c r="D483" t="s">
        <v>103</v>
      </c>
      <c r="E483" t="s">
        <v>28</v>
      </c>
      <c r="F483" t="s">
        <v>28</v>
      </c>
    </row>
    <row r="484" spans="1:6" x14ac:dyDescent="0.35">
      <c r="A484" t="s">
        <v>29</v>
      </c>
      <c r="B484" t="s">
        <v>33</v>
      </c>
      <c r="C484" t="s">
        <v>33</v>
      </c>
      <c r="D484" t="s">
        <v>34</v>
      </c>
      <c r="E484" t="s">
        <v>34</v>
      </c>
      <c r="F484" t="s">
        <v>74</v>
      </c>
    </row>
    <row r="485" spans="1:6" x14ac:dyDescent="0.35">
      <c r="A485" t="s">
        <v>28</v>
      </c>
      <c r="B485" t="s">
        <v>28</v>
      </c>
      <c r="C485" t="s">
        <v>28</v>
      </c>
      <c r="D485" t="s">
        <v>28</v>
      </c>
      <c r="E485" t="s">
        <v>28</v>
      </c>
      <c r="F485" t="s">
        <v>28</v>
      </c>
    </row>
    <row r="486" spans="1:6" x14ac:dyDescent="0.35">
      <c r="A486" t="s">
        <v>29</v>
      </c>
      <c r="B486" t="s">
        <v>33</v>
      </c>
      <c r="C486" t="s">
        <v>33</v>
      </c>
      <c r="D486" t="s">
        <v>34</v>
      </c>
      <c r="E486" t="s">
        <v>34</v>
      </c>
      <c r="F486" t="s">
        <v>61</v>
      </c>
    </row>
    <row r="487" spans="1:6" x14ac:dyDescent="0.35">
      <c r="A487" t="s">
        <v>28</v>
      </c>
      <c r="B487" t="s">
        <v>60</v>
      </c>
      <c r="C487" t="s">
        <v>284</v>
      </c>
      <c r="D487" t="s">
        <v>173</v>
      </c>
      <c r="E487" t="s">
        <v>45</v>
      </c>
      <c r="F487" t="s">
        <v>368</v>
      </c>
    </row>
    <row r="488" spans="1:6" x14ac:dyDescent="0.35">
      <c r="A488" t="s">
        <v>33</v>
      </c>
      <c r="B488" t="s">
        <v>33</v>
      </c>
      <c r="C488" t="s">
        <v>29</v>
      </c>
      <c r="D488" t="s">
        <v>34</v>
      </c>
      <c r="E488" t="s">
        <v>30</v>
      </c>
      <c r="F488" t="s">
        <v>74</v>
      </c>
    </row>
    <row r="489" spans="1:6" x14ac:dyDescent="0.35">
      <c r="A489" t="s">
        <v>28</v>
      </c>
      <c r="B489" t="s">
        <v>28</v>
      </c>
      <c r="C489" t="s">
        <v>284</v>
      </c>
      <c r="D489" t="s">
        <v>28</v>
      </c>
      <c r="E489" t="s">
        <v>28</v>
      </c>
      <c r="F489" t="s">
        <v>28</v>
      </c>
    </row>
    <row r="490" spans="1:6" x14ac:dyDescent="0.35">
      <c r="A490" t="s">
        <v>44</v>
      </c>
      <c r="B490" t="s">
        <v>60</v>
      </c>
      <c r="C490" t="s">
        <v>284</v>
      </c>
      <c r="D490" t="s">
        <v>173</v>
      </c>
      <c r="E490" t="s">
        <v>28</v>
      </c>
      <c r="F490" t="s">
        <v>368</v>
      </c>
    </row>
    <row r="491" spans="1:6" x14ac:dyDescent="0.35">
      <c r="A491" t="s">
        <v>44</v>
      </c>
      <c r="B491" t="s">
        <v>60</v>
      </c>
      <c r="C491" t="s">
        <v>157</v>
      </c>
      <c r="D491" t="s">
        <v>173</v>
      </c>
      <c r="E491" t="s">
        <v>28</v>
      </c>
      <c r="F491" t="s">
        <v>45</v>
      </c>
    </row>
    <row r="492" spans="1:6" x14ac:dyDescent="0.35">
      <c r="A492" t="s">
        <v>29</v>
      </c>
      <c r="B492" t="s">
        <v>44</v>
      </c>
      <c r="C492" t="s">
        <v>28</v>
      </c>
      <c r="D492" t="s">
        <v>173</v>
      </c>
      <c r="E492" t="s">
        <v>94</v>
      </c>
      <c r="F492" t="s">
        <v>368</v>
      </c>
    </row>
    <row r="493" spans="1:6" x14ac:dyDescent="0.35">
      <c r="A493" t="s">
        <v>60</v>
      </c>
      <c r="B493" t="s">
        <v>60</v>
      </c>
      <c r="C493" t="s">
        <v>44</v>
      </c>
      <c r="D493" t="s">
        <v>30</v>
      </c>
      <c r="E493" t="s">
        <v>28</v>
      </c>
      <c r="F493" t="s">
        <v>45</v>
      </c>
    </row>
    <row r="494" spans="1:6" x14ac:dyDescent="0.35">
      <c r="A494" t="s">
        <v>33</v>
      </c>
      <c r="B494" t="s">
        <v>33</v>
      </c>
      <c r="C494" t="s">
        <v>33</v>
      </c>
      <c r="D494" t="s">
        <v>34</v>
      </c>
      <c r="E494" t="s">
        <v>34</v>
      </c>
      <c r="F494" t="s">
        <v>74</v>
      </c>
    </row>
    <row r="495" spans="1:6" x14ac:dyDescent="0.35">
      <c r="A495" t="s">
        <v>28</v>
      </c>
      <c r="B495" t="s">
        <v>28</v>
      </c>
      <c r="C495" t="s">
        <v>28</v>
      </c>
      <c r="D495" t="s">
        <v>28</v>
      </c>
      <c r="E495" t="s">
        <v>28</v>
      </c>
      <c r="F495" t="s">
        <v>45</v>
      </c>
    </row>
    <row r="496" spans="1:6" x14ac:dyDescent="0.35">
      <c r="A496" t="s">
        <v>33</v>
      </c>
      <c r="B496" t="s">
        <v>33</v>
      </c>
      <c r="C496" t="s">
        <v>29</v>
      </c>
      <c r="D496" t="s">
        <v>34</v>
      </c>
      <c r="E496" t="s">
        <v>34</v>
      </c>
      <c r="F496" t="s">
        <v>74</v>
      </c>
    </row>
    <row r="497" spans="1:6" x14ac:dyDescent="0.35">
      <c r="A497" t="s">
        <v>28</v>
      </c>
      <c r="B497" t="s">
        <v>28</v>
      </c>
      <c r="C497" t="s">
        <v>28</v>
      </c>
      <c r="D497" t="s">
        <v>28</v>
      </c>
      <c r="E497" t="s">
        <v>28</v>
      </c>
      <c r="F497" t="s">
        <v>28</v>
      </c>
    </row>
    <row r="498" spans="1:6" x14ac:dyDescent="0.35">
      <c r="A498" t="s">
        <v>29</v>
      </c>
      <c r="B498" t="s">
        <v>29</v>
      </c>
      <c r="C498" t="s">
        <v>29</v>
      </c>
      <c r="D498" t="s">
        <v>34</v>
      </c>
      <c r="E498" t="s">
        <v>34</v>
      </c>
      <c r="F498" t="s">
        <v>74</v>
      </c>
    </row>
    <row r="499" spans="1:6" x14ac:dyDescent="0.35">
      <c r="A499" t="s">
        <v>44</v>
      </c>
      <c r="B499" t="s">
        <v>44</v>
      </c>
      <c r="C499" t="s">
        <v>44</v>
      </c>
      <c r="D499" t="s">
        <v>103</v>
      </c>
      <c r="E499" t="s">
        <v>173</v>
      </c>
      <c r="F499" t="s">
        <v>28</v>
      </c>
    </row>
    <row r="500" spans="1:6" x14ac:dyDescent="0.35">
      <c r="A500" t="s">
        <v>44</v>
      </c>
      <c r="B500" t="s">
        <v>28</v>
      </c>
      <c r="C500" t="s">
        <v>28</v>
      </c>
      <c r="D500" t="s">
        <v>28</v>
      </c>
      <c r="E500" t="s">
        <v>28</v>
      </c>
      <c r="F500" t="s">
        <v>292</v>
      </c>
    </row>
    <row r="501" spans="1:6" x14ac:dyDescent="0.35">
      <c r="A501" t="s">
        <v>33</v>
      </c>
      <c r="B501" t="s">
        <v>33</v>
      </c>
      <c r="C501" t="s">
        <v>60</v>
      </c>
      <c r="D501" t="s">
        <v>173</v>
      </c>
      <c r="E501" t="s">
        <v>30</v>
      </c>
      <c r="F501" t="s">
        <v>74</v>
      </c>
    </row>
    <row r="502" spans="1:6" x14ac:dyDescent="0.35">
      <c r="A502" t="s">
        <v>28</v>
      </c>
      <c r="B502" t="s">
        <v>60</v>
      </c>
      <c r="C502" t="s">
        <v>206</v>
      </c>
      <c r="D502" t="s">
        <v>197</v>
      </c>
      <c r="E502" t="s">
        <v>28</v>
      </c>
      <c r="F502" t="s">
        <v>61</v>
      </c>
    </row>
    <row r="503" spans="1:6" x14ac:dyDescent="0.35">
      <c r="A503" t="s">
        <v>60</v>
      </c>
      <c r="B503" t="s">
        <v>60</v>
      </c>
      <c r="C503" t="s">
        <v>28</v>
      </c>
      <c r="D503" t="s">
        <v>28</v>
      </c>
      <c r="E503" t="s">
        <v>28</v>
      </c>
      <c r="F503" t="s">
        <v>28</v>
      </c>
    </row>
    <row r="504" spans="1:6" x14ac:dyDescent="0.35">
      <c r="A504" t="s">
        <v>29</v>
      </c>
      <c r="B504" t="s">
        <v>197</v>
      </c>
      <c r="C504" t="s">
        <v>73</v>
      </c>
      <c r="D504" t="s">
        <v>158</v>
      </c>
      <c r="E504" t="s">
        <v>45</v>
      </c>
      <c r="F504" t="s">
        <v>35</v>
      </c>
    </row>
    <row r="505" spans="1:6" x14ac:dyDescent="0.35">
      <c r="A505" t="s">
        <v>33</v>
      </c>
      <c r="B505" t="s">
        <v>33</v>
      </c>
      <c r="C505" t="s">
        <v>33</v>
      </c>
      <c r="D505" t="s">
        <v>34</v>
      </c>
      <c r="E505" t="s">
        <v>34</v>
      </c>
      <c r="F505" t="s">
        <v>61</v>
      </c>
    </row>
    <row r="506" spans="1:6" x14ac:dyDescent="0.35">
      <c r="A506" t="s">
        <v>28</v>
      </c>
      <c r="B506" t="s">
        <v>28</v>
      </c>
      <c r="C506" t="s">
        <v>28</v>
      </c>
      <c r="D506" t="s">
        <v>28</v>
      </c>
      <c r="E506" t="s">
        <v>28</v>
      </c>
      <c r="F506" t="s">
        <v>28</v>
      </c>
    </row>
    <row r="507" spans="1:6" x14ac:dyDescent="0.35">
      <c r="A507" t="s">
        <v>44</v>
      </c>
      <c r="B507" t="s">
        <v>44</v>
      </c>
      <c r="C507" t="s">
        <v>28</v>
      </c>
      <c r="D507" t="s">
        <v>173</v>
      </c>
      <c r="E507" t="s">
        <v>28</v>
      </c>
      <c r="F507" t="s">
        <v>368</v>
      </c>
    </row>
    <row r="508" spans="1:6" x14ac:dyDescent="0.35">
      <c r="A508" t="s">
        <v>44</v>
      </c>
      <c r="B508" t="s">
        <v>60</v>
      </c>
      <c r="C508" t="s">
        <v>44</v>
      </c>
      <c r="D508" t="s">
        <v>28</v>
      </c>
      <c r="E508" t="s">
        <v>173</v>
      </c>
      <c r="F508" t="s">
        <v>28</v>
      </c>
    </row>
    <row r="509" spans="1:6" x14ac:dyDescent="0.35">
      <c r="A509" t="s">
        <v>28</v>
      </c>
      <c r="B509" t="s">
        <v>28</v>
      </c>
      <c r="C509" t="s">
        <v>28</v>
      </c>
      <c r="D509" t="s">
        <v>103</v>
      </c>
      <c r="E509" t="s">
        <v>28</v>
      </c>
      <c r="F509" t="s">
        <v>28</v>
      </c>
    </row>
    <row r="510" spans="1:6" x14ac:dyDescent="0.35">
      <c r="A510" t="s">
        <v>29</v>
      </c>
      <c r="B510" t="s">
        <v>33</v>
      </c>
      <c r="C510" t="s">
        <v>33</v>
      </c>
      <c r="D510" t="s">
        <v>34</v>
      </c>
      <c r="E510" t="s">
        <v>34</v>
      </c>
      <c r="F510" t="s">
        <v>74</v>
      </c>
    </row>
    <row r="511" spans="1:6" x14ac:dyDescent="0.35">
      <c r="A511" t="s">
        <v>28</v>
      </c>
      <c r="B511" t="s">
        <v>28</v>
      </c>
      <c r="C511" t="s">
        <v>28</v>
      </c>
      <c r="D511" t="s">
        <v>28</v>
      </c>
      <c r="E511" t="s">
        <v>103</v>
      </c>
      <c r="F511" t="s">
        <v>28</v>
      </c>
    </row>
    <row r="512" spans="1:6" x14ac:dyDescent="0.35">
      <c r="A512" t="s">
        <v>29</v>
      </c>
      <c r="B512" t="s">
        <v>29</v>
      </c>
      <c r="C512" t="s">
        <v>29</v>
      </c>
      <c r="D512" t="s">
        <v>30</v>
      </c>
      <c r="E512" t="s">
        <v>30</v>
      </c>
      <c r="F512" t="s">
        <v>94</v>
      </c>
    </row>
    <row r="513" spans="1:6" x14ac:dyDescent="0.35">
      <c r="A513" t="s">
        <v>44</v>
      </c>
      <c r="B513" t="s">
        <v>44</v>
      </c>
      <c r="C513" t="s">
        <v>44</v>
      </c>
      <c r="D513" t="s">
        <v>103</v>
      </c>
      <c r="E513" t="s">
        <v>173</v>
      </c>
      <c r="F513" t="s">
        <v>292</v>
      </c>
    </row>
    <row r="514" spans="1:6" x14ac:dyDescent="0.35">
      <c r="A514" t="s">
        <v>28</v>
      </c>
      <c r="B514" t="s">
        <v>28</v>
      </c>
      <c r="C514" t="s">
        <v>44</v>
      </c>
      <c r="D514" t="s">
        <v>28</v>
      </c>
      <c r="E514" t="s">
        <v>28</v>
      </c>
      <c r="F514" t="s">
        <v>28</v>
      </c>
    </row>
    <row r="515" spans="1:6" x14ac:dyDescent="0.35">
      <c r="A515" t="s">
        <v>28</v>
      </c>
      <c r="B515" t="s">
        <v>28</v>
      </c>
      <c r="C515" t="s">
        <v>28</v>
      </c>
      <c r="D515" t="s">
        <v>28</v>
      </c>
      <c r="E515" t="s">
        <v>28</v>
      </c>
      <c r="F515" t="s">
        <v>28</v>
      </c>
    </row>
    <row r="516" spans="1:6" x14ac:dyDescent="0.35">
      <c r="A516" t="s">
        <v>71</v>
      </c>
      <c r="B516" t="s">
        <v>29</v>
      </c>
      <c r="C516" t="s">
        <v>28</v>
      </c>
      <c r="D516" t="s">
        <v>28</v>
      </c>
      <c r="E516" t="s">
        <v>28</v>
      </c>
      <c r="F516" t="s">
        <v>28</v>
      </c>
    </row>
    <row r="517" spans="1:6" x14ac:dyDescent="0.35">
      <c r="A517" t="s">
        <v>29</v>
      </c>
      <c r="B517" t="s">
        <v>29</v>
      </c>
      <c r="C517" t="s">
        <v>29</v>
      </c>
      <c r="D517" t="s">
        <v>30</v>
      </c>
      <c r="E517" t="s">
        <v>30</v>
      </c>
      <c r="F517" t="s">
        <v>94</v>
      </c>
    </row>
    <row r="518" spans="1:6" x14ac:dyDescent="0.35">
      <c r="A518" t="s">
        <v>29</v>
      </c>
      <c r="B518" t="s">
        <v>33</v>
      </c>
      <c r="C518" t="s">
        <v>33</v>
      </c>
      <c r="D518" t="s">
        <v>34</v>
      </c>
      <c r="E518" t="s">
        <v>34</v>
      </c>
      <c r="F518" t="s">
        <v>74</v>
      </c>
    </row>
    <row r="519" spans="1:6" x14ac:dyDescent="0.35">
      <c r="A519" t="s">
        <v>28</v>
      </c>
      <c r="B519" t="s">
        <v>28</v>
      </c>
      <c r="C519" t="s">
        <v>28</v>
      </c>
      <c r="D519" t="s">
        <v>28</v>
      </c>
      <c r="E519" t="s">
        <v>28</v>
      </c>
      <c r="F519" t="s">
        <v>28</v>
      </c>
    </row>
    <row r="520" spans="1:6" x14ac:dyDescent="0.35">
      <c r="A520" t="s">
        <v>44</v>
      </c>
      <c r="B520" t="s">
        <v>60</v>
      </c>
      <c r="C520" t="s">
        <v>60</v>
      </c>
      <c r="D520" t="s">
        <v>103</v>
      </c>
      <c r="E520" t="s">
        <v>103</v>
      </c>
      <c r="F520" t="s">
        <v>45</v>
      </c>
    </row>
    <row r="521" spans="1:6" x14ac:dyDescent="0.35">
      <c r="A521" t="s">
        <v>28</v>
      </c>
      <c r="B521" t="s">
        <v>158</v>
      </c>
      <c r="C521" t="s">
        <v>44</v>
      </c>
      <c r="D521" t="s">
        <v>173</v>
      </c>
      <c r="E521" t="s">
        <v>28</v>
      </c>
      <c r="F521" t="s">
        <v>28</v>
      </c>
    </row>
    <row r="522" spans="1:6" x14ac:dyDescent="0.35">
      <c r="A522" t="s">
        <v>28</v>
      </c>
      <c r="B522" t="s">
        <v>72</v>
      </c>
      <c r="C522" t="s">
        <v>284</v>
      </c>
      <c r="D522" t="s">
        <v>30</v>
      </c>
      <c r="E522" t="s">
        <v>94</v>
      </c>
      <c r="F522" t="s">
        <v>292</v>
      </c>
    </row>
    <row r="523" spans="1:6" x14ac:dyDescent="0.35">
      <c r="A523" t="s">
        <v>71</v>
      </c>
      <c r="B523" t="s">
        <v>33</v>
      </c>
      <c r="C523" t="s">
        <v>73</v>
      </c>
      <c r="D523" t="s">
        <v>34</v>
      </c>
      <c r="E523" t="s">
        <v>34</v>
      </c>
      <c r="F523" t="s">
        <v>73</v>
      </c>
    </row>
    <row r="524" spans="1:6" x14ac:dyDescent="0.35">
      <c r="A524" t="s">
        <v>33</v>
      </c>
      <c r="B524" t="s">
        <v>33</v>
      </c>
      <c r="C524" t="s">
        <v>33</v>
      </c>
      <c r="D524" t="s">
        <v>34</v>
      </c>
      <c r="E524" t="s">
        <v>34</v>
      </c>
      <c r="F524" t="s">
        <v>74</v>
      </c>
    </row>
    <row r="525" spans="1:6" x14ac:dyDescent="0.35">
      <c r="A525" t="s">
        <v>44</v>
      </c>
      <c r="B525" t="s">
        <v>44</v>
      </c>
      <c r="C525" t="s">
        <v>60</v>
      </c>
      <c r="D525" t="s">
        <v>103</v>
      </c>
      <c r="E525" t="s">
        <v>173</v>
      </c>
      <c r="F525" t="s">
        <v>28</v>
      </c>
    </row>
    <row r="526" spans="1:6" x14ac:dyDescent="0.35">
      <c r="A526" t="s">
        <v>28</v>
      </c>
      <c r="B526" t="s">
        <v>158</v>
      </c>
      <c r="C526" t="s">
        <v>157</v>
      </c>
      <c r="D526" t="s">
        <v>103</v>
      </c>
      <c r="E526" t="s">
        <v>28</v>
      </c>
      <c r="F526" t="s">
        <v>28</v>
      </c>
    </row>
    <row r="527" spans="1:6" x14ac:dyDescent="0.35">
      <c r="A527" t="s">
        <v>344</v>
      </c>
      <c r="B527" t="s">
        <v>29</v>
      </c>
      <c r="C527" t="s">
        <v>29</v>
      </c>
      <c r="D527" t="s">
        <v>30</v>
      </c>
      <c r="E527" t="s">
        <v>30</v>
      </c>
      <c r="F527" t="s">
        <v>94</v>
      </c>
    </row>
    <row r="528" spans="1:6" x14ac:dyDescent="0.35">
      <c r="A528" t="s">
        <v>33</v>
      </c>
      <c r="B528" t="s">
        <v>33</v>
      </c>
      <c r="C528" t="s">
        <v>33</v>
      </c>
      <c r="D528" t="s">
        <v>34</v>
      </c>
      <c r="E528" t="s">
        <v>34</v>
      </c>
      <c r="F528" t="s">
        <v>74</v>
      </c>
    </row>
    <row r="529" spans="1:6" x14ac:dyDescent="0.35">
      <c r="A529" t="s">
        <v>28</v>
      </c>
      <c r="B529" t="s">
        <v>28</v>
      </c>
      <c r="C529" t="s">
        <v>60</v>
      </c>
      <c r="D529" t="s">
        <v>28</v>
      </c>
      <c r="E529" t="s">
        <v>28</v>
      </c>
      <c r="F529" t="s">
        <v>28</v>
      </c>
    </row>
    <row r="530" spans="1:6" x14ac:dyDescent="0.35">
      <c r="A530" t="s">
        <v>60</v>
      </c>
      <c r="B530" t="s">
        <v>29</v>
      </c>
      <c r="C530" t="s">
        <v>28</v>
      </c>
      <c r="D530" t="s">
        <v>196</v>
      </c>
      <c r="E530" t="s">
        <v>368</v>
      </c>
      <c r="F530" t="s">
        <v>28</v>
      </c>
    </row>
    <row r="531" spans="1:6" x14ac:dyDescent="0.35">
      <c r="A531" t="s">
        <v>28</v>
      </c>
      <c r="B531" t="s">
        <v>28</v>
      </c>
      <c r="C531" t="s">
        <v>28</v>
      </c>
      <c r="D531" t="s">
        <v>28</v>
      </c>
      <c r="E531" t="s">
        <v>28</v>
      </c>
      <c r="F531" t="s">
        <v>28</v>
      </c>
    </row>
    <row r="532" spans="1:6" x14ac:dyDescent="0.35">
      <c r="A532" t="s">
        <v>44</v>
      </c>
      <c r="B532" t="s">
        <v>60</v>
      </c>
      <c r="C532" t="s">
        <v>157</v>
      </c>
      <c r="D532" t="s">
        <v>103</v>
      </c>
      <c r="E532" t="s">
        <v>28</v>
      </c>
      <c r="F532" t="s">
        <v>45</v>
      </c>
    </row>
    <row r="533" spans="1:6" x14ac:dyDescent="0.35">
      <c r="A533" t="s">
        <v>60</v>
      </c>
      <c r="B533" t="s">
        <v>28</v>
      </c>
      <c r="C533" t="s">
        <v>29</v>
      </c>
      <c r="D533" t="s">
        <v>158</v>
      </c>
      <c r="E533" t="s">
        <v>94</v>
      </c>
      <c r="F533" t="s">
        <v>368</v>
      </c>
    </row>
    <row r="534" spans="1:6" x14ac:dyDescent="0.35">
      <c r="A534" t="s">
        <v>44</v>
      </c>
      <c r="B534" t="s">
        <v>72</v>
      </c>
      <c r="C534" t="s">
        <v>28</v>
      </c>
      <c r="D534" t="s">
        <v>103</v>
      </c>
      <c r="E534" t="s">
        <v>30</v>
      </c>
      <c r="F534" t="s">
        <v>45</v>
      </c>
    </row>
    <row r="535" spans="1:6" x14ac:dyDescent="0.35">
      <c r="A535" t="s">
        <v>28</v>
      </c>
      <c r="B535" t="s">
        <v>28</v>
      </c>
      <c r="C535" t="s">
        <v>28</v>
      </c>
      <c r="D535" t="s">
        <v>103</v>
      </c>
      <c r="E535" t="s">
        <v>28</v>
      </c>
      <c r="F535" t="s">
        <v>28</v>
      </c>
    </row>
    <row r="536" spans="1:6" x14ac:dyDescent="0.35">
      <c r="A536" t="s">
        <v>28</v>
      </c>
      <c r="B536" t="s">
        <v>44</v>
      </c>
      <c r="C536" t="s">
        <v>157</v>
      </c>
      <c r="D536" t="s">
        <v>173</v>
      </c>
      <c r="E536" t="s">
        <v>28</v>
      </c>
      <c r="F536" t="s">
        <v>45</v>
      </c>
    </row>
    <row r="537" spans="1:6" x14ac:dyDescent="0.35">
      <c r="A537" t="s">
        <v>28</v>
      </c>
      <c r="B537" t="s">
        <v>28</v>
      </c>
      <c r="C537" t="s">
        <v>28</v>
      </c>
      <c r="D537" t="s">
        <v>28</v>
      </c>
      <c r="E537" t="s">
        <v>28</v>
      </c>
      <c r="F537" t="s">
        <v>28</v>
      </c>
    </row>
    <row r="538" spans="1:6" x14ac:dyDescent="0.35">
      <c r="A538" t="s">
        <v>29</v>
      </c>
      <c r="B538" t="s">
        <v>29</v>
      </c>
      <c r="C538" t="s">
        <v>29</v>
      </c>
      <c r="D538" t="s">
        <v>30</v>
      </c>
      <c r="E538" t="s">
        <v>30</v>
      </c>
      <c r="F538" t="s">
        <v>94</v>
      </c>
    </row>
    <row r="539" spans="1:6" x14ac:dyDescent="0.35">
      <c r="A539" t="s">
        <v>28</v>
      </c>
      <c r="B539" t="s">
        <v>28</v>
      </c>
      <c r="C539" t="s">
        <v>28</v>
      </c>
      <c r="D539" t="s">
        <v>28</v>
      </c>
      <c r="E539" t="s">
        <v>28</v>
      </c>
      <c r="F539" t="s">
        <v>28</v>
      </c>
    </row>
    <row r="540" spans="1:6" x14ac:dyDescent="0.35">
      <c r="A540" t="s">
        <v>28</v>
      </c>
      <c r="B540" t="s">
        <v>28</v>
      </c>
      <c r="C540" t="s">
        <v>28</v>
      </c>
      <c r="D540" t="s">
        <v>28</v>
      </c>
      <c r="E540" t="s">
        <v>28</v>
      </c>
      <c r="F540" t="s">
        <v>28</v>
      </c>
    </row>
    <row r="541" spans="1:6" x14ac:dyDescent="0.35">
      <c r="A541" t="s">
        <v>28</v>
      </c>
      <c r="B541" t="s">
        <v>28</v>
      </c>
      <c r="C541" t="s">
        <v>28</v>
      </c>
      <c r="D541" t="s">
        <v>28</v>
      </c>
      <c r="E541" t="s">
        <v>28</v>
      </c>
      <c r="F541" t="s">
        <v>45</v>
      </c>
    </row>
    <row r="542" spans="1:6" x14ac:dyDescent="0.35">
      <c r="A542" t="s">
        <v>33</v>
      </c>
      <c r="B542" t="s">
        <v>33</v>
      </c>
      <c r="C542" t="s">
        <v>33</v>
      </c>
      <c r="D542" t="s">
        <v>34</v>
      </c>
      <c r="E542" t="s">
        <v>34</v>
      </c>
      <c r="F542" t="s">
        <v>74</v>
      </c>
    </row>
    <row r="543" spans="1:6" x14ac:dyDescent="0.35">
      <c r="A543" t="s">
        <v>28</v>
      </c>
      <c r="B543" t="s">
        <v>28</v>
      </c>
      <c r="C543" t="s">
        <v>28</v>
      </c>
      <c r="D543" t="s">
        <v>28</v>
      </c>
      <c r="E543" t="s">
        <v>103</v>
      </c>
      <c r="F543" t="s">
        <v>28</v>
      </c>
    </row>
    <row r="544" spans="1:6" x14ac:dyDescent="0.35">
      <c r="A544" t="s">
        <v>28</v>
      </c>
      <c r="B544" t="s">
        <v>28</v>
      </c>
      <c r="C544" t="s">
        <v>28</v>
      </c>
      <c r="D544" t="s">
        <v>28</v>
      </c>
      <c r="E544" t="s">
        <v>28</v>
      </c>
      <c r="F544" t="s">
        <v>28</v>
      </c>
    </row>
    <row r="545" spans="1:6" x14ac:dyDescent="0.35">
      <c r="A545" t="s">
        <v>28</v>
      </c>
      <c r="B545" t="s">
        <v>28</v>
      </c>
      <c r="C545" t="s">
        <v>44</v>
      </c>
      <c r="D545" t="s">
        <v>158</v>
      </c>
      <c r="E545" t="s">
        <v>103</v>
      </c>
      <c r="F545" t="s">
        <v>35</v>
      </c>
    </row>
    <row r="546" spans="1:6" x14ac:dyDescent="0.35">
      <c r="A546" t="s">
        <v>33</v>
      </c>
      <c r="B546" t="s">
        <v>33</v>
      </c>
      <c r="C546" t="s">
        <v>33</v>
      </c>
      <c r="D546" t="s">
        <v>34</v>
      </c>
      <c r="E546" t="s">
        <v>34</v>
      </c>
      <c r="F546" t="s">
        <v>74</v>
      </c>
    </row>
    <row r="547" spans="1:6" x14ac:dyDescent="0.35">
      <c r="A547" t="s">
        <v>28</v>
      </c>
      <c r="B547" t="s">
        <v>28</v>
      </c>
      <c r="C547" t="s">
        <v>28</v>
      </c>
      <c r="D547" t="s">
        <v>28</v>
      </c>
      <c r="E547" t="s">
        <v>28</v>
      </c>
      <c r="F547" t="s">
        <v>35</v>
      </c>
    </row>
    <row r="548" spans="1:6" x14ac:dyDescent="0.35">
      <c r="A548" t="s">
        <v>60</v>
      </c>
      <c r="B548" t="s">
        <v>28</v>
      </c>
      <c r="C548" t="s">
        <v>206</v>
      </c>
      <c r="D548" t="s">
        <v>158</v>
      </c>
      <c r="E548" t="s">
        <v>173</v>
      </c>
      <c r="F548" t="s">
        <v>28</v>
      </c>
    </row>
    <row r="549" spans="1:6" x14ac:dyDescent="0.35">
      <c r="A549" t="s">
        <v>28</v>
      </c>
      <c r="B549" t="s">
        <v>28</v>
      </c>
      <c r="C549" t="s">
        <v>28</v>
      </c>
      <c r="D549" t="s">
        <v>28</v>
      </c>
      <c r="E549" t="s">
        <v>28</v>
      </c>
      <c r="F549" t="s">
        <v>28</v>
      </c>
    </row>
    <row r="550" spans="1:6" x14ac:dyDescent="0.35">
      <c r="A550" t="s">
        <v>28</v>
      </c>
      <c r="B550" t="s">
        <v>60</v>
      </c>
      <c r="C550" t="s">
        <v>28</v>
      </c>
      <c r="D550" t="s">
        <v>28</v>
      </c>
      <c r="E550" t="s">
        <v>28</v>
      </c>
      <c r="F550" t="s">
        <v>28</v>
      </c>
    </row>
    <row r="551" spans="1:6" x14ac:dyDescent="0.35">
      <c r="A551" t="s">
        <v>28</v>
      </c>
      <c r="B551" t="s">
        <v>28</v>
      </c>
      <c r="C551" t="s">
        <v>28</v>
      </c>
      <c r="D551" t="s">
        <v>28</v>
      </c>
      <c r="E551" t="s">
        <v>28</v>
      </c>
      <c r="F551" t="s">
        <v>28</v>
      </c>
    </row>
    <row r="552" spans="1:6" x14ac:dyDescent="0.35">
      <c r="A552" t="s">
        <v>28</v>
      </c>
      <c r="B552" t="s">
        <v>60</v>
      </c>
      <c r="C552" t="s">
        <v>44</v>
      </c>
      <c r="D552" t="s">
        <v>158</v>
      </c>
      <c r="E552" t="s">
        <v>94</v>
      </c>
      <c r="F552" t="s">
        <v>292</v>
      </c>
    </row>
    <row r="553" spans="1:6" x14ac:dyDescent="0.35">
      <c r="A553" t="s">
        <v>44</v>
      </c>
      <c r="B553" t="s">
        <v>60</v>
      </c>
      <c r="C553" t="s">
        <v>284</v>
      </c>
      <c r="D553" t="s">
        <v>173</v>
      </c>
      <c r="E553" t="s">
        <v>103</v>
      </c>
      <c r="F553" t="s">
        <v>45</v>
      </c>
    </row>
    <row r="554" spans="1:6" x14ac:dyDescent="0.35">
      <c r="A554" t="s">
        <v>28</v>
      </c>
      <c r="B554" t="s">
        <v>28</v>
      </c>
      <c r="C554" t="s">
        <v>28</v>
      </c>
      <c r="D554" t="s">
        <v>28</v>
      </c>
      <c r="E554" t="s">
        <v>28</v>
      </c>
      <c r="F554" t="s">
        <v>28</v>
      </c>
    </row>
    <row r="555" spans="1:6" x14ac:dyDescent="0.35">
      <c r="A555" t="s">
        <v>44</v>
      </c>
      <c r="B555" t="s">
        <v>158</v>
      </c>
      <c r="C555" t="s">
        <v>28</v>
      </c>
      <c r="D555" t="s">
        <v>103</v>
      </c>
      <c r="E555" t="s">
        <v>45</v>
      </c>
      <c r="F555" t="s">
        <v>292</v>
      </c>
    </row>
    <row r="556" spans="1:6" x14ac:dyDescent="0.35">
      <c r="A556" t="s">
        <v>28</v>
      </c>
      <c r="B556" t="s">
        <v>28</v>
      </c>
      <c r="C556" t="s">
        <v>28</v>
      </c>
      <c r="D556" t="s">
        <v>28</v>
      </c>
      <c r="E556" t="s">
        <v>28</v>
      </c>
      <c r="F556" t="s">
        <v>28</v>
      </c>
    </row>
    <row r="557" spans="1:6" x14ac:dyDescent="0.35">
      <c r="A557" t="s">
        <v>377</v>
      </c>
      <c r="B557" t="s">
        <v>158</v>
      </c>
      <c r="C557" t="s">
        <v>44</v>
      </c>
      <c r="D557" t="s">
        <v>28</v>
      </c>
      <c r="E557" t="s">
        <v>45</v>
      </c>
      <c r="F557" t="s">
        <v>35</v>
      </c>
    </row>
    <row r="558" spans="1:6" x14ac:dyDescent="0.35">
      <c r="A558" t="s">
        <v>28</v>
      </c>
      <c r="B558" t="s">
        <v>28</v>
      </c>
      <c r="C558" t="s">
        <v>28</v>
      </c>
      <c r="D558" t="s">
        <v>28</v>
      </c>
      <c r="E558" t="s">
        <v>28</v>
      </c>
      <c r="F558" t="s">
        <v>28</v>
      </c>
    </row>
    <row r="559" spans="1:6" x14ac:dyDescent="0.35">
      <c r="A559" t="s">
        <v>28</v>
      </c>
      <c r="B559" t="s">
        <v>28</v>
      </c>
      <c r="C559" t="s">
        <v>28</v>
      </c>
      <c r="D559" t="s">
        <v>28</v>
      </c>
      <c r="E559" t="s">
        <v>28</v>
      </c>
      <c r="F559" t="s">
        <v>28</v>
      </c>
    </row>
    <row r="560" spans="1:6" x14ac:dyDescent="0.35">
      <c r="A560" t="s">
        <v>60</v>
      </c>
      <c r="B560" t="s">
        <v>197</v>
      </c>
      <c r="C560" t="s">
        <v>284</v>
      </c>
      <c r="D560" t="s">
        <v>103</v>
      </c>
      <c r="E560" t="s">
        <v>368</v>
      </c>
      <c r="F560" t="s">
        <v>45</v>
      </c>
    </row>
    <row r="561" spans="1:6" x14ac:dyDescent="0.35">
      <c r="A561" t="s">
        <v>28</v>
      </c>
      <c r="B561" t="s">
        <v>28</v>
      </c>
      <c r="C561" t="s">
        <v>28</v>
      </c>
      <c r="D561" t="s">
        <v>28</v>
      </c>
      <c r="E561" t="s">
        <v>28</v>
      </c>
      <c r="F561" t="s">
        <v>28</v>
      </c>
    </row>
    <row r="562" spans="1:6" x14ac:dyDescent="0.35">
      <c r="A562" t="s">
        <v>377</v>
      </c>
      <c r="B562" t="s">
        <v>28</v>
      </c>
      <c r="C562" t="s">
        <v>29</v>
      </c>
      <c r="D562" t="s">
        <v>30</v>
      </c>
      <c r="E562" t="s">
        <v>28</v>
      </c>
      <c r="F562" t="s">
        <v>28</v>
      </c>
    </row>
    <row r="563" spans="1:6" x14ac:dyDescent="0.35">
      <c r="A563" t="s">
        <v>344</v>
      </c>
      <c r="B563" t="s">
        <v>28</v>
      </c>
      <c r="C563" t="s">
        <v>28</v>
      </c>
      <c r="D563" t="s">
        <v>28</v>
      </c>
      <c r="E563" t="s">
        <v>94</v>
      </c>
      <c r="F563" t="s">
        <v>28</v>
      </c>
    </row>
    <row r="564" spans="1:6" x14ac:dyDescent="0.35">
      <c r="A564" t="s">
        <v>60</v>
      </c>
      <c r="B564" t="s">
        <v>28</v>
      </c>
      <c r="C564" t="s">
        <v>44</v>
      </c>
      <c r="D564" t="s">
        <v>196</v>
      </c>
      <c r="E564" t="s">
        <v>45</v>
      </c>
      <c r="F564" t="s">
        <v>368</v>
      </c>
    </row>
    <row r="565" spans="1:6" x14ac:dyDescent="0.35">
      <c r="A565" t="s">
        <v>28</v>
      </c>
      <c r="B565" t="s">
        <v>28</v>
      </c>
      <c r="C565" t="s">
        <v>28</v>
      </c>
      <c r="D565" t="s">
        <v>28</v>
      </c>
      <c r="E565" t="s">
        <v>28</v>
      </c>
      <c r="F565" t="s">
        <v>28</v>
      </c>
    </row>
    <row r="566" spans="1:6" x14ac:dyDescent="0.35">
      <c r="A566" t="s">
        <v>29</v>
      </c>
      <c r="B566" t="s">
        <v>29</v>
      </c>
      <c r="C566" t="s">
        <v>29</v>
      </c>
      <c r="D566" t="s">
        <v>30</v>
      </c>
      <c r="E566" t="s">
        <v>30</v>
      </c>
      <c r="F566" t="s">
        <v>28</v>
      </c>
    </row>
    <row r="567" spans="1:6" x14ac:dyDescent="0.35">
      <c r="A567" t="s">
        <v>28</v>
      </c>
      <c r="B567" t="s">
        <v>28</v>
      </c>
      <c r="C567" t="s">
        <v>28</v>
      </c>
      <c r="D567" t="s">
        <v>28</v>
      </c>
      <c r="E567" t="s">
        <v>28</v>
      </c>
      <c r="F567" t="s">
        <v>28</v>
      </c>
    </row>
    <row r="568" spans="1:6" x14ac:dyDescent="0.35">
      <c r="A568" t="s">
        <v>28</v>
      </c>
      <c r="B568" t="s">
        <v>28</v>
      </c>
      <c r="C568" t="s">
        <v>28</v>
      </c>
      <c r="D568" t="s">
        <v>28</v>
      </c>
      <c r="E568" t="s">
        <v>28</v>
      </c>
      <c r="F568" t="s">
        <v>28</v>
      </c>
    </row>
    <row r="569" spans="1:6" x14ac:dyDescent="0.35">
      <c r="A569" t="s">
        <v>28</v>
      </c>
      <c r="B569" t="s">
        <v>28</v>
      </c>
      <c r="C569" t="s">
        <v>28</v>
      </c>
      <c r="D569" t="s">
        <v>28</v>
      </c>
      <c r="E569" t="s">
        <v>28</v>
      </c>
      <c r="F569" t="s">
        <v>28</v>
      </c>
    </row>
    <row r="570" spans="1:6" x14ac:dyDescent="0.35">
      <c r="A570" t="s">
        <v>28</v>
      </c>
      <c r="B570" t="s">
        <v>44</v>
      </c>
      <c r="C570" t="s">
        <v>29</v>
      </c>
      <c r="D570" t="s">
        <v>173</v>
      </c>
      <c r="E570" t="s">
        <v>45</v>
      </c>
      <c r="F570" t="s">
        <v>368</v>
      </c>
    </row>
    <row r="571" spans="1:6" x14ac:dyDescent="0.35">
      <c r="A571" t="s">
        <v>29</v>
      </c>
      <c r="B571" t="s">
        <v>29</v>
      </c>
      <c r="C571" t="s">
        <v>29</v>
      </c>
      <c r="D571" t="s">
        <v>30</v>
      </c>
      <c r="E571" t="s">
        <v>28</v>
      </c>
      <c r="F571" t="s">
        <v>368</v>
      </c>
    </row>
    <row r="572" spans="1:6" x14ac:dyDescent="0.35">
      <c r="A572" t="s">
        <v>44</v>
      </c>
      <c r="B572" t="s">
        <v>28</v>
      </c>
      <c r="C572" t="s">
        <v>28</v>
      </c>
      <c r="D572" t="s">
        <v>28</v>
      </c>
      <c r="E572" t="s">
        <v>28</v>
      </c>
      <c r="F572" t="s">
        <v>28</v>
      </c>
    </row>
    <row r="573" spans="1:6" x14ac:dyDescent="0.35">
      <c r="A573" t="s">
        <v>28</v>
      </c>
      <c r="B573" t="s">
        <v>28</v>
      </c>
      <c r="C573" t="s">
        <v>28</v>
      </c>
      <c r="D573" t="s">
        <v>28</v>
      </c>
      <c r="E573" t="s">
        <v>28</v>
      </c>
      <c r="F573" t="s">
        <v>28</v>
      </c>
    </row>
    <row r="574" spans="1:6" x14ac:dyDescent="0.35">
      <c r="A574" t="s">
        <v>29</v>
      </c>
      <c r="B574" t="s">
        <v>28</v>
      </c>
      <c r="C574" t="s">
        <v>60</v>
      </c>
      <c r="D574" t="s">
        <v>196</v>
      </c>
      <c r="E574" t="s">
        <v>368</v>
      </c>
      <c r="F574" t="s">
        <v>28</v>
      </c>
    </row>
    <row r="575" spans="1:6" x14ac:dyDescent="0.35">
      <c r="A575" t="s">
        <v>33</v>
      </c>
      <c r="B575" t="s">
        <v>33</v>
      </c>
      <c r="C575" t="s">
        <v>33</v>
      </c>
      <c r="D575" t="s">
        <v>34</v>
      </c>
      <c r="E575" t="s">
        <v>30</v>
      </c>
      <c r="F575" t="s">
        <v>74</v>
      </c>
    </row>
    <row r="576" spans="1:6" x14ac:dyDescent="0.35">
      <c r="A576" t="s">
        <v>44</v>
      </c>
      <c r="B576" t="s">
        <v>158</v>
      </c>
      <c r="C576" t="s">
        <v>28</v>
      </c>
      <c r="D576" t="s">
        <v>103</v>
      </c>
      <c r="E576" t="s">
        <v>28</v>
      </c>
      <c r="F576" t="s">
        <v>28</v>
      </c>
    </row>
    <row r="577" spans="1:6" x14ac:dyDescent="0.35">
      <c r="A577" t="s">
        <v>44</v>
      </c>
      <c r="B577" t="s">
        <v>28</v>
      </c>
      <c r="C577" t="s">
        <v>60</v>
      </c>
      <c r="D577" t="s">
        <v>158</v>
      </c>
      <c r="E577" t="s">
        <v>368</v>
      </c>
      <c r="F577" t="s">
        <v>28</v>
      </c>
    </row>
    <row r="578" spans="1:6" x14ac:dyDescent="0.35">
      <c r="A578" t="s">
        <v>28</v>
      </c>
      <c r="B578" t="s">
        <v>196</v>
      </c>
      <c r="C578" t="s">
        <v>28</v>
      </c>
      <c r="D578" t="s">
        <v>28</v>
      </c>
      <c r="E578" t="s">
        <v>28</v>
      </c>
      <c r="F578" t="s">
        <v>28</v>
      </c>
    </row>
    <row r="579" spans="1:6" x14ac:dyDescent="0.35">
      <c r="A579" t="s">
        <v>33</v>
      </c>
      <c r="B579" t="s">
        <v>33</v>
      </c>
      <c r="C579" t="s">
        <v>33</v>
      </c>
      <c r="D579" t="s">
        <v>34</v>
      </c>
      <c r="E579" t="s">
        <v>34</v>
      </c>
      <c r="F579" t="s">
        <v>74</v>
      </c>
    </row>
    <row r="580" spans="1:6" x14ac:dyDescent="0.35">
      <c r="A580" t="s">
        <v>28</v>
      </c>
      <c r="B580" t="s">
        <v>60</v>
      </c>
      <c r="C580" t="s">
        <v>60</v>
      </c>
      <c r="D580" t="s">
        <v>28</v>
      </c>
      <c r="E580" t="s">
        <v>368</v>
      </c>
      <c r="F580" t="s">
        <v>94</v>
      </c>
    </row>
    <row r="581" spans="1:6" x14ac:dyDescent="0.35">
      <c r="A581" t="s">
        <v>29</v>
      </c>
      <c r="B581" t="s">
        <v>29</v>
      </c>
      <c r="C581" t="s">
        <v>29</v>
      </c>
      <c r="D581" t="s">
        <v>30</v>
      </c>
      <c r="E581" t="s">
        <v>30</v>
      </c>
      <c r="F581" t="s">
        <v>61</v>
      </c>
    </row>
    <row r="582" spans="1:6" x14ac:dyDescent="0.35">
      <c r="A582" t="s">
        <v>28</v>
      </c>
      <c r="B582" t="s">
        <v>28</v>
      </c>
      <c r="C582" t="s">
        <v>28</v>
      </c>
      <c r="D582" t="s">
        <v>28</v>
      </c>
      <c r="E582" t="s">
        <v>103</v>
      </c>
      <c r="F582" t="s">
        <v>45</v>
      </c>
    </row>
    <row r="583" spans="1:6" x14ac:dyDescent="0.35">
      <c r="A583" t="s">
        <v>44</v>
      </c>
      <c r="B583" t="s">
        <v>28</v>
      </c>
      <c r="C583" t="s">
        <v>206</v>
      </c>
      <c r="D583" t="s">
        <v>173</v>
      </c>
      <c r="E583" t="s">
        <v>45</v>
      </c>
      <c r="F583" t="s">
        <v>368</v>
      </c>
    </row>
    <row r="584" spans="1:6" x14ac:dyDescent="0.35">
      <c r="A584" t="s">
        <v>33</v>
      </c>
      <c r="B584" t="s">
        <v>33</v>
      </c>
      <c r="C584" t="s">
        <v>33</v>
      </c>
      <c r="D584" t="s">
        <v>34</v>
      </c>
      <c r="E584" t="s">
        <v>34</v>
      </c>
      <c r="F584" t="s">
        <v>74</v>
      </c>
    </row>
    <row r="585" spans="1:6" x14ac:dyDescent="0.35">
      <c r="A585" t="s">
        <v>28</v>
      </c>
      <c r="B585" t="s">
        <v>158</v>
      </c>
      <c r="C585" t="s">
        <v>44</v>
      </c>
      <c r="D585" t="s">
        <v>103</v>
      </c>
      <c r="E585" t="s">
        <v>28</v>
      </c>
      <c r="F585" t="s">
        <v>28</v>
      </c>
    </row>
    <row r="586" spans="1:6" x14ac:dyDescent="0.35">
      <c r="A586" t="s">
        <v>449</v>
      </c>
      <c r="B586" t="s">
        <v>196</v>
      </c>
      <c r="C586" t="s">
        <v>284</v>
      </c>
      <c r="D586" t="s">
        <v>30</v>
      </c>
      <c r="E586" t="s">
        <v>45</v>
      </c>
      <c r="F586" t="s">
        <v>61</v>
      </c>
    </row>
    <row r="587" spans="1:6" x14ac:dyDescent="0.35">
      <c r="A587" t="s">
        <v>44</v>
      </c>
      <c r="B587" t="s">
        <v>28</v>
      </c>
      <c r="C587" t="s">
        <v>28</v>
      </c>
      <c r="D587" t="s">
        <v>103</v>
      </c>
      <c r="E587" t="s">
        <v>94</v>
      </c>
      <c r="F587" t="s">
        <v>45</v>
      </c>
    </row>
    <row r="588" spans="1:6" x14ac:dyDescent="0.35">
      <c r="A588" t="s">
        <v>29</v>
      </c>
      <c r="B588" t="s">
        <v>29</v>
      </c>
      <c r="C588" t="s">
        <v>28</v>
      </c>
      <c r="D588" t="s">
        <v>30</v>
      </c>
      <c r="E588" t="s">
        <v>30</v>
      </c>
      <c r="F588" t="s">
        <v>28</v>
      </c>
    </row>
    <row r="589" spans="1:6" x14ac:dyDescent="0.35">
      <c r="A589" t="s">
        <v>28</v>
      </c>
      <c r="B589" t="s">
        <v>28</v>
      </c>
      <c r="C589" t="s">
        <v>28</v>
      </c>
      <c r="D589" t="s">
        <v>28</v>
      </c>
      <c r="E589" t="s">
        <v>28</v>
      </c>
      <c r="F589" t="s">
        <v>28</v>
      </c>
    </row>
    <row r="590" spans="1:6" x14ac:dyDescent="0.35">
      <c r="A590" t="s">
        <v>33</v>
      </c>
      <c r="B590" t="s">
        <v>33</v>
      </c>
      <c r="C590" t="s">
        <v>33</v>
      </c>
      <c r="D590" t="s">
        <v>34</v>
      </c>
      <c r="E590" t="s">
        <v>34</v>
      </c>
      <c r="F590" t="s">
        <v>74</v>
      </c>
    </row>
    <row r="591" spans="1:6" x14ac:dyDescent="0.35">
      <c r="A591" t="s">
        <v>28</v>
      </c>
      <c r="B591" t="s">
        <v>28</v>
      </c>
      <c r="C591" t="s">
        <v>284</v>
      </c>
      <c r="D591" t="s">
        <v>30</v>
      </c>
      <c r="E591" t="s">
        <v>28</v>
      </c>
      <c r="F591" t="s">
        <v>28</v>
      </c>
    </row>
    <row r="592" spans="1:6" x14ac:dyDescent="0.35">
      <c r="A592" t="s">
        <v>28</v>
      </c>
      <c r="B592" t="s">
        <v>60</v>
      </c>
      <c r="C592" t="s">
        <v>29</v>
      </c>
      <c r="D592" t="s">
        <v>28</v>
      </c>
      <c r="E592" t="s">
        <v>45</v>
      </c>
      <c r="F592" t="s">
        <v>368</v>
      </c>
    </row>
    <row r="593" spans="1:6" x14ac:dyDescent="0.35">
      <c r="A593" t="s">
        <v>28</v>
      </c>
      <c r="B593" t="s">
        <v>28</v>
      </c>
      <c r="C593" t="s">
        <v>28</v>
      </c>
      <c r="D593" t="s">
        <v>158</v>
      </c>
      <c r="E593" t="s">
        <v>28</v>
      </c>
      <c r="F593" t="s">
        <v>28</v>
      </c>
    </row>
    <row r="594" spans="1:6" x14ac:dyDescent="0.35">
      <c r="A594" t="s">
        <v>29</v>
      </c>
      <c r="B594" t="s">
        <v>29</v>
      </c>
      <c r="C594" t="s">
        <v>28</v>
      </c>
      <c r="D594" t="s">
        <v>196</v>
      </c>
      <c r="E594" t="s">
        <v>30</v>
      </c>
      <c r="F594" t="s">
        <v>94</v>
      </c>
    </row>
    <row r="595" spans="1:6" x14ac:dyDescent="0.35">
      <c r="A595" t="s">
        <v>28</v>
      </c>
      <c r="B595" t="s">
        <v>28</v>
      </c>
      <c r="C595" t="s">
        <v>28</v>
      </c>
      <c r="D595" t="s">
        <v>28</v>
      </c>
      <c r="E595" t="s">
        <v>28</v>
      </c>
      <c r="F595" t="s">
        <v>28</v>
      </c>
    </row>
    <row r="596" spans="1:6" x14ac:dyDescent="0.35">
      <c r="A596" t="s">
        <v>28</v>
      </c>
      <c r="B596" t="s">
        <v>60</v>
      </c>
      <c r="C596" t="s">
        <v>29</v>
      </c>
      <c r="D596" t="s">
        <v>196</v>
      </c>
      <c r="E596" t="s">
        <v>368</v>
      </c>
      <c r="F596" t="s">
        <v>28</v>
      </c>
    </row>
    <row r="597" spans="1:6" x14ac:dyDescent="0.35">
      <c r="A597" t="s">
        <v>33</v>
      </c>
      <c r="B597" t="s">
        <v>33</v>
      </c>
      <c r="C597" t="s">
        <v>33</v>
      </c>
      <c r="D597" t="s">
        <v>34</v>
      </c>
      <c r="E597" t="s">
        <v>34</v>
      </c>
      <c r="F597" t="s">
        <v>74</v>
      </c>
    </row>
    <row r="598" spans="1:6" x14ac:dyDescent="0.35">
      <c r="A598" t="s">
        <v>28</v>
      </c>
      <c r="B598" t="s">
        <v>197</v>
      </c>
      <c r="C598" t="s">
        <v>28</v>
      </c>
      <c r="D598" t="s">
        <v>28</v>
      </c>
      <c r="E598" t="s">
        <v>28</v>
      </c>
      <c r="F598" t="s">
        <v>28</v>
      </c>
    </row>
    <row r="599" spans="1:6" x14ac:dyDescent="0.35">
      <c r="A599" t="s">
        <v>33</v>
      </c>
      <c r="B599" t="s">
        <v>33</v>
      </c>
      <c r="C599" t="s">
        <v>33</v>
      </c>
      <c r="D599" t="s">
        <v>34</v>
      </c>
      <c r="E599" t="s">
        <v>34</v>
      </c>
      <c r="F599" t="s">
        <v>74</v>
      </c>
    </row>
    <row r="600" spans="1:6" x14ac:dyDescent="0.35">
      <c r="A600" t="s">
        <v>344</v>
      </c>
      <c r="B600" t="s">
        <v>29</v>
      </c>
      <c r="C600" t="s">
        <v>29</v>
      </c>
      <c r="D600" t="s">
        <v>30</v>
      </c>
      <c r="E600" t="s">
        <v>28</v>
      </c>
      <c r="F600" t="s">
        <v>94</v>
      </c>
    </row>
    <row r="601" spans="1:6" x14ac:dyDescent="0.35">
      <c r="A601" t="s">
        <v>28</v>
      </c>
      <c r="B601" t="s">
        <v>28</v>
      </c>
      <c r="C601" t="s">
        <v>28</v>
      </c>
      <c r="D601" t="s">
        <v>28</v>
      </c>
      <c r="E601" t="s">
        <v>28</v>
      </c>
      <c r="F601" t="s">
        <v>28</v>
      </c>
    </row>
    <row r="602" spans="1:6" x14ac:dyDescent="0.35">
      <c r="A602" t="s">
        <v>28</v>
      </c>
      <c r="B602" t="s">
        <v>60</v>
      </c>
      <c r="C602" t="s">
        <v>28</v>
      </c>
      <c r="D602" t="s">
        <v>197</v>
      </c>
      <c r="E602" t="s">
        <v>368</v>
      </c>
      <c r="F602" t="s">
        <v>28</v>
      </c>
    </row>
    <row r="603" spans="1:6" x14ac:dyDescent="0.35">
      <c r="A603" t="s">
        <v>33</v>
      </c>
      <c r="B603" t="s">
        <v>33</v>
      </c>
      <c r="C603" t="s">
        <v>33</v>
      </c>
      <c r="D603" t="s">
        <v>34</v>
      </c>
      <c r="E603" t="s">
        <v>34</v>
      </c>
      <c r="F603" t="s">
        <v>74</v>
      </c>
    </row>
    <row r="604" spans="1:6" x14ac:dyDescent="0.35">
      <c r="A604" t="s">
        <v>28</v>
      </c>
      <c r="B604" t="s">
        <v>60</v>
      </c>
      <c r="C604" t="s">
        <v>28</v>
      </c>
      <c r="D604" t="s">
        <v>28</v>
      </c>
      <c r="E604" t="s">
        <v>28</v>
      </c>
      <c r="F604" t="s">
        <v>28</v>
      </c>
    </row>
    <row r="605" spans="1:6" x14ac:dyDescent="0.35">
      <c r="A605" t="s">
        <v>28</v>
      </c>
      <c r="B605" t="s">
        <v>60</v>
      </c>
      <c r="C605" t="s">
        <v>284</v>
      </c>
      <c r="D605" t="s">
        <v>30</v>
      </c>
      <c r="E605" t="s">
        <v>94</v>
      </c>
      <c r="F605" t="s">
        <v>28</v>
      </c>
    </row>
    <row r="606" spans="1:6" x14ac:dyDescent="0.35">
      <c r="A606" t="s">
        <v>28</v>
      </c>
      <c r="B606" t="s">
        <v>28</v>
      </c>
      <c r="C606" t="s">
        <v>28</v>
      </c>
      <c r="D606" t="s">
        <v>28</v>
      </c>
      <c r="E606" t="s">
        <v>28</v>
      </c>
      <c r="F606" t="s">
        <v>28</v>
      </c>
    </row>
    <row r="607" spans="1:6" x14ac:dyDescent="0.35">
      <c r="A607" t="s">
        <v>71</v>
      </c>
      <c r="B607" t="s">
        <v>33</v>
      </c>
      <c r="C607" t="s">
        <v>29</v>
      </c>
      <c r="D607" t="s">
        <v>30</v>
      </c>
      <c r="E607" t="s">
        <v>30</v>
      </c>
      <c r="F607" t="s">
        <v>368</v>
      </c>
    </row>
    <row r="608" spans="1:6" x14ac:dyDescent="0.35">
      <c r="A608" t="s">
        <v>33</v>
      </c>
      <c r="B608" t="s">
        <v>33</v>
      </c>
      <c r="C608" t="s">
        <v>33</v>
      </c>
      <c r="D608" t="s">
        <v>30</v>
      </c>
      <c r="E608" t="s">
        <v>30</v>
      </c>
      <c r="F608" t="s">
        <v>292</v>
      </c>
    </row>
    <row r="609" spans="1:6" x14ac:dyDescent="0.35">
      <c r="A609" t="s">
        <v>28</v>
      </c>
      <c r="B609" t="s">
        <v>44</v>
      </c>
      <c r="C609" t="s">
        <v>206</v>
      </c>
      <c r="D609" t="s">
        <v>30</v>
      </c>
      <c r="E609" t="s">
        <v>173</v>
      </c>
      <c r="F609" t="s">
        <v>28</v>
      </c>
    </row>
    <row r="610" spans="1:6" x14ac:dyDescent="0.35">
      <c r="A610" t="s">
        <v>44</v>
      </c>
      <c r="B610" t="s">
        <v>28</v>
      </c>
      <c r="C610" t="s">
        <v>28</v>
      </c>
      <c r="D610" t="s">
        <v>28</v>
      </c>
      <c r="E610" t="s">
        <v>28</v>
      </c>
      <c r="F610" t="s">
        <v>28</v>
      </c>
    </row>
    <row r="611" spans="1:6" x14ac:dyDescent="0.35">
      <c r="A611" t="s">
        <v>28</v>
      </c>
      <c r="B611" t="s">
        <v>28</v>
      </c>
      <c r="C611" t="s">
        <v>28</v>
      </c>
      <c r="D611" t="s">
        <v>28</v>
      </c>
      <c r="E611" t="s">
        <v>28</v>
      </c>
      <c r="F611" t="s">
        <v>28</v>
      </c>
    </row>
    <row r="612" spans="1:6" x14ac:dyDescent="0.35">
      <c r="A612" t="s">
        <v>33</v>
      </c>
      <c r="B612" t="s">
        <v>29</v>
      </c>
      <c r="C612" t="s">
        <v>33</v>
      </c>
      <c r="D612" t="s">
        <v>34</v>
      </c>
      <c r="E612" t="s">
        <v>34</v>
      </c>
      <c r="F612" t="s">
        <v>74</v>
      </c>
    </row>
    <row r="613" spans="1:6" x14ac:dyDescent="0.35">
      <c r="A613" t="s">
        <v>71</v>
      </c>
      <c r="B613" t="s">
        <v>29</v>
      </c>
      <c r="C613" t="s">
        <v>29</v>
      </c>
      <c r="D613" t="s">
        <v>34</v>
      </c>
      <c r="E613" t="s">
        <v>34</v>
      </c>
      <c r="F613" t="s">
        <v>28</v>
      </c>
    </row>
    <row r="614" spans="1:6" x14ac:dyDescent="0.35">
      <c r="A614" t="s">
        <v>28</v>
      </c>
      <c r="B614" t="s">
        <v>28</v>
      </c>
      <c r="C614" t="s">
        <v>284</v>
      </c>
      <c r="D614" t="s">
        <v>158</v>
      </c>
      <c r="E614" t="s">
        <v>103</v>
      </c>
      <c r="F614" t="s">
        <v>28</v>
      </c>
    </row>
    <row r="615" spans="1:6" x14ac:dyDescent="0.35">
      <c r="A615" t="s">
        <v>33</v>
      </c>
      <c r="B615" t="s">
        <v>33</v>
      </c>
      <c r="C615" t="s">
        <v>33</v>
      </c>
      <c r="D615" t="s">
        <v>34</v>
      </c>
      <c r="E615" t="s">
        <v>34</v>
      </c>
      <c r="F615" t="s">
        <v>74</v>
      </c>
    </row>
    <row r="616" spans="1:6" x14ac:dyDescent="0.35">
      <c r="A616" t="s">
        <v>28</v>
      </c>
      <c r="B616" t="s">
        <v>28</v>
      </c>
      <c r="C616" t="s">
        <v>28</v>
      </c>
      <c r="D616" t="s">
        <v>28</v>
      </c>
      <c r="E616" t="s">
        <v>28</v>
      </c>
      <c r="F616" t="s">
        <v>28</v>
      </c>
    </row>
    <row r="617" spans="1:6" x14ac:dyDescent="0.35">
      <c r="A617" t="s">
        <v>33</v>
      </c>
      <c r="B617" t="s">
        <v>33</v>
      </c>
      <c r="C617" t="s">
        <v>33</v>
      </c>
      <c r="D617" t="s">
        <v>34</v>
      </c>
      <c r="E617" t="s">
        <v>34</v>
      </c>
      <c r="F617" t="s">
        <v>74</v>
      </c>
    </row>
    <row r="618" spans="1:6" x14ac:dyDescent="0.35">
      <c r="A618" t="s">
        <v>28</v>
      </c>
      <c r="B618" t="s">
        <v>28</v>
      </c>
      <c r="C618" t="s">
        <v>28</v>
      </c>
      <c r="D618" t="s">
        <v>28</v>
      </c>
      <c r="E618" t="s">
        <v>28</v>
      </c>
      <c r="F618" t="s">
        <v>28</v>
      </c>
    </row>
    <row r="619" spans="1:6" x14ac:dyDescent="0.35">
      <c r="A619" t="s">
        <v>28</v>
      </c>
      <c r="B619" t="s">
        <v>28</v>
      </c>
      <c r="C619" t="s">
        <v>28</v>
      </c>
      <c r="D619" t="s">
        <v>28</v>
      </c>
      <c r="E619" t="s">
        <v>28</v>
      </c>
      <c r="F619" t="s">
        <v>35</v>
      </c>
    </row>
    <row r="620" spans="1:6" x14ac:dyDescent="0.35">
      <c r="A620" t="s">
        <v>60</v>
      </c>
      <c r="B620" t="s">
        <v>29</v>
      </c>
      <c r="C620" t="s">
        <v>29</v>
      </c>
      <c r="D620" t="s">
        <v>103</v>
      </c>
      <c r="E620" t="s">
        <v>28</v>
      </c>
      <c r="F620" t="s">
        <v>35</v>
      </c>
    </row>
    <row r="621" spans="1:6" x14ac:dyDescent="0.35">
      <c r="A621" t="s">
        <v>28</v>
      </c>
      <c r="B621" t="s">
        <v>28</v>
      </c>
      <c r="C621" t="s">
        <v>28</v>
      </c>
      <c r="D621" t="s">
        <v>28</v>
      </c>
      <c r="E621" t="s">
        <v>28</v>
      </c>
      <c r="F621" t="s">
        <v>28</v>
      </c>
    </row>
    <row r="622" spans="1:6" x14ac:dyDescent="0.35">
      <c r="A622" t="s">
        <v>33</v>
      </c>
      <c r="B622" t="s">
        <v>33</v>
      </c>
      <c r="C622" t="s">
        <v>33</v>
      </c>
      <c r="D622" t="s">
        <v>34</v>
      </c>
      <c r="E622" t="s">
        <v>34</v>
      </c>
      <c r="F622" t="s">
        <v>74</v>
      </c>
    </row>
    <row r="623" spans="1:6" x14ac:dyDescent="0.35">
      <c r="A623" t="s">
        <v>28</v>
      </c>
      <c r="B623" t="s">
        <v>158</v>
      </c>
      <c r="C623" t="s">
        <v>28</v>
      </c>
      <c r="D623" t="s">
        <v>158</v>
      </c>
      <c r="E623" t="s">
        <v>28</v>
      </c>
      <c r="F623" t="s">
        <v>28</v>
      </c>
    </row>
    <row r="624" spans="1:6" x14ac:dyDescent="0.35">
      <c r="A624" t="s">
        <v>28</v>
      </c>
      <c r="B624" t="s">
        <v>28</v>
      </c>
      <c r="C624" t="s">
        <v>28</v>
      </c>
      <c r="D624" t="s">
        <v>173</v>
      </c>
      <c r="E624" t="s">
        <v>28</v>
      </c>
      <c r="F624" t="s">
        <v>35</v>
      </c>
    </row>
    <row r="625" spans="1:6" x14ac:dyDescent="0.35">
      <c r="A625" t="s">
        <v>28</v>
      </c>
      <c r="B625" t="s">
        <v>28</v>
      </c>
      <c r="C625" t="s">
        <v>28</v>
      </c>
      <c r="D625" t="s">
        <v>28</v>
      </c>
      <c r="E625" t="s">
        <v>28</v>
      </c>
      <c r="F625" t="s">
        <v>28</v>
      </c>
    </row>
    <row r="626" spans="1:6" x14ac:dyDescent="0.35">
      <c r="A626" t="s">
        <v>71</v>
      </c>
      <c r="B626" t="s">
        <v>29</v>
      </c>
      <c r="C626" t="s">
        <v>29</v>
      </c>
      <c r="D626" t="s">
        <v>34</v>
      </c>
      <c r="E626" t="s">
        <v>34</v>
      </c>
      <c r="F626" t="s">
        <v>28</v>
      </c>
    </row>
    <row r="627" spans="1:6" x14ac:dyDescent="0.35">
      <c r="A627" t="s">
        <v>28</v>
      </c>
      <c r="B627" t="s">
        <v>28</v>
      </c>
      <c r="C627" t="s">
        <v>28</v>
      </c>
      <c r="D627" t="s">
        <v>28</v>
      </c>
      <c r="E627" t="s">
        <v>28</v>
      </c>
      <c r="F627" t="s">
        <v>28</v>
      </c>
    </row>
    <row r="628" spans="1:6" x14ac:dyDescent="0.35">
      <c r="A628" t="s">
        <v>377</v>
      </c>
      <c r="B628" t="s">
        <v>158</v>
      </c>
      <c r="C628" t="s">
        <v>28</v>
      </c>
      <c r="D628" t="s">
        <v>103</v>
      </c>
      <c r="E628" t="s">
        <v>45</v>
      </c>
      <c r="F628" t="s">
        <v>45</v>
      </c>
    </row>
    <row r="629" spans="1:6" x14ac:dyDescent="0.35">
      <c r="A629" t="s">
        <v>33</v>
      </c>
      <c r="B629" t="s">
        <v>33</v>
      </c>
      <c r="C629" t="s">
        <v>33</v>
      </c>
      <c r="D629" t="s">
        <v>34</v>
      </c>
      <c r="E629" t="s">
        <v>34</v>
      </c>
      <c r="F629" t="s">
        <v>74</v>
      </c>
    </row>
    <row r="630" spans="1:6" x14ac:dyDescent="0.35">
      <c r="A630" t="s">
        <v>44</v>
      </c>
      <c r="B630" t="s">
        <v>28</v>
      </c>
      <c r="C630" t="s">
        <v>60</v>
      </c>
      <c r="D630" t="s">
        <v>103</v>
      </c>
      <c r="E630" t="s">
        <v>45</v>
      </c>
      <c r="F630" t="s">
        <v>45</v>
      </c>
    </row>
    <row r="631" spans="1:6" x14ac:dyDescent="0.35">
      <c r="A631" t="s">
        <v>28</v>
      </c>
      <c r="B631" t="s">
        <v>28</v>
      </c>
      <c r="C631" t="s">
        <v>28</v>
      </c>
      <c r="D631" t="s">
        <v>28</v>
      </c>
      <c r="E631" t="s">
        <v>28</v>
      </c>
      <c r="F631" t="s">
        <v>28</v>
      </c>
    </row>
    <row r="632" spans="1:6" x14ac:dyDescent="0.35">
      <c r="A632" t="s">
        <v>28</v>
      </c>
      <c r="B632" t="s">
        <v>28</v>
      </c>
      <c r="C632" t="s">
        <v>28</v>
      </c>
      <c r="D632" t="s">
        <v>28</v>
      </c>
      <c r="E632" t="s">
        <v>28</v>
      </c>
      <c r="F632" t="s">
        <v>28</v>
      </c>
    </row>
    <row r="633" spans="1:6" x14ac:dyDescent="0.35">
      <c r="A633" t="s">
        <v>71</v>
      </c>
      <c r="B633" t="s">
        <v>33</v>
      </c>
      <c r="C633" t="s">
        <v>33</v>
      </c>
      <c r="D633" t="s">
        <v>34</v>
      </c>
      <c r="E633" t="s">
        <v>34</v>
      </c>
      <c r="F633" t="s">
        <v>73</v>
      </c>
    </row>
    <row r="634" spans="1:6" x14ac:dyDescent="0.35">
      <c r="A634" t="s">
        <v>44</v>
      </c>
      <c r="B634" t="s">
        <v>158</v>
      </c>
      <c r="C634" t="s">
        <v>157</v>
      </c>
      <c r="D634" t="s">
        <v>158</v>
      </c>
      <c r="E634" t="s">
        <v>45</v>
      </c>
      <c r="F634" t="s">
        <v>45</v>
      </c>
    </row>
    <row r="635" spans="1:6" x14ac:dyDescent="0.35">
      <c r="A635" t="s">
        <v>33</v>
      </c>
      <c r="B635" t="s">
        <v>33</v>
      </c>
      <c r="C635" t="s">
        <v>33</v>
      </c>
      <c r="D635" t="s">
        <v>34</v>
      </c>
      <c r="E635" t="s">
        <v>34</v>
      </c>
      <c r="F635" t="s">
        <v>74</v>
      </c>
    </row>
    <row r="636" spans="1:6" x14ac:dyDescent="0.35">
      <c r="A636" t="s">
        <v>377</v>
      </c>
      <c r="B636" t="s">
        <v>44</v>
      </c>
      <c r="C636" t="s">
        <v>157</v>
      </c>
      <c r="D636" t="s">
        <v>173</v>
      </c>
      <c r="E636" t="s">
        <v>28</v>
      </c>
      <c r="F636" t="s">
        <v>45</v>
      </c>
    </row>
    <row r="637" spans="1:6" x14ac:dyDescent="0.35">
      <c r="A637" t="s">
        <v>33</v>
      </c>
      <c r="B637" t="s">
        <v>33</v>
      </c>
      <c r="C637" t="s">
        <v>33</v>
      </c>
      <c r="D637" t="s">
        <v>34</v>
      </c>
      <c r="E637" t="s">
        <v>34</v>
      </c>
      <c r="F637" t="s">
        <v>74</v>
      </c>
    </row>
    <row r="638" spans="1:6" x14ac:dyDescent="0.35">
      <c r="A638" t="s">
        <v>28</v>
      </c>
      <c r="B638" t="s">
        <v>28</v>
      </c>
      <c r="C638" t="s">
        <v>28</v>
      </c>
      <c r="D638" t="s">
        <v>28</v>
      </c>
      <c r="E638" t="s">
        <v>28</v>
      </c>
      <c r="F638" t="s">
        <v>28</v>
      </c>
    </row>
    <row r="639" spans="1:6" x14ac:dyDescent="0.35">
      <c r="A639" t="s">
        <v>28</v>
      </c>
      <c r="B639" t="s">
        <v>28</v>
      </c>
      <c r="C639" t="s">
        <v>28</v>
      </c>
      <c r="D639" t="s">
        <v>28</v>
      </c>
      <c r="E639" t="s">
        <v>28</v>
      </c>
      <c r="F639" t="s">
        <v>28</v>
      </c>
    </row>
    <row r="640" spans="1:6" x14ac:dyDescent="0.35">
      <c r="A640" t="s">
        <v>33</v>
      </c>
      <c r="B640" t="s">
        <v>29</v>
      </c>
      <c r="C640" t="s">
        <v>33</v>
      </c>
      <c r="D640" t="s">
        <v>34</v>
      </c>
      <c r="E640" t="s">
        <v>34</v>
      </c>
      <c r="F640" t="s">
        <v>74</v>
      </c>
    </row>
    <row r="641" spans="1:6" x14ac:dyDescent="0.35">
      <c r="A641" t="s">
        <v>44</v>
      </c>
      <c r="B641" t="s">
        <v>60</v>
      </c>
      <c r="C641" t="s">
        <v>157</v>
      </c>
      <c r="D641" t="s">
        <v>28</v>
      </c>
      <c r="E641" t="s">
        <v>368</v>
      </c>
      <c r="F641" t="s">
        <v>94</v>
      </c>
    </row>
    <row r="642" spans="1:6" x14ac:dyDescent="0.35">
      <c r="A642" t="s">
        <v>33</v>
      </c>
      <c r="B642" t="s">
        <v>33</v>
      </c>
      <c r="C642" t="s">
        <v>29</v>
      </c>
      <c r="D642" t="s">
        <v>173</v>
      </c>
      <c r="E642" t="s">
        <v>30</v>
      </c>
      <c r="F642" t="s">
        <v>35</v>
      </c>
    </row>
    <row r="643" spans="1:6" x14ac:dyDescent="0.35">
      <c r="A643" t="s">
        <v>28</v>
      </c>
      <c r="B643" t="s">
        <v>28</v>
      </c>
      <c r="C643" t="s">
        <v>28</v>
      </c>
      <c r="D643" t="s">
        <v>28</v>
      </c>
      <c r="E643" t="s">
        <v>28</v>
      </c>
      <c r="F643" t="s">
        <v>28</v>
      </c>
    </row>
    <row r="644" spans="1:6" x14ac:dyDescent="0.35">
      <c r="A644" t="s">
        <v>377</v>
      </c>
      <c r="B644" t="s">
        <v>60</v>
      </c>
      <c r="C644" t="s">
        <v>157</v>
      </c>
      <c r="D644" t="s">
        <v>103</v>
      </c>
      <c r="E644" t="s">
        <v>173</v>
      </c>
      <c r="F644" t="s">
        <v>368</v>
      </c>
    </row>
    <row r="645" spans="1:6" x14ac:dyDescent="0.35">
      <c r="A645" t="s">
        <v>28</v>
      </c>
      <c r="B645" t="s">
        <v>28</v>
      </c>
      <c r="C645" t="s">
        <v>28</v>
      </c>
      <c r="D645" t="s">
        <v>28</v>
      </c>
      <c r="E645" t="s">
        <v>28</v>
      </c>
      <c r="F645" t="s">
        <v>28</v>
      </c>
    </row>
    <row r="646" spans="1:6" x14ac:dyDescent="0.35">
      <c r="A646" t="s">
        <v>28</v>
      </c>
      <c r="B646" t="s">
        <v>28</v>
      </c>
      <c r="C646" t="s">
        <v>28</v>
      </c>
      <c r="D646" t="s">
        <v>28</v>
      </c>
      <c r="E646" t="s">
        <v>28</v>
      </c>
      <c r="F646" t="s">
        <v>28</v>
      </c>
    </row>
    <row r="647" spans="1:6" x14ac:dyDescent="0.35">
      <c r="A647" t="s">
        <v>28</v>
      </c>
      <c r="B647" t="s">
        <v>28</v>
      </c>
      <c r="C647" t="s">
        <v>28</v>
      </c>
      <c r="D647" t="s">
        <v>28</v>
      </c>
      <c r="E647" t="s">
        <v>28</v>
      </c>
      <c r="F647" t="s">
        <v>28</v>
      </c>
    </row>
    <row r="648" spans="1:6" x14ac:dyDescent="0.35">
      <c r="A648" t="s">
        <v>28</v>
      </c>
      <c r="B648" t="s">
        <v>44</v>
      </c>
      <c r="C648" t="s">
        <v>28</v>
      </c>
      <c r="D648" t="s">
        <v>173</v>
      </c>
      <c r="E648" t="s">
        <v>28</v>
      </c>
      <c r="F648" t="s">
        <v>45</v>
      </c>
    </row>
    <row r="649" spans="1:6" x14ac:dyDescent="0.35">
      <c r="A649" t="s">
        <v>28</v>
      </c>
      <c r="B649" t="s">
        <v>28</v>
      </c>
      <c r="C649" t="s">
        <v>28</v>
      </c>
      <c r="D649" t="s">
        <v>28</v>
      </c>
      <c r="E649" t="s">
        <v>28</v>
      </c>
      <c r="F649" t="s">
        <v>28</v>
      </c>
    </row>
    <row r="650" spans="1:6" x14ac:dyDescent="0.35">
      <c r="A650" t="s">
        <v>28</v>
      </c>
      <c r="B650" t="s">
        <v>44</v>
      </c>
      <c r="C650" t="s">
        <v>157</v>
      </c>
      <c r="D650" t="s">
        <v>28</v>
      </c>
      <c r="E650" t="s">
        <v>28</v>
      </c>
      <c r="F650" t="s">
        <v>28</v>
      </c>
    </row>
    <row r="651" spans="1:6" x14ac:dyDescent="0.35">
      <c r="A651" t="s">
        <v>28</v>
      </c>
      <c r="B651" t="s">
        <v>28</v>
      </c>
      <c r="C651" t="s">
        <v>28</v>
      </c>
      <c r="D651" t="s">
        <v>28</v>
      </c>
      <c r="E651" t="s">
        <v>28</v>
      </c>
      <c r="F651" t="s">
        <v>28</v>
      </c>
    </row>
    <row r="652" spans="1:6" x14ac:dyDescent="0.35">
      <c r="A652" t="s">
        <v>28</v>
      </c>
      <c r="B652" t="s">
        <v>28</v>
      </c>
      <c r="C652" t="s">
        <v>28</v>
      </c>
      <c r="D652" t="s">
        <v>28</v>
      </c>
      <c r="E652" t="s">
        <v>28</v>
      </c>
      <c r="F652" t="s">
        <v>28</v>
      </c>
    </row>
    <row r="653" spans="1:6" x14ac:dyDescent="0.35">
      <c r="A653" t="s">
        <v>28</v>
      </c>
      <c r="B653" t="s">
        <v>28</v>
      </c>
      <c r="C653" t="s">
        <v>28</v>
      </c>
      <c r="D653" t="s">
        <v>28</v>
      </c>
      <c r="E653" t="s">
        <v>28</v>
      </c>
      <c r="F653" t="s">
        <v>28</v>
      </c>
    </row>
    <row r="654" spans="1:6" x14ac:dyDescent="0.35">
      <c r="A654" t="s">
        <v>28</v>
      </c>
      <c r="B654" t="s">
        <v>28</v>
      </c>
      <c r="C654" t="s">
        <v>28</v>
      </c>
      <c r="D654" t="s">
        <v>173</v>
      </c>
      <c r="E654" t="s">
        <v>28</v>
      </c>
      <c r="F654" t="s">
        <v>73</v>
      </c>
    </row>
    <row r="655" spans="1:6" x14ac:dyDescent="0.35">
      <c r="A655" t="s">
        <v>28</v>
      </c>
      <c r="B655" t="s">
        <v>28</v>
      </c>
      <c r="C655" t="s">
        <v>28</v>
      </c>
      <c r="D655" t="s">
        <v>72</v>
      </c>
      <c r="E655" t="s">
        <v>368</v>
      </c>
      <c r="F655" t="s">
        <v>28</v>
      </c>
    </row>
    <row r="656" spans="1:6" x14ac:dyDescent="0.35">
      <c r="A656" t="s">
        <v>377</v>
      </c>
      <c r="B656" t="s">
        <v>44</v>
      </c>
      <c r="C656" t="s">
        <v>284</v>
      </c>
      <c r="D656" t="s">
        <v>103</v>
      </c>
      <c r="E656" t="s">
        <v>28</v>
      </c>
      <c r="F656" t="s">
        <v>45</v>
      </c>
    </row>
    <row r="657" spans="1:6" x14ac:dyDescent="0.35">
      <c r="A657" t="s">
        <v>60</v>
      </c>
      <c r="B657" t="s">
        <v>158</v>
      </c>
      <c r="C657" t="s">
        <v>284</v>
      </c>
      <c r="D657" t="s">
        <v>103</v>
      </c>
      <c r="E657" t="s">
        <v>28</v>
      </c>
      <c r="F657" t="s">
        <v>45</v>
      </c>
    </row>
    <row r="658" spans="1:6" x14ac:dyDescent="0.35">
      <c r="A658" t="s">
        <v>60</v>
      </c>
      <c r="B658" t="s">
        <v>28</v>
      </c>
      <c r="C658" t="s">
        <v>284</v>
      </c>
      <c r="D658" t="s">
        <v>28</v>
      </c>
      <c r="E658" t="s">
        <v>368</v>
      </c>
      <c r="F658" t="s">
        <v>61</v>
      </c>
    </row>
    <row r="659" spans="1:6" x14ac:dyDescent="0.35">
      <c r="A659" t="s">
        <v>44</v>
      </c>
      <c r="B659" t="s">
        <v>197</v>
      </c>
      <c r="C659" t="s">
        <v>28</v>
      </c>
      <c r="D659" t="s">
        <v>103</v>
      </c>
      <c r="E659" t="s">
        <v>368</v>
      </c>
      <c r="F659" t="s">
        <v>28</v>
      </c>
    </row>
    <row r="660" spans="1:6" x14ac:dyDescent="0.35">
      <c r="A660" t="s">
        <v>28</v>
      </c>
      <c r="B660" t="s">
        <v>44</v>
      </c>
      <c r="C660" t="s">
        <v>157</v>
      </c>
      <c r="D660" t="s">
        <v>72</v>
      </c>
      <c r="E660" t="s">
        <v>103</v>
      </c>
      <c r="F660" t="s">
        <v>61</v>
      </c>
    </row>
    <row r="661" spans="1:6" x14ac:dyDescent="0.35">
      <c r="A661" t="s">
        <v>28</v>
      </c>
      <c r="B661" t="s">
        <v>44</v>
      </c>
      <c r="C661" t="s">
        <v>284</v>
      </c>
      <c r="D661" t="s">
        <v>103</v>
      </c>
      <c r="E661" t="s">
        <v>45</v>
      </c>
      <c r="F661" t="s">
        <v>28</v>
      </c>
    </row>
    <row r="662" spans="1:6" x14ac:dyDescent="0.35">
      <c r="A662" t="s">
        <v>28</v>
      </c>
      <c r="B662" t="s">
        <v>28</v>
      </c>
      <c r="C662" t="s">
        <v>28</v>
      </c>
      <c r="D662" t="s">
        <v>28</v>
      </c>
      <c r="E662" t="s">
        <v>28</v>
      </c>
      <c r="F662" t="s">
        <v>28</v>
      </c>
    </row>
    <row r="663" spans="1:6" x14ac:dyDescent="0.35">
      <c r="A663" t="s">
        <v>44</v>
      </c>
      <c r="B663" t="s">
        <v>44</v>
      </c>
      <c r="C663" t="s">
        <v>44</v>
      </c>
      <c r="D663" t="s">
        <v>28</v>
      </c>
      <c r="E663" t="s">
        <v>368</v>
      </c>
      <c r="F663" t="s">
        <v>28</v>
      </c>
    </row>
    <row r="664" spans="1:6" x14ac:dyDescent="0.35">
      <c r="A664" t="s">
        <v>29</v>
      </c>
      <c r="B664" t="s">
        <v>44</v>
      </c>
      <c r="C664" t="s">
        <v>44</v>
      </c>
      <c r="D664" t="s">
        <v>103</v>
      </c>
      <c r="E664" t="s">
        <v>45</v>
      </c>
      <c r="F664" t="s">
        <v>368</v>
      </c>
    </row>
    <row r="665" spans="1:6" x14ac:dyDescent="0.35">
      <c r="A665" t="s">
        <v>44</v>
      </c>
      <c r="B665" t="s">
        <v>44</v>
      </c>
      <c r="C665" t="s">
        <v>60</v>
      </c>
      <c r="D665" t="s">
        <v>28</v>
      </c>
      <c r="E665" t="s">
        <v>28</v>
      </c>
      <c r="F665" t="s">
        <v>368</v>
      </c>
    </row>
    <row r="666" spans="1:6" x14ac:dyDescent="0.35">
      <c r="A666" t="s">
        <v>377</v>
      </c>
      <c r="B666" t="s">
        <v>44</v>
      </c>
      <c r="C666" t="s">
        <v>206</v>
      </c>
      <c r="D666" t="s">
        <v>34</v>
      </c>
      <c r="E666" t="s">
        <v>173</v>
      </c>
      <c r="F666" t="s">
        <v>45</v>
      </c>
    </row>
    <row r="667" spans="1:6" x14ac:dyDescent="0.35">
      <c r="A667" t="s">
        <v>60</v>
      </c>
      <c r="B667" t="s">
        <v>158</v>
      </c>
      <c r="C667" t="s">
        <v>28</v>
      </c>
      <c r="D667" t="s">
        <v>28</v>
      </c>
      <c r="E667" t="s">
        <v>28</v>
      </c>
      <c r="F667" t="s">
        <v>94</v>
      </c>
    </row>
    <row r="668" spans="1:6" x14ac:dyDescent="0.35">
      <c r="A668" t="s">
        <v>44</v>
      </c>
      <c r="B668" t="s">
        <v>28</v>
      </c>
      <c r="C668" t="s">
        <v>60</v>
      </c>
      <c r="D668" t="s">
        <v>173</v>
      </c>
      <c r="E668" t="s">
        <v>28</v>
      </c>
      <c r="F668" t="s">
        <v>368</v>
      </c>
    </row>
    <row r="669" spans="1:6" x14ac:dyDescent="0.35">
      <c r="A669" t="s">
        <v>377</v>
      </c>
      <c r="B669" t="s">
        <v>44</v>
      </c>
      <c r="C669" t="s">
        <v>73</v>
      </c>
      <c r="D669" t="s">
        <v>72</v>
      </c>
      <c r="E669" t="s">
        <v>73</v>
      </c>
      <c r="F669" t="s">
        <v>73</v>
      </c>
    </row>
    <row r="670" spans="1:6" x14ac:dyDescent="0.35">
      <c r="A670" t="s">
        <v>28</v>
      </c>
      <c r="B670" t="s">
        <v>28</v>
      </c>
      <c r="C670" t="s">
        <v>284</v>
      </c>
      <c r="D670" t="s">
        <v>28</v>
      </c>
      <c r="E670" t="s">
        <v>28</v>
      </c>
      <c r="F670" t="s">
        <v>28</v>
      </c>
    </row>
    <row r="671" spans="1:6" x14ac:dyDescent="0.35">
      <c r="A671" t="s">
        <v>44</v>
      </c>
      <c r="B671" t="s">
        <v>60</v>
      </c>
      <c r="C671" t="s">
        <v>60</v>
      </c>
      <c r="D671" t="s">
        <v>103</v>
      </c>
      <c r="E671" t="s">
        <v>28</v>
      </c>
      <c r="F671" t="s">
        <v>45</v>
      </c>
    </row>
    <row r="672" spans="1:6" x14ac:dyDescent="0.35">
      <c r="A672" t="s">
        <v>28</v>
      </c>
      <c r="B672" t="s">
        <v>28</v>
      </c>
      <c r="C672" t="s">
        <v>28</v>
      </c>
      <c r="D672" t="s">
        <v>28</v>
      </c>
      <c r="E672" t="s">
        <v>28</v>
      </c>
      <c r="F672" t="s">
        <v>28</v>
      </c>
    </row>
    <row r="673" spans="1:6" x14ac:dyDescent="0.35">
      <c r="A673" t="s">
        <v>29</v>
      </c>
      <c r="B673" t="s">
        <v>197</v>
      </c>
      <c r="C673" t="s">
        <v>206</v>
      </c>
      <c r="D673" t="s">
        <v>30</v>
      </c>
      <c r="E673" t="s">
        <v>45</v>
      </c>
      <c r="F673" t="s">
        <v>73</v>
      </c>
    </row>
    <row r="674" spans="1:6" x14ac:dyDescent="0.35">
      <c r="A674" t="s">
        <v>377</v>
      </c>
      <c r="B674" t="s">
        <v>44</v>
      </c>
      <c r="C674" t="s">
        <v>44</v>
      </c>
      <c r="D674" t="s">
        <v>103</v>
      </c>
      <c r="E674" t="s">
        <v>28</v>
      </c>
      <c r="F674" t="s">
        <v>45</v>
      </c>
    </row>
    <row r="675" spans="1:6" x14ac:dyDescent="0.35">
      <c r="A675" t="s">
        <v>28</v>
      </c>
      <c r="B675" t="s">
        <v>60</v>
      </c>
      <c r="C675" t="s">
        <v>157</v>
      </c>
      <c r="D675" t="s">
        <v>173</v>
      </c>
      <c r="E675" t="s">
        <v>45</v>
      </c>
      <c r="F675" t="s">
        <v>45</v>
      </c>
    </row>
    <row r="676" spans="1:6" x14ac:dyDescent="0.35">
      <c r="A676" t="s">
        <v>28</v>
      </c>
      <c r="B676" t="s">
        <v>28</v>
      </c>
      <c r="C676" t="s">
        <v>28</v>
      </c>
      <c r="D676" t="s">
        <v>28</v>
      </c>
      <c r="E676" t="s">
        <v>28</v>
      </c>
      <c r="F676" t="s">
        <v>28</v>
      </c>
    </row>
    <row r="677" spans="1:6" x14ac:dyDescent="0.35">
      <c r="A677" t="s">
        <v>60</v>
      </c>
      <c r="B677" t="s">
        <v>44</v>
      </c>
      <c r="C677" t="s">
        <v>157</v>
      </c>
      <c r="D677" t="s">
        <v>103</v>
      </c>
      <c r="E677" t="s">
        <v>45</v>
      </c>
      <c r="F677" t="s">
        <v>45</v>
      </c>
    </row>
    <row r="678" spans="1:6" x14ac:dyDescent="0.35">
      <c r="A678" t="s">
        <v>449</v>
      </c>
      <c r="B678" t="s">
        <v>33</v>
      </c>
      <c r="C678" t="s">
        <v>284</v>
      </c>
      <c r="D678" t="s">
        <v>158</v>
      </c>
      <c r="E678" t="s">
        <v>30</v>
      </c>
      <c r="F678" t="s">
        <v>73</v>
      </c>
    </row>
    <row r="679" spans="1:6" x14ac:dyDescent="0.35">
      <c r="A679" t="s">
        <v>44</v>
      </c>
      <c r="B679" t="s">
        <v>44</v>
      </c>
      <c r="C679" t="s">
        <v>60</v>
      </c>
      <c r="D679" t="s">
        <v>103</v>
      </c>
      <c r="E679" t="s">
        <v>45</v>
      </c>
      <c r="F679" t="s">
        <v>368</v>
      </c>
    </row>
    <row r="680" spans="1:6" x14ac:dyDescent="0.35">
      <c r="A680" t="s">
        <v>28</v>
      </c>
      <c r="B680" t="s">
        <v>158</v>
      </c>
      <c r="C680" t="s">
        <v>28</v>
      </c>
      <c r="D680" t="s">
        <v>28</v>
      </c>
      <c r="E680" t="s">
        <v>28</v>
      </c>
      <c r="F680" t="s">
        <v>28</v>
      </c>
    </row>
    <row r="681" spans="1:6" x14ac:dyDescent="0.35">
      <c r="A681" t="s">
        <v>44</v>
      </c>
      <c r="B681" t="s">
        <v>44</v>
      </c>
      <c r="C681" t="s">
        <v>44</v>
      </c>
      <c r="D681" t="s">
        <v>103</v>
      </c>
      <c r="E681" t="s">
        <v>28</v>
      </c>
      <c r="F681" t="s">
        <v>45</v>
      </c>
    </row>
    <row r="682" spans="1:6" x14ac:dyDescent="0.35">
      <c r="A682" t="s">
        <v>28</v>
      </c>
      <c r="B682" t="s">
        <v>44</v>
      </c>
      <c r="C682" t="s">
        <v>157</v>
      </c>
      <c r="D682" t="s">
        <v>103</v>
      </c>
      <c r="E682" t="s">
        <v>45</v>
      </c>
      <c r="F682" t="s">
        <v>45</v>
      </c>
    </row>
    <row r="683" spans="1:6" x14ac:dyDescent="0.35">
      <c r="A683" t="s">
        <v>60</v>
      </c>
      <c r="B683" t="s">
        <v>72</v>
      </c>
      <c r="C683" t="s">
        <v>28</v>
      </c>
      <c r="D683" t="s">
        <v>28</v>
      </c>
      <c r="E683" t="s">
        <v>28</v>
      </c>
      <c r="F683" t="s">
        <v>28</v>
      </c>
    </row>
    <row r="684" spans="1:6" x14ac:dyDescent="0.35">
      <c r="A684" t="s">
        <v>28</v>
      </c>
      <c r="B684" t="s">
        <v>44</v>
      </c>
      <c r="C684" t="s">
        <v>157</v>
      </c>
      <c r="D684" t="s">
        <v>103</v>
      </c>
      <c r="E684" t="s">
        <v>45</v>
      </c>
      <c r="F684" t="s">
        <v>45</v>
      </c>
    </row>
    <row r="685" spans="1:6" x14ac:dyDescent="0.35">
      <c r="A685" t="s">
        <v>28</v>
      </c>
      <c r="B685" t="s">
        <v>28</v>
      </c>
      <c r="C685" t="s">
        <v>28</v>
      </c>
      <c r="D685" t="s">
        <v>196</v>
      </c>
      <c r="E685" t="s">
        <v>28</v>
      </c>
      <c r="F685" t="s">
        <v>28</v>
      </c>
    </row>
    <row r="686" spans="1:6" x14ac:dyDescent="0.35">
      <c r="A686" t="s">
        <v>44</v>
      </c>
      <c r="B686" t="s">
        <v>44</v>
      </c>
      <c r="C686" t="s">
        <v>44</v>
      </c>
      <c r="D686" t="s">
        <v>103</v>
      </c>
      <c r="E686" t="s">
        <v>103</v>
      </c>
      <c r="F686" t="s">
        <v>28</v>
      </c>
    </row>
    <row r="687" spans="1:6" x14ac:dyDescent="0.35">
      <c r="A687" t="s">
        <v>28</v>
      </c>
      <c r="B687" t="s">
        <v>44</v>
      </c>
      <c r="C687" t="s">
        <v>157</v>
      </c>
      <c r="D687" t="s">
        <v>103</v>
      </c>
      <c r="E687" t="s">
        <v>45</v>
      </c>
      <c r="F687" t="s">
        <v>45</v>
      </c>
    </row>
    <row r="688" spans="1:6" x14ac:dyDescent="0.35">
      <c r="A688" t="s">
        <v>60</v>
      </c>
      <c r="B688" t="s">
        <v>29</v>
      </c>
      <c r="C688" t="s">
        <v>60</v>
      </c>
      <c r="D688" t="s">
        <v>173</v>
      </c>
      <c r="E688" t="s">
        <v>34</v>
      </c>
      <c r="F688" t="s">
        <v>292</v>
      </c>
    </row>
    <row r="689" spans="1:6" x14ac:dyDescent="0.35">
      <c r="A689" t="s">
        <v>44</v>
      </c>
      <c r="B689" t="s">
        <v>44</v>
      </c>
      <c r="C689" t="s">
        <v>44</v>
      </c>
      <c r="D689" t="s">
        <v>173</v>
      </c>
      <c r="E689" t="s">
        <v>103</v>
      </c>
      <c r="F689" t="s">
        <v>45</v>
      </c>
    </row>
    <row r="690" spans="1:6" x14ac:dyDescent="0.35">
      <c r="A690" t="s">
        <v>344</v>
      </c>
      <c r="B690" t="s">
        <v>33</v>
      </c>
      <c r="C690" t="s">
        <v>29</v>
      </c>
      <c r="D690" t="s">
        <v>72</v>
      </c>
      <c r="E690" t="s">
        <v>30</v>
      </c>
      <c r="F690" t="s">
        <v>73</v>
      </c>
    </row>
    <row r="691" spans="1:6" x14ac:dyDescent="0.35">
      <c r="A691" t="s">
        <v>377</v>
      </c>
      <c r="B691" t="s">
        <v>158</v>
      </c>
      <c r="C691" t="s">
        <v>157</v>
      </c>
      <c r="D691" t="s">
        <v>103</v>
      </c>
      <c r="E691" t="s">
        <v>103</v>
      </c>
      <c r="F691" t="s">
        <v>35</v>
      </c>
    </row>
    <row r="692" spans="1:6" x14ac:dyDescent="0.35">
      <c r="A692" t="s">
        <v>28</v>
      </c>
      <c r="B692" t="s">
        <v>196</v>
      </c>
      <c r="C692" t="s">
        <v>28</v>
      </c>
      <c r="D692" t="s">
        <v>28</v>
      </c>
      <c r="E692" t="s">
        <v>28</v>
      </c>
      <c r="F692" t="s">
        <v>28</v>
      </c>
    </row>
    <row r="693" spans="1:6" x14ac:dyDescent="0.35">
      <c r="A693" t="s">
        <v>29</v>
      </c>
      <c r="B693" t="s">
        <v>29</v>
      </c>
      <c r="C693" t="s">
        <v>29</v>
      </c>
      <c r="D693" t="s">
        <v>30</v>
      </c>
      <c r="E693" t="s">
        <v>30</v>
      </c>
      <c r="F693" t="s">
        <v>28</v>
      </c>
    </row>
    <row r="694" spans="1:6" x14ac:dyDescent="0.35">
      <c r="A694" t="s">
        <v>28</v>
      </c>
      <c r="B694" t="s">
        <v>60</v>
      </c>
      <c r="C694" t="s">
        <v>28</v>
      </c>
      <c r="D694" t="s">
        <v>28</v>
      </c>
      <c r="E694" t="s">
        <v>28</v>
      </c>
      <c r="F694" t="s">
        <v>28</v>
      </c>
    </row>
    <row r="695" spans="1:6" x14ac:dyDescent="0.35">
      <c r="A695" t="s">
        <v>44</v>
      </c>
      <c r="B695" t="s">
        <v>28</v>
      </c>
      <c r="C695" t="s">
        <v>44</v>
      </c>
      <c r="D695" t="s">
        <v>103</v>
      </c>
      <c r="E695" t="s">
        <v>103</v>
      </c>
      <c r="F695" t="s">
        <v>45</v>
      </c>
    </row>
    <row r="696" spans="1:6" x14ac:dyDescent="0.35">
      <c r="A696" t="s">
        <v>28</v>
      </c>
      <c r="B696" t="s">
        <v>28</v>
      </c>
      <c r="C696" t="s">
        <v>28</v>
      </c>
      <c r="D696" t="s">
        <v>158</v>
      </c>
      <c r="E696" t="s">
        <v>28</v>
      </c>
      <c r="F696" t="s">
        <v>28</v>
      </c>
    </row>
    <row r="697" spans="1:6" x14ac:dyDescent="0.35">
      <c r="A697" t="s">
        <v>28</v>
      </c>
      <c r="B697" t="s">
        <v>28</v>
      </c>
      <c r="C697" t="s">
        <v>28</v>
      </c>
      <c r="D697" t="s">
        <v>28</v>
      </c>
      <c r="E697" t="s">
        <v>94</v>
      </c>
      <c r="F697" t="s">
        <v>28</v>
      </c>
    </row>
    <row r="698" spans="1:6" x14ac:dyDescent="0.35">
      <c r="A698" t="s">
        <v>28</v>
      </c>
      <c r="B698" t="s">
        <v>28</v>
      </c>
      <c r="C698" t="s">
        <v>28</v>
      </c>
      <c r="D698" t="s">
        <v>28</v>
      </c>
      <c r="E698" t="s">
        <v>28</v>
      </c>
      <c r="F698" t="s">
        <v>28</v>
      </c>
    </row>
    <row r="699" spans="1:6" x14ac:dyDescent="0.35">
      <c r="A699" t="s">
        <v>44</v>
      </c>
      <c r="B699" t="s">
        <v>44</v>
      </c>
      <c r="C699" t="s">
        <v>28</v>
      </c>
      <c r="D699" t="s">
        <v>103</v>
      </c>
      <c r="E699" t="s">
        <v>45</v>
      </c>
      <c r="F699" t="s">
        <v>45</v>
      </c>
    </row>
    <row r="700" spans="1:6" x14ac:dyDescent="0.35">
      <c r="A700" t="s">
        <v>28</v>
      </c>
      <c r="B700" t="s">
        <v>28</v>
      </c>
      <c r="C700" t="s">
        <v>28</v>
      </c>
      <c r="D700" t="s">
        <v>28</v>
      </c>
      <c r="E700" t="s">
        <v>28</v>
      </c>
      <c r="F700" t="s">
        <v>28</v>
      </c>
    </row>
    <row r="701" spans="1:6" x14ac:dyDescent="0.35">
      <c r="A701" t="s">
        <v>44</v>
      </c>
      <c r="B701" t="s">
        <v>60</v>
      </c>
      <c r="C701" t="s">
        <v>60</v>
      </c>
      <c r="D701" t="s">
        <v>173</v>
      </c>
      <c r="E701" t="s">
        <v>45</v>
      </c>
      <c r="F701" t="s">
        <v>45</v>
      </c>
    </row>
    <row r="702" spans="1:6" x14ac:dyDescent="0.35">
      <c r="A702" t="s">
        <v>28</v>
      </c>
      <c r="B702" t="s">
        <v>196</v>
      </c>
      <c r="C702" t="s">
        <v>28</v>
      </c>
      <c r="D702" t="s">
        <v>28</v>
      </c>
      <c r="E702" t="s">
        <v>28</v>
      </c>
      <c r="F702" t="s">
        <v>28</v>
      </c>
    </row>
    <row r="703" spans="1:6" x14ac:dyDescent="0.35">
      <c r="A703" t="s">
        <v>377</v>
      </c>
      <c r="B703" t="s">
        <v>196</v>
      </c>
      <c r="C703" t="s">
        <v>28</v>
      </c>
      <c r="D703" t="s">
        <v>28</v>
      </c>
      <c r="E703" t="s">
        <v>28</v>
      </c>
      <c r="F703" t="s">
        <v>28</v>
      </c>
    </row>
    <row r="704" spans="1:6" x14ac:dyDescent="0.35">
      <c r="A704" t="s">
        <v>28</v>
      </c>
      <c r="B704" t="s">
        <v>44</v>
      </c>
      <c r="C704" t="s">
        <v>28</v>
      </c>
      <c r="D704" t="s">
        <v>103</v>
      </c>
      <c r="E704" t="s">
        <v>28</v>
      </c>
      <c r="F704" t="s">
        <v>45</v>
      </c>
    </row>
    <row r="705" spans="1:6" x14ac:dyDescent="0.35">
      <c r="A705" t="s">
        <v>344</v>
      </c>
      <c r="B705" t="s">
        <v>29</v>
      </c>
      <c r="C705" t="s">
        <v>29</v>
      </c>
      <c r="D705" t="s">
        <v>30</v>
      </c>
      <c r="E705" t="s">
        <v>30</v>
      </c>
      <c r="F705" t="s">
        <v>94</v>
      </c>
    </row>
    <row r="706" spans="1:6" x14ac:dyDescent="0.35">
      <c r="A706" t="s">
        <v>28</v>
      </c>
      <c r="B706" t="s">
        <v>44</v>
      </c>
      <c r="C706" t="s">
        <v>28</v>
      </c>
      <c r="D706" t="s">
        <v>103</v>
      </c>
      <c r="E706" t="s">
        <v>45</v>
      </c>
      <c r="F706" t="s">
        <v>45</v>
      </c>
    </row>
    <row r="707" spans="1:6" x14ac:dyDescent="0.35">
      <c r="A707" t="s">
        <v>28</v>
      </c>
      <c r="B707" t="s">
        <v>28</v>
      </c>
      <c r="C707" t="s">
        <v>28</v>
      </c>
      <c r="D707" t="s">
        <v>28</v>
      </c>
      <c r="E707" t="s">
        <v>28</v>
      </c>
      <c r="F707" t="s">
        <v>28</v>
      </c>
    </row>
    <row r="708" spans="1:6" x14ac:dyDescent="0.35">
      <c r="A708" t="s">
        <v>28</v>
      </c>
      <c r="B708" t="s">
        <v>28</v>
      </c>
      <c r="C708" t="s">
        <v>28</v>
      </c>
      <c r="D708" t="s">
        <v>28</v>
      </c>
      <c r="E708" t="s">
        <v>28</v>
      </c>
      <c r="F708" t="s">
        <v>28</v>
      </c>
    </row>
    <row r="709" spans="1:6" x14ac:dyDescent="0.35">
      <c r="A709" t="s">
        <v>44</v>
      </c>
      <c r="B709" t="s">
        <v>60</v>
      </c>
      <c r="C709" t="s">
        <v>157</v>
      </c>
      <c r="D709" t="s">
        <v>103</v>
      </c>
      <c r="E709" t="s">
        <v>45</v>
      </c>
      <c r="F709" t="s">
        <v>368</v>
      </c>
    </row>
    <row r="710" spans="1:6" x14ac:dyDescent="0.35">
      <c r="A710" t="s">
        <v>71</v>
      </c>
      <c r="B710" t="s">
        <v>33</v>
      </c>
      <c r="C710" t="s">
        <v>33</v>
      </c>
      <c r="D710" t="s">
        <v>72</v>
      </c>
      <c r="E710" t="s">
        <v>34</v>
      </c>
      <c r="F710" t="s">
        <v>74</v>
      </c>
    </row>
    <row r="711" spans="1:6" x14ac:dyDescent="0.35">
      <c r="A711" t="s">
        <v>377</v>
      </c>
      <c r="B711" t="s">
        <v>44</v>
      </c>
      <c r="C711" t="s">
        <v>157</v>
      </c>
      <c r="D711" t="s">
        <v>173</v>
      </c>
      <c r="E711" t="s">
        <v>28</v>
      </c>
      <c r="F711" t="s">
        <v>368</v>
      </c>
    </row>
    <row r="712" spans="1:6" x14ac:dyDescent="0.35">
      <c r="A712" t="s">
        <v>71</v>
      </c>
      <c r="B712" t="s">
        <v>29</v>
      </c>
      <c r="C712" t="s">
        <v>206</v>
      </c>
      <c r="D712" t="s">
        <v>30</v>
      </c>
      <c r="E712" t="s">
        <v>30</v>
      </c>
      <c r="F712" t="s">
        <v>94</v>
      </c>
    </row>
    <row r="713" spans="1:6" x14ac:dyDescent="0.35">
      <c r="A713" t="s">
        <v>449</v>
      </c>
      <c r="B713" t="s">
        <v>28</v>
      </c>
      <c r="C713" t="s">
        <v>29</v>
      </c>
      <c r="D713" t="s">
        <v>72</v>
      </c>
      <c r="E713" t="s">
        <v>94</v>
      </c>
      <c r="F713" t="s">
        <v>35</v>
      </c>
    </row>
    <row r="714" spans="1:6" x14ac:dyDescent="0.35">
      <c r="A714" t="s">
        <v>28</v>
      </c>
      <c r="B714" t="s">
        <v>28</v>
      </c>
      <c r="C714" t="s">
        <v>28</v>
      </c>
      <c r="D714" t="s">
        <v>28</v>
      </c>
      <c r="E714" t="s">
        <v>28</v>
      </c>
      <c r="F714" t="s">
        <v>28</v>
      </c>
    </row>
    <row r="715" spans="1:6" x14ac:dyDescent="0.35">
      <c r="A715" t="s">
        <v>344</v>
      </c>
      <c r="B715" t="s">
        <v>29</v>
      </c>
      <c r="C715" t="s">
        <v>29</v>
      </c>
      <c r="D715" t="s">
        <v>30</v>
      </c>
      <c r="E715" t="s">
        <v>30</v>
      </c>
      <c r="F715" t="s">
        <v>61</v>
      </c>
    </row>
    <row r="716" spans="1:6" x14ac:dyDescent="0.35">
      <c r="A716" t="s">
        <v>28</v>
      </c>
      <c r="B716" t="s">
        <v>44</v>
      </c>
      <c r="C716" t="s">
        <v>157</v>
      </c>
      <c r="D716" t="s">
        <v>103</v>
      </c>
      <c r="E716" t="s">
        <v>45</v>
      </c>
      <c r="F716" t="s">
        <v>45</v>
      </c>
    </row>
    <row r="717" spans="1:6" x14ac:dyDescent="0.35">
      <c r="A717" t="s">
        <v>28</v>
      </c>
      <c r="B717" t="s">
        <v>197</v>
      </c>
      <c r="C717" t="s">
        <v>60</v>
      </c>
      <c r="D717" t="s">
        <v>103</v>
      </c>
      <c r="E717" t="s">
        <v>73</v>
      </c>
      <c r="F717" t="s">
        <v>73</v>
      </c>
    </row>
    <row r="718" spans="1:6" x14ac:dyDescent="0.35">
      <c r="A718" t="s">
        <v>71</v>
      </c>
      <c r="B718" t="s">
        <v>33</v>
      </c>
      <c r="C718" t="s">
        <v>73</v>
      </c>
      <c r="D718" t="s">
        <v>34</v>
      </c>
      <c r="E718" t="s">
        <v>34</v>
      </c>
      <c r="F718" t="s">
        <v>73</v>
      </c>
    </row>
    <row r="719" spans="1:6" x14ac:dyDescent="0.35">
      <c r="A719" t="s">
        <v>28</v>
      </c>
      <c r="B719" t="s">
        <v>28</v>
      </c>
      <c r="C719" t="s">
        <v>28</v>
      </c>
      <c r="D719" t="s">
        <v>28</v>
      </c>
      <c r="E719" t="s">
        <v>28</v>
      </c>
      <c r="F719" t="s">
        <v>28</v>
      </c>
    </row>
    <row r="720" spans="1:6" x14ac:dyDescent="0.35">
      <c r="A720" t="s">
        <v>344</v>
      </c>
      <c r="B720" t="s">
        <v>29</v>
      </c>
      <c r="C720" t="s">
        <v>29</v>
      </c>
      <c r="D720" t="s">
        <v>196</v>
      </c>
      <c r="E720" t="s">
        <v>30</v>
      </c>
      <c r="F720" t="s">
        <v>61</v>
      </c>
    </row>
    <row r="721" spans="1:6" x14ac:dyDescent="0.35">
      <c r="A721" t="s">
        <v>29</v>
      </c>
      <c r="B721" t="s">
        <v>29</v>
      </c>
      <c r="C721" t="s">
        <v>29</v>
      </c>
      <c r="D721" t="s">
        <v>30</v>
      </c>
      <c r="E721" t="s">
        <v>30</v>
      </c>
      <c r="F721" t="s">
        <v>94</v>
      </c>
    </row>
    <row r="722" spans="1:6" x14ac:dyDescent="0.35">
      <c r="A722" t="s">
        <v>71</v>
      </c>
      <c r="B722" t="s">
        <v>33</v>
      </c>
      <c r="C722" t="s">
        <v>73</v>
      </c>
      <c r="D722" t="s">
        <v>34</v>
      </c>
      <c r="E722" t="s">
        <v>73</v>
      </c>
      <c r="F722" t="s">
        <v>73</v>
      </c>
    </row>
    <row r="723" spans="1:6" x14ac:dyDescent="0.35">
      <c r="A723" t="s">
        <v>28</v>
      </c>
      <c r="B723" t="s">
        <v>28</v>
      </c>
      <c r="C723" t="s">
        <v>28</v>
      </c>
      <c r="D723" t="s">
        <v>28</v>
      </c>
      <c r="E723" t="s">
        <v>28</v>
      </c>
      <c r="F723" t="s">
        <v>28</v>
      </c>
    </row>
    <row r="724" spans="1:6" x14ac:dyDescent="0.35">
      <c r="A724" t="s">
        <v>344</v>
      </c>
      <c r="B724" t="s">
        <v>29</v>
      </c>
      <c r="C724" t="s">
        <v>29</v>
      </c>
      <c r="D724" t="s">
        <v>30</v>
      </c>
      <c r="E724" t="s">
        <v>173</v>
      </c>
      <c r="F724" t="s">
        <v>94</v>
      </c>
    </row>
    <row r="725" spans="1:6" x14ac:dyDescent="0.35">
      <c r="A725" t="s">
        <v>71</v>
      </c>
      <c r="B725" t="s">
        <v>33</v>
      </c>
      <c r="C725" t="s">
        <v>33</v>
      </c>
      <c r="D725" t="s">
        <v>34</v>
      </c>
      <c r="E725" t="s">
        <v>34</v>
      </c>
      <c r="F725" t="s">
        <v>74</v>
      </c>
    </row>
    <row r="726" spans="1:6" x14ac:dyDescent="0.35">
      <c r="A726" t="s">
        <v>44</v>
      </c>
      <c r="B726" t="s">
        <v>158</v>
      </c>
      <c r="C726" t="s">
        <v>73</v>
      </c>
      <c r="D726" t="s">
        <v>72</v>
      </c>
      <c r="E726" t="s">
        <v>103</v>
      </c>
      <c r="F726" t="s">
        <v>94</v>
      </c>
    </row>
    <row r="727" spans="1:6" x14ac:dyDescent="0.35">
      <c r="A727" t="s">
        <v>28</v>
      </c>
      <c r="B727" t="s">
        <v>28</v>
      </c>
      <c r="C727" t="s">
        <v>28</v>
      </c>
      <c r="D727" t="s">
        <v>28</v>
      </c>
      <c r="E727" t="s">
        <v>28</v>
      </c>
      <c r="F727" t="s">
        <v>28</v>
      </c>
    </row>
    <row r="728" spans="1:6" x14ac:dyDescent="0.35">
      <c r="A728" t="s">
        <v>33</v>
      </c>
      <c r="B728" t="s">
        <v>33</v>
      </c>
      <c r="C728" t="s">
        <v>33</v>
      </c>
      <c r="D728" t="s">
        <v>34</v>
      </c>
      <c r="E728" t="s">
        <v>34</v>
      </c>
      <c r="F728" t="s">
        <v>74</v>
      </c>
    </row>
    <row r="729" spans="1:6" x14ac:dyDescent="0.35">
      <c r="A729" t="s">
        <v>28</v>
      </c>
      <c r="B729" t="s">
        <v>28</v>
      </c>
      <c r="C729" t="s">
        <v>28</v>
      </c>
      <c r="D729" t="s">
        <v>28</v>
      </c>
      <c r="E729" t="s">
        <v>28</v>
      </c>
      <c r="F729" t="s">
        <v>28</v>
      </c>
    </row>
    <row r="730" spans="1:6" x14ac:dyDescent="0.35">
      <c r="A730" t="s">
        <v>71</v>
      </c>
      <c r="B730" t="s">
        <v>33</v>
      </c>
      <c r="C730" t="s">
        <v>33</v>
      </c>
      <c r="D730" t="s">
        <v>34</v>
      </c>
      <c r="E730" t="s">
        <v>34</v>
      </c>
      <c r="F730" t="s">
        <v>73</v>
      </c>
    </row>
    <row r="731" spans="1:6" x14ac:dyDescent="0.35">
      <c r="A731" t="s">
        <v>71</v>
      </c>
      <c r="B731" t="s">
        <v>33</v>
      </c>
      <c r="C731" t="s">
        <v>33</v>
      </c>
      <c r="D731" t="s">
        <v>34</v>
      </c>
      <c r="E731" t="s">
        <v>34</v>
      </c>
      <c r="F731" t="s">
        <v>73</v>
      </c>
    </row>
    <row r="732" spans="1:6" x14ac:dyDescent="0.35">
      <c r="A732" t="s">
        <v>44</v>
      </c>
      <c r="B732" t="s">
        <v>44</v>
      </c>
      <c r="C732" t="s">
        <v>44</v>
      </c>
      <c r="D732" t="s">
        <v>103</v>
      </c>
      <c r="E732" t="s">
        <v>45</v>
      </c>
      <c r="F732" t="s">
        <v>35</v>
      </c>
    </row>
    <row r="733" spans="1:6" x14ac:dyDescent="0.35">
      <c r="A733" t="s">
        <v>344</v>
      </c>
      <c r="B733" t="s">
        <v>29</v>
      </c>
      <c r="C733" t="s">
        <v>29</v>
      </c>
      <c r="D733" t="s">
        <v>30</v>
      </c>
      <c r="E733" t="s">
        <v>94</v>
      </c>
      <c r="F733" t="s">
        <v>94</v>
      </c>
    </row>
    <row r="734" spans="1:6" x14ac:dyDescent="0.35">
      <c r="A734" t="s">
        <v>29</v>
      </c>
      <c r="B734" t="s">
        <v>29</v>
      </c>
      <c r="C734" t="s">
        <v>29</v>
      </c>
      <c r="D734" t="s">
        <v>30</v>
      </c>
      <c r="E734" t="s">
        <v>30</v>
      </c>
      <c r="F734" t="s">
        <v>94</v>
      </c>
    </row>
    <row r="735" spans="1:6" x14ac:dyDescent="0.35">
      <c r="A735" t="s">
        <v>344</v>
      </c>
      <c r="B735" t="s">
        <v>29</v>
      </c>
      <c r="C735" t="s">
        <v>206</v>
      </c>
      <c r="D735" t="s">
        <v>30</v>
      </c>
      <c r="E735" t="s">
        <v>94</v>
      </c>
      <c r="F735" t="s">
        <v>94</v>
      </c>
    </row>
    <row r="736" spans="1:6" x14ac:dyDescent="0.35">
      <c r="A736" t="s">
        <v>44</v>
      </c>
      <c r="B736" t="s">
        <v>44</v>
      </c>
      <c r="C736" t="s">
        <v>157</v>
      </c>
      <c r="D736" t="s">
        <v>103</v>
      </c>
      <c r="E736" t="s">
        <v>45</v>
      </c>
      <c r="F736" t="s">
        <v>368</v>
      </c>
    </row>
    <row r="737" spans="1:6" x14ac:dyDescent="0.35">
      <c r="A737" t="s">
        <v>71</v>
      </c>
      <c r="B737" t="s">
        <v>33</v>
      </c>
      <c r="C737" t="s">
        <v>33</v>
      </c>
      <c r="D737" t="s">
        <v>103</v>
      </c>
      <c r="E737" t="s">
        <v>34</v>
      </c>
      <c r="F737" t="s">
        <v>35</v>
      </c>
    </row>
    <row r="738" spans="1:6" x14ac:dyDescent="0.35">
      <c r="A738" t="s">
        <v>344</v>
      </c>
      <c r="B738" t="s">
        <v>29</v>
      </c>
      <c r="C738" t="s">
        <v>29</v>
      </c>
      <c r="D738" t="s">
        <v>30</v>
      </c>
      <c r="E738" t="s">
        <v>30</v>
      </c>
      <c r="F738" t="s">
        <v>94</v>
      </c>
    </row>
    <row r="739" spans="1:6" x14ac:dyDescent="0.35">
      <c r="A739" t="s">
        <v>28</v>
      </c>
      <c r="B739" t="s">
        <v>28</v>
      </c>
      <c r="C739" t="s">
        <v>33</v>
      </c>
      <c r="D739" t="s">
        <v>28</v>
      </c>
      <c r="E739" t="s">
        <v>28</v>
      </c>
      <c r="F739" t="s">
        <v>28</v>
      </c>
    </row>
    <row r="740" spans="1:6" x14ac:dyDescent="0.35">
      <c r="A740" t="s">
        <v>29</v>
      </c>
      <c r="B740" t="s">
        <v>29</v>
      </c>
      <c r="C740" t="s">
        <v>29</v>
      </c>
      <c r="D740" t="s">
        <v>30</v>
      </c>
      <c r="E740" t="s">
        <v>30</v>
      </c>
      <c r="F740" t="s">
        <v>94</v>
      </c>
    </row>
    <row r="741" spans="1:6" x14ac:dyDescent="0.35">
      <c r="A741" t="s">
        <v>28</v>
      </c>
      <c r="B741" t="s">
        <v>44</v>
      </c>
      <c r="C741" t="s">
        <v>157</v>
      </c>
      <c r="D741" t="s">
        <v>103</v>
      </c>
      <c r="E741" t="s">
        <v>45</v>
      </c>
      <c r="F741" t="s">
        <v>368</v>
      </c>
    </row>
    <row r="742" spans="1:6" x14ac:dyDescent="0.35">
      <c r="A742" t="s">
        <v>33</v>
      </c>
      <c r="B742" t="s">
        <v>33</v>
      </c>
      <c r="C742" t="s">
        <v>33</v>
      </c>
      <c r="D742" t="s">
        <v>34</v>
      </c>
      <c r="E742" t="s">
        <v>34</v>
      </c>
      <c r="F742" t="s">
        <v>74</v>
      </c>
    </row>
    <row r="743" spans="1:6" x14ac:dyDescent="0.35">
      <c r="A743" t="s">
        <v>28</v>
      </c>
      <c r="B743" t="s">
        <v>28</v>
      </c>
      <c r="C743" t="s">
        <v>28</v>
      </c>
      <c r="D743" t="s">
        <v>28</v>
      </c>
      <c r="E743" t="s">
        <v>28</v>
      </c>
      <c r="F743" t="s">
        <v>28</v>
      </c>
    </row>
    <row r="744" spans="1:6" x14ac:dyDescent="0.35">
      <c r="A744" t="s">
        <v>28</v>
      </c>
      <c r="B744" t="s">
        <v>44</v>
      </c>
      <c r="C744" t="s">
        <v>157</v>
      </c>
      <c r="D744" t="s">
        <v>103</v>
      </c>
      <c r="E744" t="s">
        <v>45</v>
      </c>
      <c r="F744" t="s">
        <v>368</v>
      </c>
    </row>
    <row r="745" spans="1:6" x14ac:dyDescent="0.35">
      <c r="A745" t="s">
        <v>28</v>
      </c>
      <c r="B745" t="s">
        <v>28</v>
      </c>
      <c r="C745" t="s">
        <v>28</v>
      </c>
      <c r="D745" t="s">
        <v>28</v>
      </c>
      <c r="E745" t="s">
        <v>28</v>
      </c>
      <c r="F745" t="s">
        <v>28</v>
      </c>
    </row>
    <row r="746" spans="1:6" x14ac:dyDescent="0.35">
      <c r="A746" t="s">
        <v>28</v>
      </c>
      <c r="B746" t="s">
        <v>44</v>
      </c>
      <c r="C746" t="s">
        <v>157</v>
      </c>
      <c r="D746" t="s">
        <v>103</v>
      </c>
      <c r="E746" t="s">
        <v>45</v>
      </c>
      <c r="F746" t="s">
        <v>368</v>
      </c>
    </row>
    <row r="747" spans="1:6" x14ac:dyDescent="0.35">
      <c r="A747" t="s">
        <v>71</v>
      </c>
      <c r="B747" t="s">
        <v>33</v>
      </c>
      <c r="C747" t="s">
        <v>73</v>
      </c>
      <c r="D747" t="s">
        <v>34</v>
      </c>
      <c r="E747" t="s">
        <v>34</v>
      </c>
      <c r="F747" t="s">
        <v>73</v>
      </c>
    </row>
    <row r="748" spans="1:6" x14ac:dyDescent="0.35">
      <c r="A748" t="s">
        <v>33</v>
      </c>
      <c r="B748" t="s">
        <v>33</v>
      </c>
      <c r="C748" t="s">
        <v>33</v>
      </c>
      <c r="D748" t="s">
        <v>34</v>
      </c>
      <c r="E748" t="s">
        <v>34</v>
      </c>
      <c r="F748" t="s">
        <v>74</v>
      </c>
    </row>
    <row r="749" spans="1:6" x14ac:dyDescent="0.35">
      <c r="A749" t="s">
        <v>29</v>
      </c>
      <c r="B749" t="s">
        <v>29</v>
      </c>
      <c r="C749" t="s">
        <v>29</v>
      </c>
      <c r="D749" t="s">
        <v>30</v>
      </c>
      <c r="E749" t="s">
        <v>30</v>
      </c>
      <c r="F749" t="s">
        <v>94</v>
      </c>
    </row>
    <row r="750" spans="1:6" x14ac:dyDescent="0.35">
      <c r="A750" t="s">
        <v>44</v>
      </c>
      <c r="B750" t="s">
        <v>158</v>
      </c>
      <c r="C750" t="s">
        <v>29</v>
      </c>
      <c r="D750" t="s">
        <v>173</v>
      </c>
      <c r="E750" t="s">
        <v>103</v>
      </c>
      <c r="F750" t="s">
        <v>74</v>
      </c>
    </row>
    <row r="751" spans="1:6" x14ac:dyDescent="0.35">
      <c r="A751" t="s">
        <v>28</v>
      </c>
      <c r="B751" t="s">
        <v>28</v>
      </c>
      <c r="C751" t="s">
        <v>28</v>
      </c>
      <c r="D751" t="s">
        <v>28</v>
      </c>
      <c r="E751" t="s">
        <v>28</v>
      </c>
      <c r="F751" t="s">
        <v>28</v>
      </c>
    </row>
    <row r="752" spans="1:6" x14ac:dyDescent="0.35">
      <c r="A752" t="s">
        <v>28</v>
      </c>
      <c r="B752" t="s">
        <v>44</v>
      </c>
      <c r="C752" t="s">
        <v>157</v>
      </c>
      <c r="D752" t="s">
        <v>103</v>
      </c>
      <c r="E752" t="s">
        <v>45</v>
      </c>
      <c r="F752" t="s">
        <v>368</v>
      </c>
    </row>
    <row r="753" spans="1:6" x14ac:dyDescent="0.35">
      <c r="A753" t="s">
        <v>344</v>
      </c>
      <c r="B753" t="s">
        <v>29</v>
      </c>
      <c r="C753" t="s">
        <v>29</v>
      </c>
      <c r="D753" t="s">
        <v>30</v>
      </c>
      <c r="E753" t="s">
        <v>30</v>
      </c>
      <c r="F753" t="s">
        <v>94</v>
      </c>
    </row>
    <row r="754" spans="1:6" x14ac:dyDescent="0.35">
      <c r="A754" t="s">
        <v>71</v>
      </c>
      <c r="B754" t="s">
        <v>29</v>
      </c>
      <c r="C754" t="s">
        <v>73</v>
      </c>
      <c r="D754" t="s">
        <v>34</v>
      </c>
      <c r="E754" t="s">
        <v>34</v>
      </c>
      <c r="F754" t="s">
        <v>73</v>
      </c>
    </row>
    <row r="755" spans="1:6" x14ac:dyDescent="0.35">
      <c r="A755" t="s">
        <v>28</v>
      </c>
      <c r="B755" t="s">
        <v>44</v>
      </c>
      <c r="C755" t="s">
        <v>157</v>
      </c>
      <c r="D755" t="s">
        <v>103</v>
      </c>
      <c r="E755" t="s">
        <v>45</v>
      </c>
      <c r="F755" t="s">
        <v>368</v>
      </c>
    </row>
    <row r="756" spans="1:6" x14ac:dyDescent="0.35">
      <c r="A756" t="s">
        <v>344</v>
      </c>
      <c r="B756" t="s">
        <v>29</v>
      </c>
      <c r="C756" t="s">
        <v>206</v>
      </c>
      <c r="D756" t="s">
        <v>30</v>
      </c>
      <c r="E756" t="s">
        <v>30</v>
      </c>
      <c r="F756" t="s">
        <v>94</v>
      </c>
    </row>
    <row r="757" spans="1:6" x14ac:dyDescent="0.35">
      <c r="A757" t="s">
        <v>44</v>
      </c>
      <c r="B757" t="s">
        <v>44</v>
      </c>
      <c r="C757" t="s">
        <v>44</v>
      </c>
      <c r="D757" t="s">
        <v>158</v>
      </c>
      <c r="E757" t="s">
        <v>103</v>
      </c>
      <c r="F757" t="s">
        <v>35</v>
      </c>
    </row>
    <row r="758" spans="1:6" x14ac:dyDescent="0.35">
      <c r="A758" t="s">
        <v>344</v>
      </c>
      <c r="B758" t="s">
        <v>29</v>
      </c>
      <c r="C758" t="s">
        <v>206</v>
      </c>
      <c r="D758" t="s">
        <v>30</v>
      </c>
      <c r="E758" t="s">
        <v>94</v>
      </c>
      <c r="F758" t="s">
        <v>94</v>
      </c>
    </row>
    <row r="759" spans="1:6" x14ac:dyDescent="0.35">
      <c r="A759" t="s">
        <v>44</v>
      </c>
      <c r="B759" t="s">
        <v>44</v>
      </c>
      <c r="C759" t="s">
        <v>157</v>
      </c>
      <c r="D759" t="s">
        <v>103</v>
      </c>
      <c r="E759" t="s">
        <v>368</v>
      </c>
      <c r="F759" t="s">
        <v>368</v>
      </c>
    </row>
    <row r="760" spans="1:6" x14ac:dyDescent="0.35">
      <c r="A760" t="s">
        <v>71</v>
      </c>
      <c r="B760" t="s">
        <v>33</v>
      </c>
      <c r="C760" t="s">
        <v>73</v>
      </c>
      <c r="D760" t="s">
        <v>34</v>
      </c>
      <c r="E760" t="s">
        <v>34</v>
      </c>
      <c r="F760" t="s">
        <v>73</v>
      </c>
    </row>
    <row r="761" spans="1:6" x14ac:dyDescent="0.35">
      <c r="A761" t="s">
        <v>44</v>
      </c>
      <c r="B761" t="s">
        <v>60</v>
      </c>
      <c r="C761" t="s">
        <v>60</v>
      </c>
      <c r="D761" t="s">
        <v>103</v>
      </c>
      <c r="E761" t="s">
        <v>103</v>
      </c>
      <c r="F761" t="s">
        <v>45</v>
      </c>
    </row>
    <row r="762" spans="1:6" x14ac:dyDescent="0.35">
      <c r="A762" t="s">
        <v>71</v>
      </c>
      <c r="B762" t="s">
        <v>33</v>
      </c>
      <c r="C762" t="s">
        <v>33</v>
      </c>
      <c r="D762" t="s">
        <v>34</v>
      </c>
      <c r="E762" t="s">
        <v>34</v>
      </c>
      <c r="F762" t="s">
        <v>35</v>
      </c>
    </row>
    <row r="763" spans="1:6" x14ac:dyDescent="0.35">
      <c r="A763" t="s">
        <v>377</v>
      </c>
      <c r="B763" t="s">
        <v>44</v>
      </c>
      <c r="C763" t="s">
        <v>157</v>
      </c>
      <c r="D763" t="s">
        <v>103</v>
      </c>
      <c r="E763" t="s">
        <v>103</v>
      </c>
      <c r="F763" t="s">
        <v>45</v>
      </c>
    </row>
    <row r="764" spans="1:6" x14ac:dyDescent="0.35">
      <c r="A764" t="s">
        <v>28</v>
      </c>
      <c r="B764" t="s">
        <v>28</v>
      </c>
      <c r="C764" t="s">
        <v>28</v>
      </c>
      <c r="D764" t="s">
        <v>28</v>
      </c>
      <c r="E764" t="s">
        <v>28</v>
      </c>
      <c r="F764" t="s">
        <v>28</v>
      </c>
    </row>
    <row r="765" spans="1:6" x14ac:dyDescent="0.35">
      <c r="A765" t="s">
        <v>60</v>
      </c>
      <c r="B765" t="s">
        <v>158</v>
      </c>
      <c r="C765" t="s">
        <v>206</v>
      </c>
      <c r="D765" t="s">
        <v>103</v>
      </c>
      <c r="E765" t="s">
        <v>28</v>
      </c>
      <c r="F765" t="s">
        <v>368</v>
      </c>
    </row>
    <row r="766" spans="1:6" x14ac:dyDescent="0.35">
      <c r="A766" t="s">
        <v>71</v>
      </c>
      <c r="B766" t="s">
        <v>33</v>
      </c>
      <c r="C766" t="s">
        <v>33</v>
      </c>
      <c r="D766" t="s">
        <v>34</v>
      </c>
      <c r="E766" t="s">
        <v>34</v>
      </c>
      <c r="F766" t="s">
        <v>73</v>
      </c>
    </row>
    <row r="767" spans="1:6" x14ac:dyDescent="0.35">
      <c r="A767" t="s">
        <v>71</v>
      </c>
      <c r="B767" t="s">
        <v>33</v>
      </c>
      <c r="C767" t="s">
        <v>73</v>
      </c>
      <c r="D767" t="s">
        <v>34</v>
      </c>
      <c r="E767" t="s">
        <v>34</v>
      </c>
      <c r="F767" t="s">
        <v>73</v>
      </c>
    </row>
    <row r="768" spans="1:6" x14ac:dyDescent="0.35">
      <c r="A768" t="s">
        <v>71</v>
      </c>
      <c r="B768" t="s">
        <v>60</v>
      </c>
      <c r="C768" t="s">
        <v>73</v>
      </c>
      <c r="D768" t="s">
        <v>28</v>
      </c>
      <c r="E768" t="s">
        <v>45</v>
      </c>
      <c r="F768" t="s">
        <v>73</v>
      </c>
    </row>
    <row r="769" spans="1:6" x14ac:dyDescent="0.35">
      <c r="A769" t="s">
        <v>44</v>
      </c>
      <c r="B769" t="s">
        <v>60</v>
      </c>
      <c r="C769" t="s">
        <v>60</v>
      </c>
      <c r="D769" t="s">
        <v>173</v>
      </c>
      <c r="E769" t="s">
        <v>103</v>
      </c>
      <c r="F769" t="s">
        <v>61</v>
      </c>
    </row>
    <row r="770" spans="1:6" x14ac:dyDescent="0.35">
      <c r="A770" t="s">
        <v>344</v>
      </c>
      <c r="B770" t="s">
        <v>29</v>
      </c>
      <c r="C770" t="s">
        <v>29</v>
      </c>
      <c r="D770" t="s">
        <v>30</v>
      </c>
      <c r="E770" t="s">
        <v>30</v>
      </c>
      <c r="F770" t="s">
        <v>94</v>
      </c>
    </row>
    <row r="771" spans="1:6" x14ac:dyDescent="0.35">
      <c r="A771" t="s">
        <v>28</v>
      </c>
      <c r="B771" t="s">
        <v>28</v>
      </c>
      <c r="C771" t="s">
        <v>28</v>
      </c>
      <c r="D771" t="s">
        <v>28</v>
      </c>
      <c r="E771" t="s">
        <v>28</v>
      </c>
      <c r="F771" t="s">
        <v>28</v>
      </c>
    </row>
    <row r="772" spans="1:6" x14ac:dyDescent="0.35">
      <c r="A772" t="s">
        <v>377</v>
      </c>
      <c r="B772" t="s">
        <v>44</v>
      </c>
      <c r="C772" t="s">
        <v>157</v>
      </c>
      <c r="D772" t="s">
        <v>103</v>
      </c>
      <c r="E772" t="s">
        <v>45</v>
      </c>
      <c r="F772" t="s">
        <v>45</v>
      </c>
    </row>
    <row r="773" spans="1:6" x14ac:dyDescent="0.35">
      <c r="A773" t="s">
        <v>71</v>
      </c>
      <c r="B773" t="s">
        <v>33</v>
      </c>
      <c r="C773" t="s">
        <v>73</v>
      </c>
      <c r="D773" t="s">
        <v>34</v>
      </c>
      <c r="E773" t="s">
        <v>73</v>
      </c>
      <c r="F773" t="s">
        <v>73</v>
      </c>
    </row>
    <row r="774" spans="1:6" x14ac:dyDescent="0.35">
      <c r="A774" t="s">
        <v>377</v>
      </c>
      <c r="B774" t="s">
        <v>44</v>
      </c>
      <c r="C774" t="s">
        <v>157</v>
      </c>
      <c r="D774" t="s">
        <v>103</v>
      </c>
      <c r="E774" t="s">
        <v>28</v>
      </c>
      <c r="F774" t="s">
        <v>368</v>
      </c>
    </row>
    <row r="775" spans="1:6" x14ac:dyDescent="0.35">
      <c r="A775" t="s">
        <v>28</v>
      </c>
      <c r="B775" t="s">
        <v>28</v>
      </c>
      <c r="C775" t="s">
        <v>28</v>
      </c>
      <c r="D775" t="s">
        <v>28</v>
      </c>
      <c r="E775" t="s">
        <v>28</v>
      </c>
      <c r="F775" t="s">
        <v>28</v>
      </c>
    </row>
    <row r="776" spans="1:6" x14ac:dyDescent="0.35">
      <c r="A776" t="s">
        <v>29</v>
      </c>
      <c r="B776" t="s">
        <v>196</v>
      </c>
      <c r="C776" t="s">
        <v>284</v>
      </c>
      <c r="D776" t="s">
        <v>196</v>
      </c>
      <c r="E776" t="s">
        <v>103</v>
      </c>
      <c r="F776" t="s">
        <v>61</v>
      </c>
    </row>
    <row r="777" spans="1:6" x14ac:dyDescent="0.35">
      <c r="A777" t="s">
        <v>377</v>
      </c>
      <c r="B777" t="s">
        <v>158</v>
      </c>
      <c r="C777" t="s">
        <v>44</v>
      </c>
      <c r="D777" t="s">
        <v>30</v>
      </c>
      <c r="E777" t="s">
        <v>45</v>
      </c>
      <c r="F777" t="s">
        <v>368</v>
      </c>
    </row>
    <row r="778" spans="1:6" x14ac:dyDescent="0.35">
      <c r="A778" t="s">
        <v>71</v>
      </c>
      <c r="B778" t="s">
        <v>33</v>
      </c>
      <c r="C778" t="s">
        <v>33</v>
      </c>
      <c r="D778" t="s">
        <v>34</v>
      </c>
      <c r="E778" t="s">
        <v>34</v>
      </c>
      <c r="F778" t="s">
        <v>73</v>
      </c>
    </row>
    <row r="779" spans="1:6" x14ac:dyDescent="0.35">
      <c r="A779" t="s">
        <v>28</v>
      </c>
      <c r="B779" t="s">
        <v>28</v>
      </c>
      <c r="C779" t="s">
        <v>28</v>
      </c>
      <c r="D779" t="s">
        <v>28</v>
      </c>
      <c r="E779" t="s">
        <v>28</v>
      </c>
      <c r="F779" t="s">
        <v>28</v>
      </c>
    </row>
    <row r="780" spans="1:6" x14ac:dyDescent="0.35">
      <c r="A780" t="s">
        <v>28</v>
      </c>
      <c r="B780" t="s">
        <v>44</v>
      </c>
      <c r="C780" t="s">
        <v>157</v>
      </c>
      <c r="D780" t="s">
        <v>103</v>
      </c>
      <c r="E780" t="s">
        <v>45</v>
      </c>
      <c r="F780" t="s">
        <v>45</v>
      </c>
    </row>
    <row r="781" spans="1:6" x14ac:dyDescent="0.35">
      <c r="A781" t="s">
        <v>28</v>
      </c>
      <c r="B781" t="s">
        <v>28</v>
      </c>
      <c r="C781" t="s">
        <v>28</v>
      </c>
      <c r="D781" t="s">
        <v>28</v>
      </c>
      <c r="E781" t="s">
        <v>28</v>
      </c>
      <c r="F781" t="s">
        <v>28</v>
      </c>
    </row>
    <row r="782" spans="1:6" x14ac:dyDescent="0.35">
      <c r="A782" t="s">
        <v>28</v>
      </c>
      <c r="B782" t="s">
        <v>28</v>
      </c>
      <c r="C782" t="s">
        <v>28</v>
      </c>
      <c r="D782" t="s">
        <v>28</v>
      </c>
      <c r="E782" t="s">
        <v>28</v>
      </c>
      <c r="F782" t="s">
        <v>28</v>
      </c>
    </row>
    <row r="783" spans="1:6" x14ac:dyDescent="0.35">
      <c r="A783" t="s">
        <v>28</v>
      </c>
      <c r="B783" t="s">
        <v>28</v>
      </c>
      <c r="C783" t="s">
        <v>28</v>
      </c>
      <c r="D783" t="s">
        <v>28</v>
      </c>
      <c r="E783" t="s">
        <v>28</v>
      </c>
      <c r="F783" t="s">
        <v>28</v>
      </c>
    </row>
    <row r="784" spans="1:6" x14ac:dyDescent="0.35">
      <c r="A784" t="s">
        <v>71</v>
      </c>
      <c r="B784" t="s">
        <v>33</v>
      </c>
      <c r="C784" t="s">
        <v>33</v>
      </c>
      <c r="D784" t="s">
        <v>34</v>
      </c>
      <c r="E784" t="s">
        <v>34</v>
      </c>
      <c r="F784" t="s">
        <v>28</v>
      </c>
    </row>
    <row r="785" spans="1:6" x14ac:dyDescent="0.35">
      <c r="A785" t="s">
        <v>28</v>
      </c>
      <c r="B785" t="s">
        <v>28</v>
      </c>
      <c r="C785" t="s">
        <v>28</v>
      </c>
      <c r="D785" t="s">
        <v>28</v>
      </c>
      <c r="E785" t="s">
        <v>28</v>
      </c>
      <c r="F785" t="s">
        <v>28</v>
      </c>
    </row>
    <row r="786" spans="1:6" x14ac:dyDescent="0.35">
      <c r="A786" t="s">
        <v>71</v>
      </c>
      <c r="B786" t="s">
        <v>33</v>
      </c>
      <c r="C786" t="s">
        <v>33</v>
      </c>
      <c r="D786" t="s">
        <v>34</v>
      </c>
      <c r="E786" t="s">
        <v>34</v>
      </c>
      <c r="F786" t="s">
        <v>73</v>
      </c>
    </row>
    <row r="787" spans="1:6" x14ac:dyDescent="0.35">
      <c r="A787" t="s">
        <v>28</v>
      </c>
      <c r="B787" t="s">
        <v>28</v>
      </c>
      <c r="C787" t="s">
        <v>28</v>
      </c>
      <c r="D787" t="s">
        <v>28</v>
      </c>
      <c r="E787" t="s">
        <v>28</v>
      </c>
      <c r="F787" t="s">
        <v>28</v>
      </c>
    </row>
    <row r="788" spans="1:6" x14ac:dyDescent="0.35">
      <c r="A788" t="s">
        <v>28</v>
      </c>
      <c r="B788" t="s">
        <v>28</v>
      </c>
      <c r="C788" t="s">
        <v>33</v>
      </c>
      <c r="D788" t="s">
        <v>34</v>
      </c>
      <c r="E788" t="s">
        <v>28</v>
      </c>
      <c r="F788" t="s">
        <v>28</v>
      </c>
    </row>
    <row r="789" spans="1:6" x14ac:dyDescent="0.35">
      <c r="A789" t="s">
        <v>28</v>
      </c>
      <c r="B789" t="s">
        <v>28</v>
      </c>
      <c r="C789" t="s">
        <v>28</v>
      </c>
      <c r="D789" t="s">
        <v>28</v>
      </c>
      <c r="E789" t="s">
        <v>28</v>
      </c>
      <c r="F789" t="s">
        <v>28</v>
      </c>
    </row>
    <row r="790" spans="1:6" x14ac:dyDescent="0.35">
      <c r="A790" t="s">
        <v>33</v>
      </c>
      <c r="B790" t="s">
        <v>33</v>
      </c>
      <c r="C790" t="s">
        <v>33</v>
      </c>
      <c r="D790" t="s">
        <v>34</v>
      </c>
      <c r="E790" t="s">
        <v>34</v>
      </c>
      <c r="F790" t="s">
        <v>74</v>
      </c>
    </row>
    <row r="791" spans="1:6" x14ac:dyDescent="0.35">
      <c r="A791" t="s">
        <v>28</v>
      </c>
      <c r="B791" t="s">
        <v>28</v>
      </c>
      <c r="C791" t="s">
        <v>28</v>
      </c>
      <c r="D791" t="s">
        <v>28</v>
      </c>
      <c r="E791" t="s">
        <v>28</v>
      </c>
      <c r="F791" t="s">
        <v>28</v>
      </c>
    </row>
    <row r="792" spans="1:6" x14ac:dyDescent="0.35">
      <c r="A792" t="s">
        <v>44</v>
      </c>
      <c r="B792" t="s">
        <v>44</v>
      </c>
      <c r="C792" t="s">
        <v>157</v>
      </c>
      <c r="D792" t="s">
        <v>103</v>
      </c>
      <c r="E792" t="s">
        <v>45</v>
      </c>
      <c r="F792" t="s">
        <v>368</v>
      </c>
    </row>
    <row r="793" spans="1:6" x14ac:dyDescent="0.35">
      <c r="A793" t="s">
        <v>377</v>
      </c>
      <c r="B793" t="s">
        <v>44</v>
      </c>
      <c r="C793" t="s">
        <v>157</v>
      </c>
      <c r="D793" t="s">
        <v>103</v>
      </c>
      <c r="E793" t="s">
        <v>103</v>
      </c>
      <c r="F793" t="s">
        <v>45</v>
      </c>
    </row>
    <row r="794" spans="1:6" x14ac:dyDescent="0.35">
      <c r="A794" t="s">
        <v>344</v>
      </c>
      <c r="B794" t="s">
        <v>44</v>
      </c>
      <c r="C794" t="s">
        <v>29</v>
      </c>
      <c r="D794" t="s">
        <v>173</v>
      </c>
      <c r="E794" t="s">
        <v>30</v>
      </c>
      <c r="F794" t="s">
        <v>73</v>
      </c>
    </row>
    <row r="795" spans="1:6" x14ac:dyDescent="0.35">
      <c r="A795" t="s">
        <v>377</v>
      </c>
      <c r="B795" t="s">
        <v>44</v>
      </c>
      <c r="C795" t="s">
        <v>157</v>
      </c>
      <c r="D795" t="s">
        <v>103</v>
      </c>
      <c r="E795" t="s">
        <v>103</v>
      </c>
      <c r="F795" t="s">
        <v>45</v>
      </c>
    </row>
    <row r="796" spans="1:6" x14ac:dyDescent="0.35">
      <c r="A796" t="s">
        <v>377</v>
      </c>
      <c r="B796" t="s">
        <v>44</v>
      </c>
      <c r="C796" t="s">
        <v>157</v>
      </c>
      <c r="D796" t="s">
        <v>103</v>
      </c>
      <c r="E796" t="s">
        <v>45</v>
      </c>
      <c r="F796" t="s">
        <v>45</v>
      </c>
    </row>
    <row r="797" spans="1:6" x14ac:dyDescent="0.35">
      <c r="A797" t="s">
        <v>71</v>
      </c>
      <c r="B797" t="s">
        <v>44</v>
      </c>
      <c r="C797" t="s">
        <v>157</v>
      </c>
      <c r="D797" t="s">
        <v>28</v>
      </c>
      <c r="E797" t="s">
        <v>73</v>
      </c>
      <c r="F797" t="s">
        <v>94</v>
      </c>
    </row>
    <row r="798" spans="1:6" x14ac:dyDescent="0.35">
      <c r="A798" t="s">
        <v>28</v>
      </c>
      <c r="B798" t="s">
        <v>44</v>
      </c>
      <c r="C798" t="s">
        <v>157</v>
      </c>
      <c r="D798" t="s">
        <v>158</v>
      </c>
      <c r="E798" t="s">
        <v>45</v>
      </c>
      <c r="F798" t="s">
        <v>45</v>
      </c>
    </row>
    <row r="799" spans="1:6" x14ac:dyDescent="0.35">
      <c r="A799" t="s">
        <v>344</v>
      </c>
      <c r="B799" t="s">
        <v>44</v>
      </c>
      <c r="C799" t="s">
        <v>284</v>
      </c>
      <c r="D799" t="s">
        <v>28</v>
      </c>
      <c r="E799" t="s">
        <v>73</v>
      </c>
      <c r="F799" t="s">
        <v>94</v>
      </c>
    </row>
    <row r="800" spans="1:6" x14ac:dyDescent="0.35">
      <c r="A800" t="s">
        <v>28</v>
      </c>
      <c r="B800" t="s">
        <v>44</v>
      </c>
      <c r="C800" t="s">
        <v>157</v>
      </c>
      <c r="D800" t="s">
        <v>103</v>
      </c>
      <c r="E800" t="s">
        <v>45</v>
      </c>
      <c r="F800" t="s">
        <v>45</v>
      </c>
    </row>
    <row r="801" spans="1:6" x14ac:dyDescent="0.35">
      <c r="A801" t="s">
        <v>377</v>
      </c>
      <c r="B801" t="s">
        <v>44</v>
      </c>
      <c r="C801" t="s">
        <v>73</v>
      </c>
      <c r="D801" t="s">
        <v>30</v>
      </c>
      <c r="E801" t="s">
        <v>173</v>
      </c>
      <c r="F801" t="s">
        <v>45</v>
      </c>
    </row>
    <row r="802" spans="1:6" x14ac:dyDescent="0.35">
      <c r="A802" t="s">
        <v>377</v>
      </c>
      <c r="B802" t="s">
        <v>196</v>
      </c>
      <c r="C802" t="s">
        <v>44</v>
      </c>
      <c r="D802" t="s">
        <v>34</v>
      </c>
      <c r="E802" t="s">
        <v>368</v>
      </c>
      <c r="F802" t="s">
        <v>35</v>
      </c>
    </row>
    <row r="803" spans="1:6" x14ac:dyDescent="0.35">
      <c r="A803" t="s">
        <v>377</v>
      </c>
      <c r="B803" t="s">
        <v>44</v>
      </c>
      <c r="C803" t="s">
        <v>44</v>
      </c>
      <c r="D803" t="s">
        <v>103</v>
      </c>
      <c r="E803" t="s">
        <v>45</v>
      </c>
      <c r="F803" t="s">
        <v>45</v>
      </c>
    </row>
    <row r="804" spans="1:6" x14ac:dyDescent="0.35">
      <c r="A804" t="s">
        <v>44</v>
      </c>
      <c r="B804" t="s">
        <v>44</v>
      </c>
      <c r="C804" t="s">
        <v>44</v>
      </c>
      <c r="D804" t="s">
        <v>103</v>
      </c>
      <c r="E804" t="s">
        <v>45</v>
      </c>
      <c r="F804" t="s">
        <v>35</v>
      </c>
    </row>
    <row r="805" spans="1:6" x14ac:dyDescent="0.35">
      <c r="A805" t="s">
        <v>44</v>
      </c>
      <c r="B805" t="s">
        <v>44</v>
      </c>
      <c r="C805" t="s">
        <v>157</v>
      </c>
      <c r="D805" t="s">
        <v>103</v>
      </c>
      <c r="E805" t="s">
        <v>103</v>
      </c>
      <c r="F805" t="s">
        <v>45</v>
      </c>
    </row>
    <row r="806" spans="1:6" x14ac:dyDescent="0.35">
      <c r="A806" t="s">
        <v>28</v>
      </c>
      <c r="B806" t="s">
        <v>44</v>
      </c>
      <c r="C806" t="s">
        <v>60</v>
      </c>
      <c r="D806" t="s">
        <v>103</v>
      </c>
      <c r="E806" t="s">
        <v>30</v>
      </c>
      <c r="F806" t="s">
        <v>61</v>
      </c>
    </row>
    <row r="807" spans="1:6" x14ac:dyDescent="0.35">
      <c r="A807" t="s">
        <v>44</v>
      </c>
      <c r="B807" t="s">
        <v>60</v>
      </c>
      <c r="C807" t="s">
        <v>60</v>
      </c>
      <c r="D807" t="s">
        <v>173</v>
      </c>
      <c r="E807" t="s">
        <v>103</v>
      </c>
      <c r="F807" t="s">
        <v>45</v>
      </c>
    </row>
    <row r="808" spans="1:6" x14ac:dyDescent="0.35">
      <c r="A808" t="s">
        <v>28</v>
      </c>
      <c r="B808" t="s">
        <v>28</v>
      </c>
      <c r="C808" t="s">
        <v>28</v>
      </c>
      <c r="D808" t="s">
        <v>28</v>
      </c>
      <c r="E808" t="s">
        <v>28</v>
      </c>
      <c r="F808" t="s">
        <v>28</v>
      </c>
    </row>
    <row r="809" spans="1:6" x14ac:dyDescent="0.35">
      <c r="A809" t="s">
        <v>44</v>
      </c>
      <c r="B809" t="s">
        <v>44</v>
      </c>
      <c r="C809" t="s">
        <v>284</v>
      </c>
      <c r="D809" t="s">
        <v>103</v>
      </c>
      <c r="E809" t="s">
        <v>103</v>
      </c>
      <c r="F809" t="s">
        <v>45</v>
      </c>
    </row>
    <row r="810" spans="1:6" x14ac:dyDescent="0.35">
      <c r="A810" t="s">
        <v>28</v>
      </c>
      <c r="B810" t="s">
        <v>28</v>
      </c>
      <c r="C810" t="s">
        <v>28</v>
      </c>
      <c r="D810" t="s">
        <v>28</v>
      </c>
      <c r="E810" t="s">
        <v>28</v>
      </c>
      <c r="F810" t="s">
        <v>28</v>
      </c>
    </row>
    <row r="811" spans="1:6" x14ac:dyDescent="0.35">
      <c r="A811" t="s">
        <v>60</v>
      </c>
      <c r="B811" t="s">
        <v>60</v>
      </c>
      <c r="C811" t="s">
        <v>28</v>
      </c>
      <c r="D811" t="s">
        <v>173</v>
      </c>
      <c r="E811" t="s">
        <v>30</v>
      </c>
      <c r="F811" t="s">
        <v>35</v>
      </c>
    </row>
    <row r="812" spans="1:6" x14ac:dyDescent="0.35">
      <c r="A812" t="s">
        <v>344</v>
      </c>
      <c r="B812" t="s">
        <v>60</v>
      </c>
      <c r="C812" t="s">
        <v>44</v>
      </c>
      <c r="D812" t="s">
        <v>196</v>
      </c>
      <c r="E812" t="s">
        <v>368</v>
      </c>
      <c r="F812" t="s">
        <v>45</v>
      </c>
    </row>
    <row r="813" spans="1:6" x14ac:dyDescent="0.35">
      <c r="A813" t="s">
        <v>44</v>
      </c>
      <c r="B813" t="s">
        <v>44</v>
      </c>
      <c r="C813" t="s">
        <v>44</v>
      </c>
      <c r="D813" t="s">
        <v>28</v>
      </c>
      <c r="E813" t="s">
        <v>103</v>
      </c>
      <c r="F813" t="s">
        <v>45</v>
      </c>
    </row>
    <row r="814" spans="1:6" x14ac:dyDescent="0.35">
      <c r="A814" t="s">
        <v>33</v>
      </c>
      <c r="B814" t="s">
        <v>29</v>
      </c>
      <c r="C814" t="s">
        <v>33</v>
      </c>
      <c r="D814" t="s">
        <v>30</v>
      </c>
      <c r="E814" t="s">
        <v>173</v>
      </c>
      <c r="F814" t="s">
        <v>73</v>
      </c>
    </row>
    <row r="815" spans="1:6" x14ac:dyDescent="0.35">
      <c r="A815" t="s">
        <v>28</v>
      </c>
      <c r="B815" t="s">
        <v>44</v>
      </c>
      <c r="C815" t="s">
        <v>157</v>
      </c>
      <c r="D815" t="s">
        <v>103</v>
      </c>
      <c r="E815" t="s">
        <v>45</v>
      </c>
      <c r="F815" t="s">
        <v>45</v>
      </c>
    </row>
    <row r="816" spans="1:6" x14ac:dyDescent="0.35">
      <c r="A816" t="s">
        <v>449</v>
      </c>
      <c r="B816" t="s">
        <v>72</v>
      </c>
      <c r="C816" t="s">
        <v>28</v>
      </c>
      <c r="D816" t="s">
        <v>196</v>
      </c>
      <c r="E816" t="s">
        <v>94</v>
      </c>
      <c r="F816" t="s">
        <v>368</v>
      </c>
    </row>
    <row r="817" spans="1:6" x14ac:dyDescent="0.35">
      <c r="A817" t="s">
        <v>44</v>
      </c>
      <c r="B817" t="s">
        <v>44</v>
      </c>
      <c r="C817" t="s">
        <v>157</v>
      </c>
      <c r="D817" t="s">
        <v>103</v>
      </c>
      <c r="E817" t="s">
        <v>45</v>
      </c>
      <c r="F817" t="s">
        <v>45</v>
      </c>
    </row>
    <row r="818" spans="1:6" x14ac:dyDescent="0.35">
      <c r="A818" t="s">
        <v>28</v>
      </c>
      <c r="B818" t="s">
        <v>44</v>
      </c>
      <c r="C818" t="s">
        <v>157</v>
      </c>
      <c r="D818" t="s">
        <v>103</v>
      </c>
      <c r="E818" t="s">
        <v>28</v>
      </c>
      <c r="F818" t="s">
        <v>45</v>
      </c>
    </row>
    <row r="819" spans="1:6" x14ac:dyDescent="0.35">
      <c r="A819" t="s">
        <v>449</v>
      </c>
      <c r="B819" t="s">
        <v>196</v>
      </c>
      <c r="C819" t="s">
        <v>44</v>
      </c>
      <c r="D819" t="s">
        <v>197</v>
      </c>
      <c r="E819" t="s">
        <v>34</v>
      </c>
      <c r="F819" t="s">
        <v>368</v>
      </c>
    </row>
    <row r="820" spans="1:6" x14ac:dyDescent="0.35">
      <c r="A820" t="s">
        <v>28</v>
      </c>
      <c r="B820" t="s">
        <v>44</v>
      </c>
      <c r="C820" t="s">
        <v>157</v>
      </c>
      <c r="D820" t="s">
        <v>103</v>
      </c>
      <c r="E820" t="s">
        <v>45</v>
      </c>
      <c r="F820" t="s">
        <v>45</v>
      </c>
    </row>
    <row r="821" spans="1:6" x14ac:dyDescent="0.35">
      <c r="A821" t="s">
        <v>344</v>
      </c>
      <c r="B821" t="s">
        <v>158</v>
      </c>
      <c r="C821" t="s">
        <v>29</v>
      </c>
      <c r="D821" t="s">
        <v>173</v>
      </c>
      <c r="E821" t="s">
        <v>368</v>
      </c>
      <c r="F821" t="s">
        <v>35</v>
      </c>
    </row>
    <row r="822" spans="1:6" x14ac:dyDescent="0.35">
      <c r="A822" t="s">
        <v>28</v>
      </c>
      <c r="B822" t="s">
        <v>44</v>
      </c>
      <c r="C822" t="s">
        <v>28</v>
      </c>
      <c r="D822" t="s">
        <v>103</v>
      </c>
      <c r="E822" t="s">
        <v>28</v>
      </c>
      <c r="F822" t="s">
        <v>45</v>
      </c>
    </row>
    <row r="823" spans="1:6" x14ac:dyDescent="0.35">
      <c r="A823" t="s">
        <v>28</v>
      </c>
      <c r="B823" t="s">
        <v>44</v>
      </c>
      <c r="C823" t="s">
        <v>28</v>
      </c>
      <c r="D823" t="s">
        <v>103</v>
      </c>
      <c r="E823" t="s">
        <v>28</v>
      </c>
      <c r="F823" t="s">
        <v>45</v>
      </c>
    </row>
    <row r="824" spans="1:6" x14ac:dyDescent="0.35">
      <c r="A824" t="s">
        <v>29</v>
      </c>
      <c r="B824" t="s">
        <v>44</v>
      </c>
      <c r="C824" t="s">
        <v>206</v>
      </c>
      <c r="D824" t="s">
        <v>103</v>
      </c>
      <c r="E824" t="s">
        <v>73</v>
      </c>
      <c r="F824" t="s">
        <v>28</v>
      </c>
    </row>
    <row r="825" spans="1:6" x14ac:dyDescent="0.35">
      <c r="A825" t="s">
        <v>28</v>
      </c>
      <c r="B825" t="s">
        <v>28</v>
      </c>
      <c r="C825" t="s">
        <v>206</v>
      </c>
      <c r="D825" t="s">
        <v>72</v>
      </c>
      <c r="E825" t="s">
        <v>94</v>
      </c>
      <c r="F825" t="s">
        <v>45</v>
      </c>
    </row>
    <row r="826" spans="1:6" x14ac:dyDescent="0.35">
      <c r="A826" t="s">
        <v>28</v>
      </c>
      <c r="B826" t="s">
        <v>44</v>
      </c>
      <c r="C826" t="s">
        <v>28</v>
      </c>
      <c r="D826" t="s">
        <v>103</v>
      </c>
      <c r="E826" t="s">
        <v>28</v>
      </c>
      <c r="F826" t="s">
        <v>45</v>
      </c>
    </row>
    <row r="827" spans="1:6" x14ac:dyDescent="0.35">
      <c r="A827" t="s">
        <v>28</v>
      </c>
      <c r="B827" t="s">
        <v>44</v>
      </c>
      <c r="C827" t="s">
        <v>28</v>
      </c>
      <c r="D827" t="s">
        <v>103</v>
      </c>
      <c r="E827" t="s">
        <v>28</v>
      </c>
      <c r="F827" t="s">
        <v>45</v>
      </c>
    </row>
    <row r="828" spans="1:6" x14ac:dyDescent="0.35">
      <c r="A828" t="s">
        <v>44</v>
      </c>
      <c r="B828" t="s">
        <v>196</v>
      </c>
      <c r="C828" t="s">
        <v>73</v>
      </c>
      <c r="D828" t="s">
        <v>196</v>
      </c>
      <c r="E828" t="s">
        <v>34</v>
      </c>
      <c r="F828" t="s">
        <v>74</v>
      </c>
    </row>
    <row r="829" spans="1:6" x14ac:dyDescent="0.35">
      <c r="A829" t="s">
        <v>44</v>
      </c>
      <c r="B829" t="s">
        <v>60</v>
      </c>
      <c r="C829" t="s">
        <v>157</v>
      </c>
      <c r="D829" t="s">
        <v>28</v>
      </c>
      <c r="E829" t="s">
        <v>45</v>
      </c>
      <c r="F829" t="s">
        <v>368</v>
      </c>
    </row>
    <row r="830" spans="1:6" x14ac:dyDescent="0.35">
      <c r="A830" t="s">
        <v>44</v>
      </c>
      <c r="B830" t="s">
        <v>60</v>
      </c>
      <c r="C830" t="s">
        <v>157</v>
      </c>
      <c r="D830" t="s">
        <v>173</v>
      </c>
      <c r="E830" t="s">
        <v>45</v>
      </c>
      <c r="F830" t="s">
        <v>368</v>
      </c>
    </row>
    <row r="831" spans="1:6" x14ac:dyDescent="0.35">
      <c r="A831" t="s">
        <v>29</v>
      </c>
      <c r="B831" t="s">
        <v>29</v>
      </c>
      <c r="C831" t="s">
        <v>29</v>
      </c>
      <c r="D831" t="s">
        <v>30</v>
      </c>
      <c r="E831" t="s">
        <v>30</v>
      </c>
      <c r="F831" t="s">
        <v>61</v>
      </c>
    </row>
    <row r="832" spans="1:6" x14ac:dyDescent="0.35">
      <c r="A832" t="s">
        <v>449</v>
      </c>
      <c r="B832" t="s">
        <v>158</v>
      </c>
      <c r="C832" t="s">
        <v>60</v>
      </c>
      <c r="D832" t="s">
        <v>196</v>
      </c>
      <c r="E832" t="s">
        <v>173</v>
      </c>
      <c r="F832" t="s">
        <v>28</v>
      </c>
    </row>
    <row r="833" spans="1:6" x14ac:dyDescent="0.35">
      <c r="A833" t="s">
        <v>28</v>
      </c>
      <c r="B833" t="s">
        <v>44</v>
      </c>
      <c r="C833" t="s">
        <v>157</v>
      </c>
      <c r="D833" t="s">
        <v>103</v>
      </c>
      <c r="E833" t="s">
        <v>28</v>
      </c>
      <c r="F833" t="s">
        <v>45</v>
      </c>
    </row>
    <row r="834" spans="1:6" x14ac:dyDescent="0.35">
      <c r="A834" t="s">
        <v>44</v>
      </c>
      <c r="B834" t="s">
        <v>44</v>
      </c>
      <c r="C834" t="s">
        <v>44</v>
      </c>
      <c r="D834" t="s">
        <v>103</v>
      </c>
      <c r="E834" t="s">
        <v>103</v>
      </c>
      <c r="F834" t="s">
        <v>35</v>
      </c>
    </row>
    <row r="835" spans="1:6" x14ac:dyDescent="0.35">
      <c r="A835" t="s">
        <v>377</v>
      </c>
      <c r="B835" t="s">
        <v>44</v>
      </c>
      <c r="C835" t="s">
        <v>157</v>
      </c>
      <c r="D835" t="s">
        <v>103</v>
      </c>
      <c r="E835" t="s">
        <v>103</v>
      </c>
      <c r="F835" t="s">
        <v>368</v>
      </c>
    </row>
    <row r="836" spans="1:6" x14ac:dyDescent="0.35">
      <c r="A836" t="s">
        <v>377</v>
      </c>
      <c r="B836" t="s">
        <v>44</v>
      </c>
      <c r="C836" t="s">
        <v>44</v>
      </c>
      <c r="D836" t="s">
        <v>103</v>
      </c>
      <c r="E836" t="s">
        <v>173</v>
      </c>
      <c r="F836" t="s">
        <v>368</v>
      </c>
    </row>
    <row r="837" spans="1:6" x14ac:dyDescent="0.35">
      <c r="A837" t="s">
        <v>44</v>
      </c>
      <c r="B837" t="s">
        <v>44</v>
      </c>
      <c r="C837" t="s">
        <v>44</v>
      </c>
      <c r="D837" t="s">
        <v>103</v>
      </c>
      <c r="E837" t="s">
        <v>103</v>
      </c>
      <c r="F837" t="s">
        <v>28</v>
      </c>
    </row>
    <row r="838" spans="1:6" x14ac:dyDescent="0.35">
      <c r="A838" t="s">
        <v>29</v>
      </c>
      <c r="B838" t="s">
        <v>29</v>
      </c>
      <c r="C838" t="s">
        <v>29</v>
      </c>
      <c r="D838" t="s">
        <v>30</v>
      </c>
      <c r="E838" t="s">
        <v>30</v>
      </c>
      <c r="F838" t="s">
        <v>61</v>
      </c>
    </row>
    <row r="839" spans="1:6" x14ac:dyDescent="0.35">
      <c r="A839" t="s">
        <v>44</v>
      </c>
      <c r="B839" t="s">
        <v>60</v>
      </c>
      <c r="C839" t="s">
        <v>60</v>
      </c>
      <c r="D839" t="s">
        <v>30</v>
      </c>
      <c r="E839" t="s">
        <v>30</v>
      </c>
      <c r="F839" t="s">
        <v>292</v>
      </c>
    </row>
    <row r="840" spans="1:6" x14ac:dyDescent="0.35">
      <c r="A840" t="s">
        <v>44</v>
      </c>
      <c r="B840" t="s">
        <v>44</v>
      </c>
      <c r="C840" t="s">
        <v>60</v>
      </c>
      <c r="D840" t="s">
        <v>30</v>
      </c>
      <c r="E840" t="s">
        <v>103</v>
      </c>
      <c r="F840" t="s">
        <v>292</v>
      </c>
    </row>
    <row r="841" spans="1:6" x14ac:dyDescent="0.35">
      <c r="A841" t="s">
        <v>44</v>
      </c>
      <c r="B841" t="s">
        <v>44</v>
      </c>
      <c r="C841" t="s">
        <v>44</v>
      </c>
      <c r="D841" t="s">
        <v>103</v>
      </c>
      <c r="E841" t="s">
        <v>103</v>
      </c>
      <c r="F841" t="s">
        <v>94</v>
      </c>
    </row>
    <row r="842" spans="1:6" x14ac:dyDescent="0.35">
      <c r="A842" t="s">
        <v>44</v>
      </c>
      <c r="B842" t="s">
        <v>72</v>
      </c>
      <c r="C842" t="s">
        <v>29</v>
      </c>
      <c r="D842" t="s">
        <v>158</v>
      </c>
      <c r="E842" t="s">
        <v>30</v>
      </c>
      <c r="F842" t="s">
        <v>94</v>
      </c>
    </row>
    <row r="843" spans="1:6" x14ac:dyDescent="0.35">
      <c r="A843" t="s">
        <v>44</v>
      </c>
      <c r="B843" t="s">
        <v>44</v>
      </c>
      <c r="C843" t="s">
        <v>44</v>
      </c>
      <c r="D843" t="s">
        <v>103</v>
      </c>
      <c r="E843" t="s">
        <v>28</v>
      </c>
      <c r="F843" t="s">
        <v>45</v>
      </c>
    </row>
    <row r="844" spans="1:6" x14ac:dyDescent="0.35">
      <c r="A844" t="s">
        <v>29</v>
      </c>
      <c r="B844" t="s">
        <v>29</v>
      </c>
      <c r="C844" t="s">
        <v>29</v>
      </c>
      <c r="D844" t="s">
        <v>30</v>
      </c>
      <c r="E844" t="s">
        <v>30</v>
      </c>
      <c r="F844" t="s">
        <v>61</v>
      </c>
    </row>
    <row r="845" spans="1:6" x14ac:dyDescent="0.35">
      <c r="A845" t="s">
        <v>44</v>
      </c>
      <c r="B845" t="s">
        <v>28</v>
      </c>
      <c r="C845" t="s">
        <v>157</v>
      </c>
      <c r="D845" t="s">
        <v>103</v>
      </c>
      <c r="E845" t="s">
        <v>94</v>
      </c>
      <c r="F845" t="s">
        <v>73</v>
      </c>
    </row>
    <row r="846" spans="1:6" x14ac:dyDescent="0.35">
      <c r="A846" t="s">
        <v>44</v>
      </c>
      <c r="B846" t="s">
        <v>60</v>
      </c>
      <c r="C846" t="s">
        <v>44</v>
      </c>
      <c r="D846" t="s">
        <v>103</v>
      </c>
      <c r="E846" t="s">
        <v>173</v>
      </c>
      <c r="F846" t="s">
        <v>45</v>
      </c>
    </row>
    <row r="847" spans="1:6" x14ac:dyDescent="0.35">
      <c r="A847" t="s">
        <v>377</v>
      </c>
      <c r="B847" t="s">
        <v>158</v>
      </c>
      <c r="C847" t="s">
        <v>157</v>
      </c>
      <c r="D847" t="s">
        <v>103</v>
      </c>
      <c r="E847" t="s">
        <v>28</v>
      </c>
      <c r="F847" t="s">
        <v>45</v>
      </c>
    </row>
    <row r="848" spans="1:6" x14ac:dyDescent="0.35">
      <c r="A848" t="s">
        <v>44</v>
      </c>
      <c r="B848" t="s">
        <v>28</v>
      </c>
      <c r="C848" t="s">
        <v>206</v>
      </c>
      <c r="D848" t="s">
        <v>173</v>
      </c>
      <c r="E848" t="s">
        <v>28</v>
      </c>
      <c r="F848" t="s">
        <v>45</v>
      </c>
    </row>
    <row r="849" spans="1:6" x14ac:dyDescent="0.35">
      <c r="A849" t="s">
        <v>71</v>
      </c>
      <c r="B849" t="s">
        <v>44</v>
      </c>
      <c r="C849" t="s">
        <v>44</v>
      </c>
      <c r="D849" t="s">
        <v>72</v>
      </c>
      <c r="E849" t="s">
        <v>30</v>
      </c>
      <c r="F849" t="s">
        <v>292</v>
      </c>
    </row>
    <row r="850" spans="1:6" x14ac:dyDescent="0.35">
      <c r="A850" t="s">
        <v>71</v>
      </c>
      <c r="B850" t="s">
        <v>29</v>
      </c>
      <c r="C850" t="s">
        <v>33</v>
      </c>
      <c r="D850" t="s">
        <v>72</v>
      </c>
      <c r="E850" t="s">
        <v>73</v>
      </c>
      <c r="F850" t="s">
        <v>94</v>
      </c>
    </row>
    <row r="851" spans="1:6" x14ac:dyDescent="0.35">
      <c r="A851" t="s">
        <v>44</v>
      </c>
      <c r="B851" t="s">
        <v>72</v>
      </c>
      <c r="C851" t="s">
        <v>33</v>
      </c>
      <c r="D851" t="s">
        <v>30</v>
      </c>
      <c r="E851" t="s">
        <v>173</v>
      </c>
      <c r="F851" t="s">
        <v>45</v>
      </c>
    </row>
    <row r="852" spans="1:6" x14ac:dyDescent="0.35">
      <c r="A852" t="s">
        <v>44</v>
      </c>
      <c r="B852" t="s">
        <v>158</v>
      </c>
      <c r="C852" t="s">
        <v>73</v>
      </c>
      <c r="D852" t="s">
        <v>30</v>
      </c>
      <c r="E852" t="s">
        <v>173</v>
      </c>
      <c r="F852" t="s">
        <v>45</v>
      </c>
    </row>
    <row r="853" spans="1:6" x14ac:dyDescent="0.35">
      <c r="A853" t="s">
        <v>44</v>
      </c>
      <c r="B853" t="s">
        <v>60</v>
      </c>
      <c r="C853" t="s">
        <v>157</v>
      </c>
      <c r="D853" t="s">
        <v>196</v>
      </c>
      <c r="E853" t="s">
        <v>173</v>
      </c>
      <c r="F853" t="s">
        <v>35</v>
      </c>
    </row>
    <row r="854" spans="1:6" x14ac:dyDescent="0.35">
      <c r="A854" t="s">
        <v>60</v>
      </c>
      <c r="B854" t="s">
        <v>197</v>
      </c>
      <c r="C854" t="s">
        <v>206</v>
      </c>
      <c r="D854" t="s">
        <v>103</v>
      </c>
      <c r="E854" t="s">
        <v>28</v>
      </c>
      <c r="F854" t="s">
        <v>292</v>
      </c>
    </row>
    <row r="855" spans="1:6" x14ac:dyDescent="0.35">
      <c r="A855" t="s">
        <v>60</v>
      </c>
      <c r="B855" t="s">
        <v>60</v>
      </c>
      <c r="C855" t="s">
        <v>73</v>
      </c>
      <c r="D855" t="s">
        <v>72</v>
      </c>
      <c r="E855" t="s">
        <v>73</v>
      </c>
      <c r="F855" t="s">
        <v>45</v>
      </c>
    </row>
    <row r="856" spans="1:6" x14ac:dyDescent="0.35">
      <c r="A856" t="s">
        <v>377</v>
      </c>
      <c r="B856" t="s">
        <v>72</v>
      </c>
      <c r="C856" t="s">
        <v>73</v>
      </c>
      <c r="D856" t="s">
        <v>173</v>
      </c>
      <c r="E856" t="s">
        <v>30</v>
      </c>
      <c r="F856" t="s">
        <v>28</v>
      </c>
    </row>
    <row r="857" spans="1:6" x14ac:dyDescent="0.35">
      <c r="A857" t="s">
        <v>29</v>
      </c>
      <c r="B857" t="s">
        <v>29</v>
      </c>
      <c r="C857" t="s">
        <v>284</v>
      </c>
      <c r="D857" t="s">
        <v>28</v>
      </c>
      <c r="E857" t="s">
        <v>173</v>
      </c>
      <c r="F857" t="s">
        <v>368</v>
      </c>
    </row>
    <row r="858" spans="1:6" x14ac:dyDescent="0.35">
      <c r="A858" t="s">
        <v>33</v>
      </c>
      <c r="B858" t="s">
        <v>197</v>
      </c>
      <c r="C858" t="s">
        <v>44</v>
      </c>
      <c r="D858" t="s">
        <v>30</v>
      </c>
      <c r="E858" t="s">
        <v>45</v>
      </c>
      <c r="F858" t="s">
        <v>292</v>
      </c>
    </row>
    <row r="859" spans="1:6" x14ac:dyDescent="0.35">
      <c r="A859" t="s">
        <v>71</v>
      </c>
      <c r="B859" t="s">
        <v>197</v>
      </c>
      <c r="C859" t="s">
        <v>28</v>
      </c>
      <c r="D859" t="s">
        <v>103</v>
      </c>
      <c r="E859" t="s">
        <v>28</v>
      </c>
      <c r="F859" t="s">
        <v>45</v>
      </c>
    </row>
    <row r="860" spans="1:6" x14ac:dyDescent="0.35">
      <c r="A860" t="s">
        <v>44</v>
      </c>
      <c r="B860" t="s">
        <v>29</v>
      </c>
      <c r="C860" t="s">
        <v>44</v>
      </c>
      <c r="D860" t="s">
        <v>28</v>
      </c>
      <c r="E860" t="s">
        <v>30</v>
      </c>
      <c r="F860" t="s">
        <v>61</v>
      </c>
    </row>
    <row r="861" spans="1:6" x14ac:dyDescent="0.35">
      <c r="A861" t="s">
        <v>44</v>
      </c>
      <c r="B861" t="s">
        <v>44</v>
      </c>
      <c r="C861" t="s">
        <v>60</v>
      </c>
      <c r="D861" t="s">
        <v>173</v>
      </c>
      <c r="E861" t="s">
        <v>30</v>
      </c>
      <c r="F861" t="s">
        <v>45</v>
      </c>
    </row>
    <row r="862" spans="1:6" x14ac:dyDescent="0.35">
      <c r="A862" t="s">
        <v>60</v>
      </c>
      <c r="B862" t="s">
        <v>60</v>
      </c>
      <c r="C862" t="s">
        <v>73</v>
      </c>
      <c r="D862" t="s">
        <v>30</v>
      </c>
      <c r="E862" t="s">
        <v>30</v>
      </c>
      <c r="F862" t="s">
        <v>73</v>
      </c>
    </row>
    <row r="863" spans="1:6" x14ac:dyDescent="0.35">
      <c r="A863" t="s">
        <v>449</v>
      </c>
      <c r="B863" t="s">
        <v>33</v>
      </c>
      <c r="C863" t="s">
        <v>60</v>
      </c>
      <c r="D863" t="s">
        <v>173</v>
      </c>
      <c r="E863" t="s">
        <v>45</v>
      </c>
      <c r="F863" t="s">
        <v>45</v>
      </c>
    </row>
    <row r="864" spans="1:6" x14ac:dyDescent="0.35">
      <c r="A864" t="s">
        <v>44</v>
      </c>
      <c r="B864" t="s">
        <v>60</v>
      </c>
      <c r="C864" t="s">
        <v>60</v>
      </c>
      <c r="D864" t="s">
        <v>28</v>
      </c>
      <c r="E864" t="s">
        <v>173</v>
      </c>
      <c r="F864" t="s">
        <v>61</v>
      </c>
    </row>
    <row r="865" spans="1:6" x14ac:dyDescent="0.35">
      <c r="A865" t="s">
        <v>71</v>
      </c>
      <c r="B865" t="s">
        <v>60</v>
      </c>
      <c r="C865" t="s">
        <v>60</v>
      </c>
      <c r="D865" t="s">
        <v>103</v>
      </c>
      <c r="E865" t="s">
        <v>30</v>
      </c>
      <c r="F865" t="s">
        <v>292</v>
      </c>
    </row>
    <row r="866" spans="1:6" x14ac:dyDescent="0.35">
      <c r="A866" t="s">
        <v>33</v>
      </c>
      <c r="B866" t="s">
        <v>33</v>
      </c>
      <c r="C866" t="s">
        <v>28</v>
      </c>
      <c r="D866" t="s">
        <v>28</v>
      </c>
      <c r="E866" t="s">
        <v>28</v>
      </c>
      <c r="F866" t="s">
        <v>74</v>
      </c>
    </row>
    <row r="867" spans="1:6" x14ac:dyDescent="0.35">
      <c r="A867" t="s">
        <v>28</v>
      </c>
      <c r="B867" t="s">
        <v>33</v>
      </c>
      <c r="C867" t="s">
        <v>73</v>
      </c>
      <c r="D867" t="s">
        <v>34</v>
      </c>
      <c r="E867" t="s">
        <v>73</v>
      </c>
      <c r="F867" t="s">
        <v>28</v>
      </c>
    </row>
    <row r="868" spans="1:6" x14ac:dyDescent="0.35">
      <c r="A868" t="s">
        <v>29</v>
      </c>
      <c r="B868" t="s">
        <v>29</v>
      </c>
      <c r="C868" t="s">
        <v>29</v>
      </c>
      <c r="D868" t="s">
        <v>30</v>
      </c>
      <c r="E868" t="s">
        <v>30</v>
      </c>
      <c r="F868" t="s">
        <v>94</v>
      </c>
    </row>
    <row r="869" spans="1:6" x14ac:dyDescent="0.35">
      <c r="A869" t="s">
        <v>71</v>
      </c>
      <c r="B869" t="s">
        <v>33</v>
      </c>
      <c r="C869" t="s">
        <v>33</v>
      </c>
      <c r="D869" t="s">
        <v>34</v>
      </c>
      <c r="E869" t="s">
        <v>34</v>
      </c>
      <c r="F869" t="s">
        <v>73</v>
      </c>
    </row>
    <row r="870" spans="1:6" x14ac:dyDescent="0.35">
      <c r="A870" t="s">
        <v>71</v>
      </c>
      <c r="B870" t="s">
        <v>33</v>
      </c>
      <c r="C870" t="s">
        <v>28</v>
      </c>
      <c r="D870" t="s">
        <v>34</v>
      </c>
      <c r="E870" t="s">
        <v>34</v>
      </c>
      <c r="F870" t="s">
        <v>28</v>
      </c>
    </row>
    <row r="871" spans="1:6" x14ac:dyDescent="0.35">
      <c r="A871" t="s">
        <v>29</v>
      </c>
      <c r="B871" t="s">
        <v>29</v>
      </c>
      <c r="C871" t="s">
        <v>206</v>
      </c>
      <c r="D871" t="s">
        <v>30</v>
      </c>
      <c r="E871" t="s">
        <v>94</v>
      </c>
      <c r="F871" t="s">
        <v>94</v>
      </c>
    </row>
    <row r="872" spans="1:6" x14ac:dyDescent="0.35">
      <c r="A872" t="s">
        <v>28</v>
      </c>
      <c r="B872" t="s">
        <v>28</v>
      </c>
      <c r="C872" t="s">
        <v>28</v>
      </c>
      <c r="D872" t="s">
        <v>28</v>
      </c>
      <c r="E872" t="s">
        <v>28</v>
      </c>
      <c r="F872" t="s">
        <v>28</v>
      </c>
    </row>
    <row r="873" spans="1:6" x14ac:dyDescent="0.35">
      <c r="A873" t="s">
        <v>29</v>
      </c>
      <c r="B873" t="s">
        <v>28</v>
      </c>
      <c r="C873" t="s">
        <v>29</v>
      </c>
      <c r="D873" t="s">
        <v>30</v>
      </c>
      <c r="E873" t="s">
        <v>34</v>
      </c>
      <c r="F873" t="s">
        <v>61</v>
      </c>
    </row>
    <row r="874" spans="1:6" x14ac:dyDescent="0.35">
      <c r="A874" t="s">
        <v>344</v>
      </c>
      <c r="B874" t="s">
        <v>29</v>
      </c>
      <c r="C874" t="s">
        <v>206</v>
      </c>
      <c r="D874" t="s">
        <v>30</v>
      </c>
      <c r="E874" t="s">
        <v>30</v>
      </c>
      <c r="F874" t="s">
        <v>61</v>
      </c>
    </row>
    <row r="875" spans="1:6" x14ac:dyDescent="0.35">
      <c r="A875" t="s">
        <v>60</v>
      </c>
      <c r="B875" t="s">
        <v>29</v>
      </c>
      <c r="C875" t="s">
        <v>44</v>
      </c>
      <c r="D875" t="s">
        <v>34</v>
      </c>
      <c r="E875" t="s">
        <v>34</v>
      </c>
      <c r="F875" t="s">
        <v>94</v>
      </c>
    </row>
    <row r="876" spans="1:6" x14ac:dyDescent="0.35">
      <c r="A876" t="s">
        <v>28</v>
      </c>
      <c r="B876" t="s">
        <v>28</v>
      </c>
      <c r="C876" t="s">
        <v>28</v>
      </c>
      <c r="D876" t="s">
        <v>28</v>
      </c>
      <c r="E876" t="s">
        <v>28</v>
      </c>
      <c r="F876" t="s">
        <v>28</v>
      </c>
    </row>
    <row r="877" spans="1:6" x14ac:dyDescent="0.35">
      <c r="A877" t="s">
        <v>29</v>
      </c>
      <c r="B877" t="s">
        <v>28</v>
      </c>
      <c r="C877" t="s">
        <v>29</v>
      </c>
      <c r="D877" t="s">
        <v>30</v>
      </c>
      <c r="E877" t="s">
        <v>30</v>
      </c>
      <c r="F877" t="s">
        <v>28</v>
      </c>
    </row>
    <row r="878" spans="1:6" x14ac:dyDescent="0.35">
      <c r="A878" t="s">
        <v>29</v>
      </c>
      <c r="B878" t="s">
        <v>44</v>
      </c>
      <c r="C878" t="s">
        <v>33</v>
      </c>
      <c r="D878" t="s">
        <v>34</v>
      </c>
      <c r="E878" t="s">
        <v>34</v>
      </c>
      <c r="F878" t="s">
        <v>28</v>
      </c>
    </row>
    <row r="879" spans="1:6" x14ac:dyDescent="0.35">
      <c r="A879" t="s">
        <v>33</v>
      </c>
      <c r="B879" t="s">
        <v>33</v>
      </c>
      <c r="C879" t="s">
        <v>28</v>
      </c>
      <c r="D879" t="s">
        <v>34</v>
      </c>
      <c r="E879" t="s">
        <v>34</v>
      </c>
      <c r="F879" t="s">
        <v>28</v>
      </c>
    </row>
    <row r="880" spans="1:6" x14ac:dyDescent="0.35">
      <c r="A880" t="s">
        <v>33</v>
      </c>
      <c r="B880" t="s">
        <v>33</v>
      </c>
      <c r="C880" t="s">
        <v>33</v>
      </c>
      <c r="D880" t="s">
        <v>34</v>
      </c>
      <c r="E880" t="s">
        <v>34</v>
      </c>
      <c r="F880" t="s">
        <v>74</v>
      </c>
    </row>
    <row r="881" spans="1:6" x14ac:dyDescent="0.35">
      <c r="A881" t="s">
        <v>29</v>
      </c>
      <c r="B881" t="s">
        <v>29</v>
      </c>
      <c r="C881" t="s">
        <v>29</v>
      </c>
      <c r="D881" t="s">
        <v>30</v>
      </c>
      <c r="E881" t="s">
        <v>30</v>
      </c>
      <c r="F881" t="s">
        <v>94</v>
      </c>
    </row>
    <row r="882" spans="1:6" x14ac:dyDescent="0.35">
      <c r="A882" t="s">
        <v>28</v>
      </c>
      <c r="B882" t="s">
        <v>28</v>
      </c>
      <c r="C882" t="s">
        <v>28</v>
      </c>
      <c r="D882" t="s">
        <v>28</v>
      </c>
      <c r="E882" t="s">
        <v>28</v>
      </c>
      <c r="F882" t="s">
        <v>28</v>
      </c>
    </row>
    <row r="883" spans="1:6" x14ac:dyDescent="0.35">
      <c r="A883" t="s">
        <v>344</v>
      </c>
      <c r="B883" t="s">
        <v>196</v>
      </c>
      <c r="C883" t="s">
        <v>29</v>
      </c>
      <c r="D883" t="s">
        <v>196</v>
      </c>
      <c r="E883" t="s">
        <v>94</v>
      </c>
      <c r="F883" t="s">
        <v>61</v>
      </c>
    </row>
    <row r="884" spans="1:6" x14ac:dyDescent="0.35">
      <c r="A884" t="s">
        <v>28</v>
      </c>
      <c r="B884" t="s">
        <v>28</v>
      </c>
      <c r="C884" t="s">
        <v>28</v>
      </c>
      <c r="D884" t="s">
        <v>28</v>
      </c>
      <c r="E884" t="s">
        <v>28</v>
      </c>
      <c r="F884" t="s">
        <v>28</v>
      </c>
    </row>
    <row r="885" spans="1:6" x14ac:dyDescent="0.35">
      <c r="A885" t="s">
        <v>71</v>
      </c>
      <c r="B885" t="s">
        <v>72</v>
      </c>
      <c r="C885" t="s">
        <v>33</v>
      </c>
      <c r="D885" t="s">
        <v>72</v>
      </c>
      <c r="E885" t="s">
        <v>73</v>
      </c>
      <c r="F885" t="s">
        <v>74</v>
      </c>
    </row>
    <row r="886" spans="1:6" x14ac:dyDescent="0.35">
      <c r="A886" t="s">
        <v>71</v>
      </c>
      <c r="B886" t="s">
        <v>72</v>
      </c>
      <c r="C886" t="s">
        <v>73</v>
      </c>
      <c r="D886" t="s">
        <v>72</v>
      </c>
      <c r="E886" t="s">
        <v>73</v>
      </c>
      <c r="F886" t="s">
        <v>73</v>
      </c>
    </row>
    <row r="887" spans="1:6" x14ac:dyDescent="0.35">
      <c r="A887" t="s">
        <v>28</v>
      </c>
      <c r="B887" t="s">
        <v>28</v>
      </c>
      <c r="C887" t="s">
        <v>28</v>
      </c>
      <c r="D887" t="s">
        <v>28</v>
      </c>
      <c r="E887" t="s">
        <v>28</v>
      </c>
      <c r="F887" t="s">
        <v>28</v>
      </c>
    </row>
    <row r="888" spans="1:6" x14ac:dyDescent="0.35">
      <c r="A888" t="s">
        <v>29</v>
      </c>
      <c r="B888" t="s">
        <v>29</v>
      </c>
      <c r="C888" t="s">
        <v>206</v>
      </c>
      <c r="D888" t="s">
        <v>30</v>
      </c>
      <c r="E888" t="s">
        <v>94</v>
      </c>
      <c r="F888" t="s">
        <v>94</v>
      </c>
    </row>
    <row r="889" spans="1:6" x14ac:dyDescent="0.35">
      <c r="A889" t="s">
        <v>28</v>
      </c>
      <c r="B889" t="s">
        <v>28</v>
      </c>
      <c r="C889" t="s">
        <v>28</v>
      </c>
      <c r="D889" t="s">
        <v>28</v>
      </c>
      <c r="E889" t="s">
        <v>28</v>
      </c>
      <c r="F889" t="s">
        <v>28</v>
      </c>
    </row>
    <row r="890" spans="1:6" x14ac:dyDescent="0.35">
      <c r="A890" t="s">
        <v>344</v>
      </c>
      <c r="B890" t="s">
        <v>29</v>
      </c>
      <c r="C890" t="s">
        <v>206</v>
      </c>
      <c r="D890" t="s">
        <v>30</v>
      </c>
      <c r="E890" t="s">
        <v>94</v>
      </c>
      <c r="F890" t="s">
        <v>61</v>
      </c>
    </row>
    <row r="891" spans="1:6" x14ac:dyDescent="0.35">
      <c r="A891" t="s">
        <v>29</v>
      </c>
      <c r="B891" t="s">
        <v>196</v>
      </c>
      <c r="C891" t="s">
        <v>29</v>
      </c>
      <c r="D891" t="s">
        <v>196</v>
      </c>
      <c r="E891" t="s">
        <v>30</v>
      </c>
      <c r="F891" t="s">
        <v>94</v>
      </c>
    </row>
    <row r="892" spans="1:6" x14ac:dyDescent="0.35">
      <c r="A892" t="s">
        <v>28</v>
      </c>
      <c r="B892" t="s">
        <v>28</v>
      </c>
      <c r="C892" t="s">
        <v>28</v>
      </c>
      <c r="D892" t="s">
        <v>28</v>
      </c>
      <c r="E892" t="s">
        <v>28</v>
      </c>
      <c r="F892" t="s">
        <v>28</v>
      </c>
    </row>
    <row r="893" spans="1:6" x14ac:dyDescent="0.35">
      <c r="A893" t="s">
        <v>28</v>
      </c>
      <c r="B893" t="s">
        <v>28</v>
      </c>
      <c r="C893" t="s">
        <v>28</v>
      </c>
      <c r="D893" t="s">
        <v>28</v>
      </c>
      <c r="E893" t="s">
        <v>28</v>
      </c>
      <c r="F893" t="s">
        <v>28</v>
      </c>
    </row>
    <row r="894" spans="1:6" x14ac:dyDescent="0.35">
      <c r="A894" t="s">
        <v>71</v>
      </c>
      <c r="B894" t="s">
        <v>33</v>
      </c>
      <c r="C894" t="s">
        <v>73</v>
      </c>
      <c r="D894" t="s">
        <v>34</v>
      </c>
      <c r="E894" t="s">
        <v>34</v>
      </c>
      <c r="F894" t="s">
        <v>73</v>
      </c>
    </row>
    <row r="895" spans="1:6" x14ac:dyDescent="0.35">
      <c r="A895" t="s">
        <v>71</v>
      </c>
      <c r="B895" t="s">
        <v>33</v>
      </c>
      <c r="C895" t="s">
        <v>73</v>
      </c>
      <c r="D895" t="s">
        <v>34</v>
      </c>
      <c r="E895" t="s">
        <v>34</v>
      </c>
      <c r="F895" t="s">
        <v>73</v>
      </c>
    </row>
    <row r="896" spans="1:6" x14ac:dyDescent="0.35">
      <c r="A896" t="s">
        <v>28</v>
      </c>
      <c r="B896" t="s">
        <v>28</v>
      </c>
      <c r="C896" t="s">
        <v>28</v>
      </c>
      <c r="D896" t="s">
        <v>28</v>
      </c>
      <c r="E896" t="s">
        <v>28</v>
      </c>
      <c r="F896" t="s">
        <v>28</v>
      </c>
    </row>
    <row r="897" spans="1:6" x14ac:dyDescent="0.35">
      <c r="A897" t="s">
        <v>344</v>
      </c>
      <c r="B897" t="s">
        <v>29</v>
      </c>
      <c r="C897" t="s">
        <v>206</v>
      </c>
      <c r="D897" t="s">
        <v>30</v>
      </c>
      <c r="E897" t="s">
        <v>173</v>
      </c>
      <c r="F897" t="s">
        <v>94</v>
      </c>
    </row>
    <row r="898" spans="1:6" x14ac:dyDescent="0.35">
      <c r="A898" t="s">
        <v>28</v>
      </c>
      <c r="B898" t="s">
        <v>28</v>
      </c>
      <c r="C898" t="s">
        <v>28</v>
      </c>
      <c r="D898" t="s">
        <v>28</v>
      </c>
      <c r="E898" t="s">
        <v>28</v>
      </c>
      <c r="F898" t="s">
        <v>28</v>
      </c>
    </row>
    <row r="899" spans="1:6" x14ac:dyDescent="0.35">
      <c r="A899" t="s">
        <v>28</v>
      </c>
      <c r="B899" t="s">
        <v>28</v>
      </c>
      <c r="C899" t="s">
        <v>28</v>
      </c>
      <c r="D899" t="s">
        <v>28</v>
      </c>
      <c r="E899" t="s">
        <v>28</v>
      </c>
      <c r="F899" t="s">
        <v>28</v>
      </c>
    </row>
    <row r="900" spans="1:6" x14ac:dyDescent="0.35">
      <c r="A900" t="s">
        <v>71</v>
      </c>
      <c r="B900" t="s">
        <v>33</v>
      </c>
      <c r="C900" t="s">
        <v>73</v>
      </c>
      <c r="D900" t="s">
        <v>34</v>
      </c>
      <c r="E900" t="s">
        <v>73</v>
      </c>
      <c r="F900" t="s">
        <v>73</v>
      </c>
    </row>
    <row r="901" spans="1:6" x14ac:dyDescent="0.35">
      <c r="A901" t="s">
        <v>28</v>
      </c>
      <c r="B901" t="s">
        <v>197</v>
      </c>
      <c r="C901" t="s">
        <v>28</v>
      </c>
      <c r="D901" t="s">
        <v>28</v>
      </c>
      <c r="E901" t="s">
        <v>28</v>
      </c>
      <c r="F901" t="s">
        <v>28</v>
      </c>
    </row>
    <row r="902" spans="1:6" x14ac:dyDescent="0.35">
      <c r="A902" t="s">
        <v>28</v>
      </c>
      <c r="B902" t="s">
        <v>28</v>
      </c>
      <c r="C902" t="s">
        <v>28</v>
      </c>
      <c r="D902" t="s">
        <v>28</v>
      </c>
      <c r="E902" t="s">
        <v>28</v>
      </c>
      <c r="F902" t="s">
        <v>28</v>
      </c>
    </row>
    <row r="903" spans="1:6" x14ac:dyDescent="0.35">
      <c r="A903" t="s">
        <v>28</v>
      </c>
      <c r="B903" t="s">
        <v>28</v>
      </c>
      <c r="C903" t="s">
        <v>28</v>
      </c>
      <c r="D903" t="s">
        <v>28</v>
      </c>
      <c r="E903" t="s">
        <v>28</v>
      </c>
      <c r="F903" t="s">
        <v>28</v>
      </c>
    </row>
    <row r="904" spans="1:6" x14ac:dyDescent="0.35">
      <c r="A904" t="s">
        <v>44</v>
      </c>
      <c r="B904" t="s">
        <v>44</v>
      </c>
      <c r="C904" t="s">
        <v>206</v>
      </c>
      <c r="D904" t="s">
        <v>173</v>
      </c>
      <c r="E904" t="s">
        <v>94</v>
      </c>
      <c r="F904" t="s">
        <v>94</v>
      </c>
    </row>
    <row r="905" spans="1:6" x14ac:dyDescent="0.35">
      <c r="A905" t="s">
        <v>60</v>
      </c>
      <c r="B905" t="s">
        <v>60</v>
      </c>
      <c r="C905" t="s">
        <v>29</v>
      </c>
      <c r="D905" t="s">
        <v>173</v>
      </c>
      <c r="E905" t="s">
        <v>173</v>
      </c>
      <c r="F905" t="s">
        <v>28</v>
      </c>
    </row>
    <row r="906" spans="1:6" x14ac:dyDescent="0.35">
      <c r="A906" t="s">
        <v>449</v>
      </c>
      <c r="B906" t="s">
        <v>44</v>
      </c>
      <c r="C906" t="s">
        <v>44</v>
      </c>
      <c r="D906" t="s">
        <v>196</v>
      </c>
      <c r="E906" t="s">
        <v>30</v>
      </c>
      <c r="F906" t="s">
        <v>35</v>
      </c>
    </row>
    <row r="907" spans="1:6" x14ac:dyDescent="0.35">
      <c r="A907" t="s">
        <v>28</v>
      </c>
      <c r="B907" t="s">
        <v>28</v>
      </c>
      <c r="C907" t="s">
        <v>28</v>
      </c>
      <c r="D907" t="s">
        <v>28</v>
      </c>
      <c r="E907" t="s">
        <v>28</v>
      </c>
      <c r="F907" t="s">
        <v>28</v>
      </c>
    </row>
    <row r="908" spans="1:6" x14ac:dyDescent="0.35">
      <c r="A908" t="s">
        <v>344</v>
      </c>
      <c r="B908" t="s">
        <v>44</v>
      </c>
      <c r="C908" t="s">
        <v>284</v>
      </c>
      <c r="D908" t="s">
        <v>30</v>
      </c>
      <c r="E908" t="s">
        <v>173</v>
      </c>
      <c r="F908" t="s">
        <v>368</v>
      </c>
    </row>
    <row r="909" spans="1:6" x14ac:dyDescent="0.35">
      <c r="A909" t="s">
        <v>28</v>
      </c>
      <c r="B909" t="s">
        <v>197</v>
      </c>
      <c r="C909" t="s">
        <v>44</v>
      </c>
      <c r="D909" t="s">
        <v>196</v>
      </c>
      <c r="E909" t="s">
        <v>103</v>
      </c>
      <c r="F909" t="s">
        <v>61</v>
      </c>
    </row>
    <row r="910" spans="1:6" x14ac:dyDescent="0.35">
      <c r="A910" t="s">
        <v>449</v>
      </c>
      <c r="B910" t="s">
        <v>44</v>
      </c>
      <c r="C910" t="s">
        <v>44</v>
      </c>
      <c r="D910" t="s">
        <v>196</v>
      </c>
      <c r="E910" t="s">
        <v>30</v>
      </c>
      <c r="F910" t="s">
        <v>28</v>
      </c>
    </row>
    <row r="911" spans="1:6" x14ac:dyDescent="0.35">
      <c r="A911" t="s">
        <v>28</v>
      </c>
      <c r="B911" t="s">
        <v>28</v>
      </c>
      <c r="C911" t="s">
        <v>28</v>
      </c>
      <c r="D911" t="s">
        <v>28</v>
      </c>
      <c r="E911" t="s">
        <v>28</v>
      </c>
      <c r="F911" t="s">
        <v>28</v>
      </c>
    </row>
    <row r="912" spans="1:6" x14ac:dyDescent="0.35">
      <c r="A912" t="s">
        <v>28</v>
      </c>
      <c r="B912" t="s">
        <v>60</v>
      </c>
      <c r="C912" t="s">
        <v>206</v>
      </c>
      <c r="D912" t="s">
        <v>173</v>
      </c>
      <c r="E912" t="s">
        <v>94</v>
      </c>
      <c r="F912" t="s">
        <v>73</v>
      </c>
    </row>
    <row r="913" spans="1:6" x14ac:dyDescent="0.35">
      <c r="A913" t="s">
        <v>60</v>
      </c>
      <c r="B913" t="s">
        <v>29</v>
      </c>
      <c r="C913" t="s">
        <v>29</v>
      </c>
      <c r="D913" t="s">
        <v>173</v>
      </c>
      <c r="E913" t="s">
        <v>173</v>
      </c>
      <c r="F913" t="s">
        <v>368</v>
      </c>
    </row>
    <row r="914" spans="1:6" x14ac:dyDescent="0.35">
      <c r="A914" t="s">
        <v>449</v>
      </c>
      <c r="B914" t="s">
        <v>44</v>
      </c>
      <c r="C914" t="s">
        <v>44</v>
      </c>
      <c r="D914" t="s">
        <v>173</v>
      </c>
      <c r="E914" t="s">
        <v>173</v>
      </c>
      <c r="F914" t="s">
        <v>28</v>
      </c>
    </row>
    <row r="915" spans="1:6" x14ac:dyDescent="0.35">
      <c r="A915" t="s">
        <v>449</v>
      </c>
      <c r="B915" t="s">
        <v>29</v>
      </c>
      <c r="C915" t="s">
        <v>206</v>
      </c>
      <c r="D915" t="s">
        <v>30</v>
      </c>
      <c r="E915" t="s">
        <v>94</v>
      </c>
      <c r="F915" t="s">
        <v>73</v>
      </c>
    </row>
    <row r="916" spans="1:6" x14ac:dyDescent="0.35">
      <c r="A916" t="s">
        <v>60</v>
      </c>
      <c r="B916" t="s">
        <v>29</v>
      </c>
      <c r="C916" t="s">
        <v>29</v>
      </c>
      <c r="D916" t="s">
        <v>103</v>
      </c>
      <c r="E916" t="s">
        <v>103</v>
      </c>
      <c r="F916" t="s">
        <v>28</v>
      </c>
    </row>
    <row r="917" spans="1:6" x14ac:dyDescent="0.35">
      <c r="A917" t="s">
        <v>60</v>
      </c>
      <c r="B917" t="s">
        <v>29</v>
      </c>
      <c r="C917" t="s">
        <v>29</v>
      </c>
      <c r="D917" t="s">
        <v>173</v>
      </c>
      <c r="E917" t="s">
        <v>173</v>
      </c>
      <c r="F917" t="s">
        <v>45</v>
      </c>
    </row>
    <row r="918" spans="1:6" x14ac:dyDescent="0.35">
      <c r="A918" t="s">
        <v>344</v>
      </c>
      <c r="B918" t="s">
        <v>44</v>
      </c>
      <c r="C918" t="s">
        <v>44</v>
      </c>
      <c r="D918" t="s">
        <v>30</v>
      </c>
      <c r="E918" t="s">
        <v>30</v>
      </c>
      <c r="F918" t="s">
        <v>35</v>
      </c>
    </row>
    <row r="919" spans="1:6" x14ac:dyDescent="0.35">
      <c r="A919" t="s">
        <v>449</v>
      </c>
      <c r="B919" t="s">
        <v>44</v>
      </c>
      <c r="C919" t="s">
        <v>284</v>
      </c>
      <c r="D919" t="s">
        <v>173</v>
      </c>
      <c r="E919" t="s">
        <v>368</v>
      </c>
      <c r="F919" t="s">
        <v>368</v>
      </c>
    </row>
    <row r="920" spans="1:6" x14ac:dyDescent="0.35">
      <c r="A920" t="s">
        <v>28</v>
      </c>
      <c r="B920" t="s">
        <v>197</v>
      </c>
      <c r="C920" t="s">
        <v>28</v>
      </c>
      <c r="D920" t="s">
        <v>197</v>
      </c>
      <c r="E920" t="s">
        <v>28</v>
      </c>
      <c r="F920" t="s">
        <v>292</v>
      </c>
    </row>
    <row r="921" spans="1:6" x14ac:dyDescent="0.35">
      <c r="A921" t="s">
        <v>377</v>
      </c>
      <c r="B921" t="s">
        <v>44</v>
      </c>
      <c r="C921" t="s">
        <v>206</v>
      </c>
      <c r="D921" t="s">
        <v>103</v>
      </c>
      <c r="E921" t="s">
        <v>94</v>
      </c>
      <c r="F921" t="s">
        <v>94</v>
      </c>
    </row>
    <row r="922" spans="1:6" x14ac:dyDescent="0.35">
      <c r="A922" t="s">
        <v>344</v>
      </c>
      <c r="B922" t="s">
        <v>197</v>
      </c>
      <c r="C922" t="s">
        <v>44</v>
      </c>
      <c r="D922" t="s">
        <v>30</v>
      </c>
      <c r="E922" t="s">
        <v>30</v>
      </c>
      <c r="F922" t="s">
        <v>35</v>
      </c>
    </row>
    <row r="923" spans="1:6" x14ac:dyDescent="0.35">
      <c r="A923" t="s">
        <v>60</v>
      </c>
      <c r="B923" t="s">
        <v>60</v>
      </c>
      <c r="C923" t="s">
        <v>44</v>
      </c>
      <c r="D923" t="s">
        <v>173</v>
      </c>
      <c r="E923" t="s">
        <v>368</v>
      </c>
      <c r="F923" t="s">
        <v>94</v>
      </c>
    </row>
    <row r="924" spans="1:6" x14ac:dyDescent="0.35">
      <c r="A924" t="s">
        <v>44</v>
      </c>
      <c r="B924" t="s">
        <v>60</v>
      </c>
      <c r="C924" t="s">
        <v>206</v>
      </c>
      <c r="D924" t="s">
        <v>173</v>
      </c>
      <c r="E924" t="s">
        <v>94</v>
      </c>
      <c r="F924" t="s">
        <v>73</v>
      </c>
    </row>
    <row r="925" spans="1:6" x14ac:dyDescent="0.35">
      <c r="A925" t="s">
        <v>29</v>
      </c>
      <c r="B925" t="s">
        <v>29</v>
      </c>
      <c r="C925" t="s">
        <v>29</v>
      </c>
      <c r="D925" t="s">
        <v>173</v>
      </c>
      <c r="E925" t="s">
        <v>173</v>
      </c>
      <c r="F925" t="s">
        <v>35</v>
      </c>
    </row>
    <row r="926" spans="1:6" x14ac:dyDescent="0.35">
      <c r="A926" t="s">
        <v>28</v>
      </c>
      <c r="B926" t="s">
        <v>28</v>
      </c>
      <c r="C926" t="s">
        <v>28</v>
      </c>
      <c r="D926" t="s">
        <v>28</v>
      </c>
      <c r="E926" t="s">
        <v>28</v>
      </c>
      <c r="F926" t="s">
        <v>28</v>
      </c>
    </row>
    <row r="927" spans="1:6" x14ac:dyDescent="0.35">
      <c r="A927" t="s">
        <v>28</v>
      </c>
      <c r="B927" t="s">
        <v>28</v>
      </c>
      <c r="C927" t="s">
        <v>28</v>
      </c>
      <c r="D927" t="s">
        <v>28</v>
      </c>
      <c r="E927" t="s">
        <v>28</v>
      </c>
      <c r="F927" t="s">
        <v>28</v>
      </c>
    </row>
    <row r="928" spans="1:6" x14ac:dyDescent="0.35">
      <c r="A928" t="s">
        <v>28</v>
      </c>
      <c r="B928" t="s">
        <v>28</v>
      </c>
      <c r="C928" t="s">
        <v>28</v>
      </c>
      <c r="D928" t="s">
        <v>28</v>
      </c>
      <c r="E928" t="s">
        <v>28</v>
      </c>
      <c r="F928" t="s">
        <v>28</v>
      </c>
    </row>
    <row r="929" spans="1:6" x14ac:dyDescent="0.35">
      <c r="A929" t="s">
        <v>33</v>
      </c>
      <c r="B929" t="s">
        <v>158</v>
      </c>
      <c r="C929" t="s">
        <v>157</v>
      </c>
      <c r="D929" t="s">
        <v>103</v>
      </c>
      <c r="E929" t="s">
        <v>45</v>
      </c>
      <c r="F929" t="s">
        <v>45</v>
      </c>
    </row>
    <row r="930" spans="1:6" x14ac:dyDescent="0.35">
      <c r="A930" t="s">
        <v>28</v>
      </c>
      <c r="B930" t="s">
        <v>29</v>
      </c>
      <c r="C930" t="s">
        <v>60</v>
      </c>
      <c r="D930" t="s">
        <v>173</v>
      </c>
      <c r="E930" t="s">
        <v>28</v>
      </c>
      <c r="F930" t="s">
        <v>28</v>
      </c>
    </row>
    <row r="931" spans="1:6" x14ac:dyDescent="0.35">
      <c r="A931" t="s">
        <v>28</v>
      </c>
      <c r="B931" t="s">
        <v>33</v>
      </c>
      <c r="C931" t="s">
        <v>28</v>
      </c>
      <c r="D931" t="s">
        <v>30</v>
      </c>
      <c r="E931" t="s">
        <v>28</v>
      </c>
      <c r="F931" t="s">
        <v>45</v>
      </c>
    </row>
    <row r="932" spans="1:6" x14ac:dyDescent="0.35">
      <c r="A932" t="s">
        <v>44</v>
      </c>
      <c r="B932" t="s">
        <v>60</v>
      </c>
      <c r="C932" t="s">
        <v>28</v>
      </c>
      <c r="D932" t="s">
        <v>103</v>
      </c>
      <c r="E932" t="s">
        <v>103</v>
      </c>
      <c r="F932" t="s">
        <v>35</v>
      </c>
    </row>
    <row r="933" spans="1:6" x14ac:dyDescent="0.35">
      <c r="A933" t="s">
        <v>28</v>
      </c>
      <c r="B933" t="s">
        <v>29</v>
      </c>
      <c r="C933" t="s">
        <v>28</v>
      </c>
      <c r="D933" t="s">
        <v>30</v>
      </c>
      <c r="E933" t="s">
        <v>173</v>
      </c>
      <c r="F933" t="s">
        <v>368</v>
      </c>
    </row>
    <row r="934" spans="1:6" x14ac:dyDescent="0.35">
      <c r="A934" t="s">
        <v>29</v>
      </c>
      <c r="B934" t="s">
        <v>60</v>
      </c>
      <c r="C934" t="s">
        <v>60</v>
      </c>
      <c r="D934" t="s">
        <v>30</v>
      </c>
      <c r="E934" t="s">
        <v>28</v>
      </c>
      <c r="F934" t="s">
        <v>28</v>
      </c>
    </row>
    <row r="935" spans="1:6" x14ac:dyDescent="0.35">
      <c r="A935" t="s">
        <v>28</v>
      </c>
      <c r="B935" t="s">
        <v>60</v>
      </c>
      <c r="C935" t="s">
        <v>60</v>
      </c>
      <c r="D935" t="s">
        <v>30</v>
      </c>
      <c r="E935" t="s">
        <v>45</v>
      </c>
      <c r="F935" t="s">
        <v>45</v>
      </c>
    </row>
    <row r="936" spans="1:6" x14ac:dyDescent="0.35">
      <c r="A936" t="s">
        <v>28</v>
      </c>
      <c r="B936" t="s">
        <v>44</v>
      </c>
      <c r="C936" t="s">
        <v>60</v>
      </c>
      <c r="D936" t="s">
        <v>173</v>
      </c>
      <c r="E936" t="s">
        <v>173</v>
      </c>
      <c r="F936" t="s">
        <v>61</v>
      </c>
    </row>
    <row r="937" spans="1:6" x14ac:dyDescent="0.35">
      <c r="A937" t="s">
        <v>28</v>
      </c>
      <c r="B937" t="s">
        <v>29</v>
      </c>
      <c r="C937" t="s">
        <v>60</v>
      </c>
      <c r="D937" t="s">
        <v>30</v>
      </c>
      <c r="E937" t="s">
        <v>30</v>
      </c>
      <c r="F937" t="s">
        <v>94</v>
      </c>
    </row>
    <row r="938" spans="1:6" x14ac:dyDescent="0.35">
      <c r="A938" t="s">
        <v>449</v>
      </c>
      <c r="B938" t="s">
        <v>29</v>
      </c>
      <c r="C938" t="s">
        <v>29</v>
      </c>
      <c r="D938" t="s">
        <v>30</v>
      </c>
      <c r="E938" t="s">
        <v>34</v>
      </c>
      <c r="F938" t="s">
        <v>45</v>
      </c>
    </row>
    <row r="939" spans="1:6" x14ac:dyDescent="0.35">
      <c r="A939" t="s">
        <v>28</v>
      </c>
      <c r="B939" t="s">
        <v>29</v>
      </c>
      <c r="C939" t="s">
        <v>28</v>
      </c>
      <c r="D939" t="s">
        <v>30</v>
      </c>
      <c r="E939" t="s">
        <v>34</v>
      </c>
      <c r="F939" t="s">
        <v>45</v>
      </c>
    </row>
    <row r="940" spans="1:6" x14ac:dyDescent="0.35">
      <c r="A940" t="s">
        <v>28</v>
      </c>
      <c r="B940" t="s">
        <v>29</v>
      </c>
      <c r="C940" t="s">
        <v>28</v>
      </c>
      <c r="D940" t="s">
        <v>30</v>
      </c>
      <c r="E940" t="s">
        <v>30</v>
      </c>
      <c r="F940" t="s">
        <v>368</v>
      </c>
    </row>
    <row r="941" spans="1:6" x14ac:dyDescent="0.35">
      <c r="A941" t="s">
        <v>28</v>
      </c>
      <c r="B941" t="s">
        <v>29</v>
      </c>
      <c r="C941" t="s">
        <v>28</v>
      </c>
      <c r="D941" t="s">
        <v>173</v>
      </c>
      <c r="E941" t="s">
        <v>103</v>
      </c>
      <c r="F941" t="s">
        <v>45</v>
      </c>
    </row>
    <row r="942" spans="1:6" x14ac:dyDescent="0.35">
      <c r="A942" t="s">
        <v>29</v>
      </c>
      <c r="B942" t="s">
        <v>29</v>
      </c>
      <c r="C942" t="s">
        <v>29</v>
      </c>
      <c r="D942" t="s">
        <v>30</v>
      </c>
      <c r="E942" t="s">
        <v>30</v>
      </c>
      <c r="F942" t="s">
        <v>45</v>
      </c>
    </row>
    <row r="943" spans="1:6" x14ac:dyDescent="0.35">
      <c r="A943" t="s">
        <v>377</v>
      </c>
      <c r="B943" t="s">
        <v>158</v>
      </c>
      <c r="C943" t="s">
        <v>28</v>
      </c>
      <c r="D943" t="s">
        <v>28</v>
      </c>
      <c r="E943" t="s">
        <v>45</v>
      </c>
      <c r="F943" t="s">
        <v>45</v>
      </c>
    </row>
    <row r="944" spans="1:6" x14ac:dyDescent="0.35">
      <c r="A944" t="s">
        <v>60</v>
      </c>
      <c r="B944" t="s">
        <v>29</v>
      </c>
      <c r="C944" t="s">
        <v>33</v>
      </c>
      <c r="D944" t="s">
        <v>173</v>
      </c>
      <c r="E944" t="s">
        <v>30</v>
      </c>
      <c r="F944" t="s">
        <v>28</v>
      </c>
    </row>
    <row r="945" spans="1:6" x14ac:dyDescent="0.35">
      <c r="A945" t="s">
        <v>377</v>
      </c>
      <c r="B945" t="s">
        <v>158</v>
      </c>
      <c r="C945" t="s">
        <v>44</v>
      </c>
      <c r="D945" t="s">
        <v>103</v>
      </c>
      <c r="E945" t="s">
        <v>45</v>
      </c>
      <c r="F945" t="s">
        <v>28</v>
      </c>
    </row>
    <row r="946" spans="1:6" x14ac:dyDescent="0.35">
      <c r="A946" t="s">
        <v>28</v>
      </c>
      <c r="B946" t="s">
        <v>29</v>
      </c>
      <c r="C946" t="s">
        <v>60</v>
      </c>
      <c r="D946" t="s">
        <v>173</v>
      </c>
      <c r="E946" t="s">
        <v>173</v>
      </c>
      <c r="F946" t="s">
        <v>368</v>
      </c>
    </row>
    <row r="947" spans="1:6" x14ac:dyDescent="0.35">
      <c r="A947" t="s">
        <v>28</v>
      </c>
      <c r="B947" t="s">
        <v>28</v>
      </c>
      <c r="C947" t="s">
        <v>28</v>
      </c>
      <c r="D947" t="s">
        <v>28</v>
      </c>
      <c r="E947" t="s">
        <v>28</v>
      </c>
      <c r="F947" t="s">
        <v>28</v>
      </c>
    </row>
    <row r="948" spans="1:6" x14ac:dyDescent="0.35">
      <c r="A948" t="s">
        <v>29</v>
      </c>
      <c r="B948" t="s">
        <v>33</v>
      </c>
      <c r="C948" t="s">
        <v>33</v>
      </c>
      <c r="D948" t="s">
        <v>30</v>
      </c>
      <c r="E948" t="s">
        <v>30</v>
      </c>
      <c r="F948" t="s">
        <v>368</v>
      </c>
    </row>
    <row r="949" spans="1:6" x14ac:dyDescent="0.35">
      <c r="A949" t="s">
        <v>28</v>
      </c>
      <c r="B949" t="s">
        <v>60</v>
      </c>
      <c r="C949" t="s">
        <v>284</v>
      </c>
      <c r="D949" t="s">
        <v>30</v>
      </c>
      <c r="E949" t="s">
        <v>28</v>
      </c>
      <c r="F949" t="s">
        <v>94</v>
      </c>
    </row>
    <row r="950" spans="1:6" x14ac:dyDescent="0.35">
      <c r="A950" t="s">
        <v>60</v>
      </c>
      <c r="B950" t="s">
        <v>29</v>
      </c>
      <c r="C950" t="s">
        <v>29</v>
      </c>
      <c r="D950" t="s">
        <v>28</v>
      </c>
      <c r="E950" t="s">
        <v>30</v>
      </c>
      <c r="F950" t="s">
        <v>45</v>
      </c>
    </row>
    <row r="951" spans="1:6" x14ac:dyDescent="0.35">
      <c r="A951" t="s">
        <v>60</v>
      </c>
      <c r="B951" t="s">
        <v>29</v>
      </c>
      <c r="C951" t="s">
        <v>284</v>
      </c>
      <c r="D951" t="s">
        <v>30</v>
      </c>
      <c r="E951" t="s">
        <v>368</v>
      </c>
      <c r="F951" t="s">
        <v>73</v>
      </c>
    </row>
    <row r="952" spans="1:6" x14ac:dyDescent="0.35">
      <c r="A952" t="s">
        <v>28</v>
      </c>
      <c r="B952" t="s">
        <v>60</v>
      </c>
      <c r="C952" t="s">
        <v>28</v>
      </c>
      <c r="D952" t="s">
        <v>30</v>
      </c>
      <c r="E952" t="s">
        <v>28</v>
      </c>
      <c r="F952" t="s">
        <v>73</v>
      </c>
    </row>
    <row r="953" spans="1:6" x14ac:dyDescent="0.35">
      <c r="A953" t="s">
        <v>28</v>
      </c>
      <c r="B953" t="s">
        <v>33</v>
      </c>
      <c r="C953" t="s">
        <v>284</v>
      </c>
      <c r="D953" t="s">
        <v>30</v>
      </c>
      <c r="E953" t="s">
        <v>28</v>
      </c>
      <c r="F953" t="s">
        <v>368</v>
      </c>
    </row>
    <row r="954" spans="1:6" x14ac:dyDescent="0.35">
      <c r="A954" t="s">
        <v>28</v>
      </c>
      <c r="B954" t="s">
        <v>29</v>
      </c>
      <c r="C954" t="s">
        <v>206</v>
      </c>
      <c r="D954" t="s">
        <v>30</v>
      </c>
      <c r="E954" t="s">
        <v>368</v>
      </c>
      <c r="F954" t="s">
        <v>73</v>
      </c>
    </row>
    <row r="955" spans="1:6" x14ac:dyDescent="0.35">
      <c r="A955" t="s">
        <v>28</v>
      </c>
      <c r="B955" t="s">
        <v>60</v>
      </c>
      <c r="C955" t="s">
        <v>206</v>
      </c>
      <c r="D955" t="s">
        <v>30</v>
      </c>
      <c r="E955" t="s">
        <v>368</v>
      </c>
      <c r="F955" t="s">
        <v>73</v>
      </c>
    </row>
    <row r="956" spans="1:6" x14ac:dyDescent="0.35">
      <c r="A956" t="s">
        <v>28</v>
      </c>
      <c r="B956" t="s">
        <v>29</v>
      </c>
      <c r="C956" t="s">
        <v>28</v>
      </c>
      <c r="D956" t="s">
        <v>34</v>
      </c>
      <c r="E956" t="s">
        <v>28</v>
      </c>
      <c r="F956" t="s">
        <v>368</v>
      </c>
    </row>
    <row r="957" spans="1:6" x14ac:dyDescent="0.35">
      <c r="A957" t="s">
        <v>28</v>
      </c>
      <c r="B957" t="s">
        <v>60</v>
      </c>
      <c r="C957" t="s">
        <v>28</v>
      </c>
      <c r="D957" t="s">
        <v>30</v>
      </c>
      <c r="E957" t="s">
        <v>28</v>
      </c>
      <c r="F957" t="s">
        <v>73</v>
      </c>
    </row>
    <row r="958" spans="1:6" x14ac:dyDescent="0.35">
      <c r="A958" t="s">
        <v>28</v>
      </c>
      <c r="B958" t="s">
        <v>44</v>
      </c>
      <c r="C958" t="s">
        <v>28</v>
      </c>
      <c r="D958" t="s">
        <v>173</v>
      </c>
      <c r="E958" t="s">
        <v>368</v>
      </c>
      <c r="F958" t="s">
        <v>94</v>
      </c>
    </row>
    <row r="959" spans="1:6" x14ac:dyDescent="0.35">
      <c r="A959" t="s">
        <v>449</v>
      </c>
      <c r="B959" t="s">
        <v>29</v>
      </c>
      <c r="C959" t="s">
        <v>29</v>
      </c>
      <c r="D959" t="s">
        <v>34</v>
      </c>
      <c r="E959" t="s">
        <v>28</v>
      </c>
      <c r="F959" t="s">
        <v>368</v>
      </c>
    </row>
    <row r="960" spans="1:6" x14ac:dyDescent="0.35">
      <c r="A960" t="s">
        <v>44</v>
      </c>
      <c r="B960" t="s">
        <v>44</v>
      </c>
      <c r="C960" t="s">
        <v>28</v>
      </c>
      <c r="D960" t="s">
        <v>103</v>
      </c>
      <c r="E960" t="s">
        <v>45</v>
      </c>
      <c r="F960" t="s">
        <v>292</v>
      </c>
    </row>
    <row r="961" spans="1:6" x14ac:dyDescent="0.35">
      <c r="A961" t="s">
        <v>28</v>
      </c>
      <c r="B961" t="s">
        <v>60</v>
      </c>
      <c r="C961" t="s">
        <v>44</v>
      </c>
      <c r="D961" t="s">
        <v>103</v>
      </c>
      <c r="E961" t="s">
        <v>45</v>
      </c>
      <c r="F961" t="s">
        <v>28</v>
      </c>
    </row>
    <row r="962" spans="1:6" x14ac:dyDescent="0.35">
      <c r="A962" t="s">
        <v>28</v>
      </c>
      <c r="B962" t="s">
        <v>29</v>
      </c>
      <c r="C962" t="s">
        <v>284</v>
      </c>
      <c r="D962" t="s">
        <v>30</v>
      </c>
      <c r="E962" t="s">
        <v>45</v>
      </c>
      <c r="F962" t="s">
        <v>73</v>
      </c>
    </row>
    <row r="963" spans="1:6" x14ac:dyDescent="0.35">
      <c r="A963" t="s">
        <v>28</v>
      </c>
      <c r="B963" t="s">
        <v>60</v>
      </c>
      <c r="C963" t="s">
        <v>28</v>
      </c>
      <c r="D963" t="s">
        <v>34</v>
      </c>
      <c r="E963" t="s">
        <v>45</v>
      </c>
      <c r="F963" t="s">
        <v>73</v>
      </c>
    </row>
    <row r="964" spans="1:6" x14ac:dyDescent="0.35">
      <c r="A964" t="s">
        <v>44</v>
      </c>
      <c r="B964" t="s">
        <v>28</v>
      </c>
      <c r="C964" t="s">
        <v>28</v>
      </c>
      <c r="D964" t="s">
        <v>28</v>
      </c>
      <c r="E964" t="s">
        <v>103</v>
      </c>
      <c r="F964" t="s">
        <v>28</v>
      </c>
    </row>
    <row r="965" spans="1:6" x14ac:dyDescent="0.35">
      <c r="A965" t="s">
        <v>28</v>
      </c>
      <c r="B965" t="s">
        <v>60</v>
      </c>
      <c r="C965" t="s">
        <v>28</v>
      </c>
      <c r="D965" t="s">
        <v>173</v>
      </c>
      <c r="E965" t="s">
        <v>28</v>
      </c>
      <c r="F965" t="s">
        <v>94</v>
      </c>
    </row>
    <row r="966" spans="1:6" x14ac:dyDescent="0.35">
      <c r="A966" t="s">
        <v>449</v>
      </c>
      <c r="B966" t="s">
        <v>44</v>
      </c>
      <c r="C966" t="s">
        <v>284</v>
      </c>
      <c r="D966" t="s">
        <v>30</v>
      </c>
      <c r="E966" t="s">
        <v>28</v>
      </c>
      <c r="F966" t="s">
        <v>94</v>
      </c>
    </row>
    <row r="967" spans="1:6" x14ac:dyDescent="0.35">
      <c r="A967" t="s">
        <v>377</v>
      </c>
      <c r="B967" t="s">
        <v>28</v>
      </c>
      <c r="C967" t="s">
        <v>28</v>
      </c>
      <c r="D967" t="s">
        <v>28</v>
      </c>
      <c r="E967" t="s">
        <v>103</v>
      </c>
      <c r="F967" t="s">
        <v>28</v>
      </c>
    </row>
    <row r="968" spans="1:6" x14ac:dyDescent="0.35">
      <c r="A968" t="s">
        <v>28</v>
      </c>
      <c r="B968" t="s">
        <v>28</v>
      </c>
      <c r="C968" t="s">
        <v>284</v>
      </c>
      <c r="D968" t="s">
        <v>28</v>
      </c>
      <c r="E968" t="s">
        <v>103</v>
      </c>
      <c r="F968" t="s">
        <v>35</v>
      </c>
    </row>
    <row r="969" spans="1:6" x14ac:dyDescent="0.35">
      <c r="A969" t="s">
        <v>71</v>
      </c>
      <c r="B969" t="s">
        <v>33</v>
      </c>
      <c r="C969" t="s">
        <v>33</v>
      </c>
      <c r="D969" t="s">
        <v>34</v>
      </c>
      <c r="E969" t="s">
        <v>34</v>
      </c>
      <c r="F969" t="s">
        <v>61</v>
      </c>
    </row>
    <row r="970" spans="1:6" x14ac:dyDescent="0.35">
      <c r="A970" t="s">
        <v>28</v>
      </c>
      <c r="B970" t="s">
        <v>28</v>
      </c>
      <c r="C970" t="s">
        <v>206</v>
      </c>
      <c r="D970" t="s">
        <v>28</v>
      </c>
      <c r="E970" t="s">
        <v>73</v>
      </c>
      <c r="F970" t="s">
        <v>73</v>
      </c>
    </row>
    <row r="971" spans="1:6" x14ac:dyDescent="0.35">
      <c r="A971" t="s">
        <v>344</v>
      </c>
      <c r="B971" t="s">
        <v>60</v>
      </c>
      <c r="C971" t="s">
        <v>44</v>
      </c>
      <c r="D971" t="s">
        <v>30</v>
      </c>
      <c r="E971" t="s">
        <v>30</v>
      </c>
      <c r="F971" t="s">
        <v>28</v>
      </c>
    </row>
    <row r="972" spans="1:6" x14ac:dyDescent="0.35">
      <c r="A972" t="s">
        <v>344</v>
      </c>
      <c r="B972" t="s">
        <v>28</v>
      </c>
      <c r="C972" t="s">
        <v>28</v>
      </c>
      <c r="D972" t="s">
        <v>34</v>
      </c>
      <c r="E972" t="s">
        <v>30</v>
      </c>
      <c r="F972" t="s">
        <v>28</v>
      </c>
    </row>
    <row r="973" spans="1:6" x14ac:dyDescent="0.35">
      <c r="A973" t="s">
        <v>29</v>
      </c>
      <c r="B973" t="s">
        <v>29</v>
      </c>
      <c r="C973" t="s">
        <v>29</v>
      </c>
      <c r="D973" t="s">
        <v>28</v>
      </c>
      <c r="E973" t="s">
        <v>28</v>
      </c>
      <c r="F973" t="s">
        <v>28</v>
      </c>
    </row>
    <row r="974" spans="1:6" x14ac:dyDescent="0.35">
      <c r="A974" t="s">
        <v>344</v>
      </c>
      <c r="B974" t="s">
        <v>197</v>
      </c>
      <c r="C974" t="s">
        <v>284</v>
      </c>
      <c r="D974" t="s">
        <v>30</v>
      </c>
      <c r="E974" t="s">
        <v>30</v>
      </c>
      <c r="F974" t="s">
        <v>28</v>
      </c>
    </row>
    <row r="975" spans="1:6" x14ac:dyDescent="0.35">
      <c r="A975" t="s">
        <v>29</v>
      </c>
      <c r="B975" t="s">
        <v>33</v>
      </c>
      <c r="C975" t="s">
        <v>33</v>
      </c>
      <c r="D975" t="s">
        <v>28</v>
      </c>
      <c r="E975" t="s">
        <v>28</v>
      </c>
      <c r="F975" t="s">
        <v>28</v>
      </c>
    </row>
    <row r="976" spans="1:6" x14ac:dyDescent="0.35">
      <c r="A976" t="s">
        <v>377</v>
      </c>
      <c r="B976" t="s">
        <v>44</v>
      </c>
      <c r="C976" t="s">
        <v>206</v>
      </c>
      <c r="D976" t="s">
        <v>173</v>
      </c>
      <c r="E976" t="s">
        <v>368</v>
      </c>
      <c r="F976" t="s">
        <v>94</v>
      </c>
    </row>
    <row r="977" spans="1:6" x14ac:dyDescent="0.35">
      <c r="A977" t="s">
        <v>28</v>
      </c>
      <c r="B977" t="s">
        <v>197</v>
      </c>
      <c r="C977" t="s">
        <v>28</v>
      </c>
      <c r="D977" t="s">
        <v>197</v>
      </c>
      <c r="E977" t="s">
        <v>28</v>
      </c>
      <c r="F977" t="s">
        <v>61</v>
      </c>
    </row>
    <row r="978" spans="1:6" x14ac:dyDescent="0.35">
      <c r="A978" t="s">
        <v>60</v>
      </c>
      <c r="B978" t="s">
        <v>158</v>
      </c>
      <c r="C978" t="s">
        <v>29</v>
      </c>
      <c r="D978" t="s">
        <v>196</v>
      </c>
      <c r="E978" t="s">
        <v>173</v>
      </c>
      <c r="F978" t="s">
        <v>61</v>
      </c>
    </row>
    <row r="979" spans="1:6" x14ac:dyDescent="0.35">
      <c r="A979" t="s">
        <v>28</v>
      </c>
      <c r="B979" t="s">
        <v>72</v>
      </c>
      <c r="C979" t="s">
        <v>28</v>
      </c>
      <c r="D979" t="s">
        <v>196</v>
      </c>
      <c r="E979" t="s">
        <v>28</v>
      </c>
      <c r="F979" t="s">
        <v>74</v>
      </c>
    </row>
    <row r="980" spans="1:6" x14ac:dyDescent="0.35">
      <c r="A980" t="s">
        <v>60</v>
      </c>
      <c r="B980" t="s">
        <v>29</v>
      </c>
      <c r="C980" t="s">
        <v>29</v>
      </c>
      <c r="D980" t="s">
        <v>173</v>
      </c>
      <c r="E980" t="s">
        <v>173</v>
      </c>
      <c r="F980" t="s">
        <v>292</v>
      </c>
    </row>
    <row r="981" spans="1:6" x14ac:dyDescent="0.35">
      <c r="A981" t="s">
        <v>449</v>
      </c>
      <c r="B981" t="s">
        <v>28</v>
      </c>
      <c r="C981" t="s">
        <v>28</v>
      </c>
      <c r="D981" t="s">
        <v>34</v>
      </c>
      <c r="E981" t="s">
        <v>34</v>
      </c>
      <c r="F981" t="s">
        <v>28</v>
      </c>
    </row>
    <row r="982" spans="1:6" x14ac:dyDescent="0.35">
      <c r="A982" t="s">
        <v>344</v>
      </c>
      <c r="B982" t="s">
        <v>197</v>
      </c>
      <c r="C982" t="s">
        <v>28</v>
      </c>
      <c r="D982" t="s">
        <v>173</v>
      </c>
      <c r="E982" t="s">
        <v>30</v>
      </c>
      <c r="F982" t="s">
        <v>61</v>
      </c>
    </row>
    <row r="983" spans="1:6" x14ac:dyDescent="0.35">
      <c r="A983" t="s">
        <v>28</v>
      </c>
      <c r="B983" t="s">
        <v>28</v>
      </c>
      <c r="C983" t="s">
        <v>28</v>
      </c>
      <c r="D983" t="s">
        <v>28</v>
      </c>
      <c r="E983" t="s">
        <v>34</v>
      </c>
      <c r="F983" t="s">
        <v>74</v>
      </c>
    </row>
    <row r="984" spans="1:6" x14ac:dyDescent="0.35">
      <c r="A984" t="s">
        <v>28</v>
      </c>
      <c r="B984" t="s">
        <v>28</v>
      </c>
      <c r="C984" t="s">
        <v>284</v>
      </c>
      <c r="D984" t="s">
        <v>28</v>
      </c>
      <c r="E984" t="s">
        <v>94</v>
      </c>
      <c r="F984" t="s">
        <v>73</v>
      </c>
    </row>
    <row r="985" spans="1:6" x14ac:dyDescent="0.35">
      <c r="A985" t="s">
        <v>28</v>
      </c>
      <c r="B985" t="s">
        <v>158</v>
      </c>
      <c r="C985" t="s">
        <v>206</v>
      </c>
      <c r="D985" t="s">
        <v>158</v>
      </c>
      <c r="E985" t="s">
        <v>94</v>
      </c>
      <c r="F985" t="s">
        <v>368</v>
      </c>
    </row>
    <row r="986" spans="1:6" x14ac:dyDescent="0.35">
      <c r="A986" t="s">
        <v>29</v>
      </c>
      <c r="B986" t="s">
        <v>33</v>
      </c>
      <c r="C986" t="s">
        <v>60</v>
      </c>
      <c r="D986" t="s">
        <v>28</v>
      </c>
      <c r="E986" t="s">
        <v>45</v>
      </c>
      <c r="F986" t="s">
        <v>45</v>
      </c>
    </row>
    <row r="987" spans="1:6" x14ac:dyDescent="0.35">
      <c r="A987" t="s">
        <v>28</v>
      </c>
      <c r="B987" t="s">
        <v>44</v>
      </c>
      <c r="C987" t="s">
        <v>206</v>
      </c>
      <c r="D987" t="s">
        <v>28</v>
      </c>
      <c r="E987" t="s">
        <v>368</v>
      </c>
      <c r="F987" t="s">
        <v>73</v>
      </c>
    </row>
    <row r="988" spans="1:6" x14ac:dyDescent="0.35">
      <c r="A988" t="s">
        <v>60</v>
      </c>
      <c r="B988" t="s">
        <v>44</v>
      </c>
      <c r="C988" t="s">
        <v>29</v>
      </c>
      <c r="D988" t="s">
        <v>197</v>
      </c>
      <c r="E988" t="s">
        <v>103</v>
      </c>
      <c r="F988" t="s">
        <v>292</v>
      </c>
    </row>
    <row r="989" spans="1:6" x14ac:dyDescent="0.35">
      <c r="A989" t="s">
        <v>28</v>
      </c>
      <c r="B989" t="s">
        <v>197</v>
      </c>
      <c r="C989" t="s">
        <v>206</v>
      </c>
      <c r="D989" t="s">
        <v>197</v>
      </c>
      <c r="E989" t="s">
        <v>94</v>
      </c>
      <c r="F989" t="s">
        <v>73</v>
      </c>
    </row>
    <row r="990" spans="1:6" x14ac:dyDescent="0.35">
      <c r="A990" t="s">
        <v>44</v>
      </c>
      <c r="B990" t="s">
        <v>197</v>
      </c>
      <c r="C990" t="s">
        <v>206</v>
      </c>
      <c r="D990" t="s">
        <v>197</v>
      </c>
      <c r="E990" t="s">
        <v>94</v>
      </c>
      <c r="F990" t="s">
        <v>94</v>
      </c>
    </row>
    <row r="991" spans="1:6" x14ac:dyDescent="0.35">
      <c r="A991" t="s">
        <v>449</v>
      </c>
      <c r="B991" t="s">
        <v>28</v>
      </c>
      <c r="C991" t="s">
        <v>28</v>
      </c>
      <c r="D991" t="s">
        <v>34</v>
      </c>
      <c r="E991" t="s">
        <v>30</v>
      </c>
      <c r="F991" t="s">
        <v>28</v>
      </c>
    </row>
    <row r="992" spans="1:6" x14ac:dyDescent="0.35">
      <c r="A992" t="s">
        <v>449</v>
      </c>
      <c r="B992" t="s">
        <v>44</v>
      </c>
      <c r="C992" t="s">
        <v>60</v>
      </c>
      <c r="D992" t="s">
        <v>30</v>
      </c>
      <c r="E992" t="s">
        <v>30</v>
      </c>
      <c r="F992" t="s">
        <v>292</v>
      </c>
    </row>
    <row r="993" spans="1:6" x14ac:dyDescent="0.35">
      <c r="A993" t="s">
        <v>28</v>
      </c>
      <c r="B993" t="s">
        <v>28</v>
      </c>
      <c r="C993" t="s">
        <v>206</v>
      </c>
      <c r="D993" t="s">
        <v>28</v>
      </c>
      <c r="E993" t="s">
        <v>368</v>
      </c>
      <c r="F993" t="s">
        <v>73</v>
      </c>
    </row>
    <row r="994" spans="1:6" x14ac:dyDescent="0.35">
      <c r="A994" t="s">
        <v>29</v>
      </c>
      <c r="B994" t="s">
        <v>33</v>
      </c>
      <c r="C994" t="s">
        <v>33</v>
      </c>
      <c r="D994" t="s">
        <v>28</v>
      </c>
      <c r="E994" t="s">
        <v>28</v>
      </c>
      <c r="F994" t="s">
        <v>28</v>
      </c>
    </row>
    <row r="995" spans="1:6" x14ac:dyDescent="0.35">
      <c r="A995" t="s">
        <v>377</v>
      </c>
      <c r="B995" t="s">
        <v>196</v>
      </c>
      <c r="C995" t="s">
        <v>157</v>
      </c>
      <c r="D995" t="s">
        <v>196</v>
      </c>
      <c r="E995" t="s">
        <v>103</v>
      </c>
      <c r="F995" t="s">
        <v>61</v>
      </c>
    </row>
    <row r="996" spans="1:6" x14ac:dyDescent="0.35">
      <c r="A996" t="s">
        <v>344</v>
      </c>
      <c r="B996" t="s">
        <v>197</v>
      </c>
      <c r="C996" t="s">
        <v>28</v>
      </c>
      <c r="D996" t="s">
        <v>173</v>
      </c>
      <c r="E996" t="s">
        <v>30</v>
      </c>
      <c r="F996" t="s">
        <v>292</v>
      </c>
    </row>
    <row r="997" spans="1:6" x14ac:dyDescent="0.35">
      <c r="A997" t="s">
        <v>449</v>
      </c>
      <c r="B997" t="s">
        <v>28</v>
      </c>
      <c r="C997" t="s">
        <v>28</v>
      </c>
      <c r="D997" t="s">
        <v>34</v>
      </c>
      <c r="E997" t="s">
        <v>34</v>
      </c>
      <c r="F997" t="s">
        <v>28</v>
      </c>
    </row>
    <row r="998" spans="1:6" x14ac:dyDescent="0.35">
      <c r="A998" t="s">
        <v>60</v>
      </c>
      <c r="B998" t="s">
        <v>60</v>
      </c>
      <c r="C998" t="s">
        <v>284</v>
      </c>
      <c r="D998" t="s">
        <v>173</v>
      </c>
      <c r="E998" t="s">
        <v>368</v>
      </c>
      <c r="F998" t="s">
        <v>94</v>
      </c>
    </row>
    <row r="999" spans="1:6" x14ac:dyDescent="0.35">
      <c r="A999" t="s">
        <v>28</v>
      </c>
      <c r="B999" t="s">
        <v>44</v>
      </c>
      <c r="C999" t="s">
        <v>206</v>
      </c>
      <c r="D999" t="s">
        <v>103</v>
      </c>
      <c r="E999" t="s">
        <v>94</v>
      </c>
      <c r="F999" t="s">
        <v>73</v>
      </c>
    </row>
    <row r="1000" spans="1:6" x14ac:dyDescent="0.35">
      <c r="A1000" t="s">
        <v>29</v>
      </c>
      <c r="B1000" t="s">
        <v>29</v>
      </c>
      <c r="C1000" t="s">
        <v>29</v>
      </c>
      <c r="D1000" t="s">
        <v>197</v>
      </c>
      <c r="E1000" t="s">
        <v>103</v>
      </c>
      <c r="F1000" t="s">
        <v>292</v>
      </c>
    </row>
    <row r="1001" spans="1:6" x14ac:dyDescent="0.35">
      <c r="A1001" t="s">
        <v>28</v>
      </c>
      <c r="B1001" t="s">
        <v>44</v>
      </c>
      <c r="C1001" t="s">
        <v>206</v>
      </c>
      <c r="D1001" t="s">
        <v>173</v>
      </c>
      <c r="E1001" t="s">
        <v>94</v>
      </c>
      <c r="F1001" t="s">
        <v>73</v>
      </c>
    </row>
    <row r="1002" spans="1:6" x14ac:dyDescent="0.35">
      <c r="A1002" t="s">
        <v>344</v>
      </c>
      <c r="B1002" t="s">
        <v>28</v>
      </c>
      <c r="C1002" t="s">
        <v>28</v>
      </c>
      <c r="D1002" t="s">
        <v>34</v>
      </c>
      <c r="E1002" t="s">
        <v>34</v>
      </c>
      <c r="F1002" t="s">
        <v>28</v>
      </c>
    </row>
    <row r="1003" spans="1:6" x14ac:dyDescent="0.35">
      <c r="A1003" t="s">
        <v>449</v>
      </c>
      <c r="B1003" t="s">
        <v>44</v>
      </c>
      <c r="C1003" t="s">
        <v>206</v>
      </c>
      <c r="D1003" t="s">
        <v>158</v>
      </c>
      <c r="E1003" t="s">
        <v>368</v>
      </c>
      <c r="F1003" t="s">
        <v>94</v>
      </c>
    </row>
    <row r="1004" spans="1:6" x14ac:dyDescent="0.35">
      <c r="A1004" t="s">
        <v>28</v>
      </c>
      <c r="B1004" t="s">
        <v>28</v>
      </c>
      <c r="C1004" t="s">
        <v>206</v>
      </c>
      <c r="D1004" t="s">
        <v>28</v>
      </c>
      <c r="E1004" t="s">
        <v>94</v>
      </c>
      <c r="F1004" t="s">
        <v>73</v>
      </c>
    </row>
    <row r="1005" spans="1:6" x14ac:dyDescent="0.35">
      <c r="A1005" t="s">
        <v>344</v>
      </c>
      <c r="B1005" t="s">
        <v>44</v>
      </c>
      <c r="C1005" t="s">
        <v>28</v>
      </c>
      <c r="D1005" t="s">
        <v>34</v>
      </c>
      <c r="E1005" t="s">
        <v>30</v>
      </c>
      <c r="F1005" t="s">
        <v>28</v>
      </c>
    </row>
    <row r="1006" spans="1:6" x14ac:dyDescent="0.35">
      <c r="A1006" t="s">
        <v>344</v>
      </c>
      <c r="B1006" t="s">
        <v>60</v>
      </c>
      <c r="C1006" t="s">
        <v>60</v>
      </c>
      <c r="D1006" t="s">
        <v>30</v>
      </c>
      <c r="E1006" t="s">
        <v>30</v>
      </c>
      <c r="F1006" t="s">
        <v>45</v>
      </c>
    </row>
    <row r="1007" spans="1:6" x14ac:dyDescent="0.35">
      <c r="A1007" t="s">
        <v>28</v>
      </c>
      <c r="B1007" t="s">
        <v>28</v>
      </c>
      <c r="C1007" t="s">
        <v>206</v>
      </c>
      <c r="D1007" t="s">
        <v>28</v>
      </c>
      <c r="E1007" t="s">
        <v>94</v>
      </c>
      <c r="F1007" t="s">
        <v>73</v>
      </c>
    </row>
    <row r="1008" spans="1:6" x14ac:dyDescent="0.35">
      <c r="A1008" t="s">
        <v>28</v>
      </c>
      <c r="B1008" t="s">
        <v>28</v>
      </c>
      <c r="C1008" t="s">
        <v>206</v>
      </c>
      <c r="D1008" t="s">
        <v>28</v>
      </c>
      <c r="E1008" t="s">
        <v>94</v>
      </c>
      <c r="F1008" t="s">
        <v>94</v>
      </c>
    </row>
    <row r="1009" spans="1:6" x14ac:dyDescent="0.35">
      <c r="A1009" t="s">
        <v>60</v>
      </c>
      <c r="B1009" t="s">
        <v>29</v>
      </c>
      <c r="C1009" t="s">
        <v>29</v>
      </c>
      <c r="D1009" t="s">
        <v>173</v>
      </c>
      <c r="E1009" t="s">
        <v>173</v>
      </c>
      <c r="F1009" t="s">
        <v>35</v>
      </c>
    </row>
    <row r="1010" spans="1:6" x14ac:dyDescent="0.35">
      <c r="A1010" t="s">
        <v>60</v>
      </c>
      <c r="B1010" t="s">
        <v>60</v>
      </c>
      <c r="C1010" t="s">
        <v>284</v>
      </c>
      <c r="D1010" t="s">
        <v>173</v>
      </c>
      <c r="E1010" t="s">
        <v>368</v>
      </c>
      <c r="F1010" t="s">
        <v>94</v>
      </c>
    </row>
    <row r="1011" spans="1:6" x14ac:dyDescent="0.35">
      <c r="A1011" t="s">
        <v>29</v>
      </c>
      <c r="B1011" t="s">
        <v>29</v>
      </c>
      <c r="C1011" t="s">
        <v>29</v>
      </c>
      <c r="D1011" t="s">
        <v>30</v>
      </c>
      <c r="E1011" t="s">
        <v>30</v>
      </c>
      <c r="F1011" t="s">
        <v>61</v>
      </c>
    </row>
    <row r="1012" spans="1:6" x14ac:dyDescent="0.35">
      <c r="A1012" t="s">
        <v>28</v>
      </c>
      <c r="B1012" t="s">
        <v>28</v>
      </c>
      <c r="C1012" t="s">
        <v>28</v>
      </c>
      <c r="D1012" t="s">
        <v>28</v>
      </c>
      <c r="E1012" t="s">
        <v>28</v>
      </c>
      <c r="F1012" t="s">
        <v>28</v>
      </c>
    </row>
    <row r="1013" spans="1:6" x14ac:dyDescent="0.35">
      <c r="A1013" t="s">
        <v>377</v>
      </c>
      <c r="B1013" t="s">
        <v>28</v>
      </c>
      <c r="C1013" t="s">
        <v>28</v>
      </c>
      <c r="D1013" t="s">
        <v>30</v>
      </c>
      <c r="E1013" t="s">
        <v>28</v>
      </c>
      <c r="F1013" t="s">
        <v>28</v>
      </c>
    </row>
    <row r="1014" spans="1:6" x14ac:dyDescent="0.35">
      <c r="A1014" t="s">
        <v>28</v>
      </c>
      <c r="B1014" t="s">
        <v>28</v>
      </c>
      <c r="C1014" t="s">
        <v>206</v>
      </c>
      <c r="D1014" t="s">
        <v>28</v>
      </c>
      <c r="E1014" t="s">
        <v>94</v>
      </c>
      <c r="F1014" t="s">
        <v>73</v>
      </c>
    </row>
    <row r="1015" spans="1:6" x14ac:dyDescent="0.35">
      <c r="A1015" t="s">
        <v>60</v>
      </c>
      <c r="B1015" t="s">
        <v>29</v>
      </c>
      <c r="C1015" t="s">
        <v>44</v>
      </c>
      <c r="D1015" t="s">
        <v>173</v>
      </c>
      <c r="E1015" t="s">
        <v>368</v>
      </c>
      <c r="F1015" t="s">
        <v>368</v>
      </c>
    </row>
    <row r="1016" spans="1:6" x14ac:dyDescent="0.35">
      <c r="A1016" t="s">
        <v>71</v>
      </c>
      <c r="B1016" t="s">
        <v>28</v>
      </c>
      <c r="C1016" t="s">
        <v>28</v>
      </c>
      <c r="D1016" t="s">
        <v>34</v>
      </c>
      <c r="E1016" t="s">
        <v>34</v>
      </c>
      <c r="F1016" t="s">
        <v>28</v>
      </c>
    </row>
    <row r="1017" spans="1:6" x14ac:dyDescent="0.35">
      <c r="A1017" t="s">
        <v>28</v>
      </c>
      <c r="B1017" t="s">
        <v>28</v>
      </c>
      <c r="C1017" t="s">
        <v>206</v>
      </c>
      <c r="D1017" t="s">
        <v>28</v>
      </c>
      <c r="E1017" t="s">
        <v>368</v>
      </c>
      <c r="F1017" t="s">
        <v>73</v>
      </c>
    </row>
    <row r="1018" spans="1:6" x14ac:dyDescent="0.35">
      <c r="A1018" t="s">
        <v>60</v>
      </c>
      <c r="B1018" t="s">
        <v>33</v>
      </c>
      <c r="C1018" t="s">
        <v>29</v>
      </c>
      <c r="D1018" t="s">
        <v>28</v>
      </c>
      <c r="E1018" t="s">
        <v>28</v>
      </c>
      <c r="F1018" t="s">
        <v>28</v>
      </c>
    </row>
    <row r="1019" spans="1:6" x14ac:dyDescent="0.35">
      <c r="A1019" t="s">
        <v>344</v>
      </c>
      <c r="B1019" t="s">
        <v>28</v>
      </c>
      <c r="C1019" t="s">
        <v>28</v>
      </c>
      <c r="D1019" t="s">
        <v>34</v>
      </c>
      <c r="E1019" t="s">
        <v>34</v>
      </c>
      <c r="F1019" t="s">
        <v>28</v>
      </c>
    </row>
    <row r="1020" spans="1:6" x14ac:dyDescent="0.35">
      <c r="A1020" t="s">
        <v>28</v>
      </c>
      <c r="B1020" t="s">
        <v>28</v>
      </c>
      <c r="C1020" t="s">
        <v>206</v>
      </c>
      <c r="D1020" t="s">
        <v>28</v>
      </c>
      <c r="E1020" t="s">
        <v>368</v>
      </c>
      <c r="F1020" t="s">
        <v>73</v>
      </c>
    </row>
    <row r="1021" spans="1:6" x14ac:dyDescent="0.35">
      <c r="A1021" t="s">
        <v>28</v>
      </c>
      <c r="B1021" t="s">
        <v>158</v>
      </c>
      <c r="C1021" t="s">
        <v>73</v>
      </c>
      <c r="D1021" t="s">
        <v>158</v>
      </c>
      <c r="E1021" t="s">
        <v>94</v>
      </c>
      <c r="F1021" t="s">
        <v>368</v>
      </c>
    </row>
    <row r="1022" spans="1:6" x14ac:dyDescent="0.35">
      <c r="A1022" t="s">
        <v>60</v>
      </c>
      <c r="B1022" t="s">
        <v>60</v>
      </c>
      <c r="C1022" t="s">
        <v>29</v>
      </c>
      <c r="D1022" t="s">
        <v>28</v>
      </c>
      <c r="E1022" t="s">
        <v>28</v>
      </c>
      <c r="F1022" t="s">
        <v>28</v>
      </c>
    </row>
    <row r="1023" spans="1:6" x14ac:dyDescent="0.35">
      <c r="A1023" t="s">
        <v>449</v>
      </c>
      <c r="B1023" t="s">
        <v>28</v>
      </c>
      <c r="C1023" t="s">
        <v>28</v>
      </c>
      <c r="D1023" t="s">
        <v>34</v>
      </c>
      <c r="E1023" t="s">
        <v>173</v>
      </c>
      <c r="F1023" t="s">
        <v>28</v>
      </c>
    </row>
    <row r="1024" spans="1:6" x14ac:dyDescent="0.35">
      <c r="A1024" t="s">
        <v>449</v>
      </c>
      <c r="B1024" t="s">
        <v>28</v>
      </c>
      <c r="C1024" t="s">
        <v>284</v>
      </c>
      <c r="D1024" t="s">
        <v>30</v>
      </c>
      <c r="E1024" t="s">
        <v>28</v>
      </c>
      <c r="F1024" t="s">
        <v>94</v>
      </c>
    </row>
    <row r="1025" spans="1:6" x14ac:dyDescent="0.35">
      <c r="A1025" t="s">
        <v>28</v>
      </c>
      <c r="B1025" t="s">
        <v>29</v>
      </c>
      <c r="C1025" t="s">
        <v>60</v>
      </c>
      <c r="D1025" t="s">
        <v>30</v>
      </c>
      <c r="E1025" t="s">
        <v>103</v>
      </c>
      <c r="F1025" t="s">
        <v>28</v>
      </c>
    </row>
    <row r="1026" spans="1:6" x14ac:dyDescent="0.35">
      <c r="A1026" t="s">
        <v>344</v>
      </c>
      <c r="B1026" t="s">
        <v>60</v>
      </c>
      <c r="C1026" t="s">
        <v>44</v>
      </c>
      <c r="D1026" t="s">
        <v>30</v>
      </c>
      <c r="E1026" t="s">
        <v>30</v>
      </c>
      <c r="F1026" t="s">
        <v>35</v>
      </c>
    </row>
    <row r="1027" spans="1:6" x14ac:dyDescent="0.35">
      <c r="A1027" t="s">
        <v>449</v>
      </c>
      <c r="B1027" t="s">
        <v>28</v>
      </c>
      <c r="C1027" t="s">
        <v>206</v>
      </c>
      <c r="D1027" t="s">
        <v>30</v>
      </c>
      <c r="E1027" t="s">
        <v>28</v>
      </c>
      <c r="F1027" t="s">
        <v>73</v>
      </c>
    </row>
    <row r="1028" spans="1:6" x14ac:dyDescent="0.35">
      <c r="A1028" t="s">
        <v>344</v>
      </c>
      <c r="B1028" t="s">
        <v>44</v>
      </c>
      <c r="C1028" t="s">
        <v>44</v>
      </c>
      <c r="D1028" t="s">
        <v>30</v>
      </c>
      <c r="E1028" t="s">
        <v>30</v>
      </c>
      <c r="F1028" t="s">
        <v>28</v>
      </c>
    </row>
    <row r="1029" spans="1:6" x14ac:dyDescent="0.35">
      <c r="A1029" t="s">
        <v>44</v>
      </c>
      <c r="B1029" t="s">
        <v>197</v>
      </c>
      <c r="C1029" t="s">
        <v>44</v>
      </c>
      <c r="D1029" t="s">
        <v>197</v>
      </c>
      <c r="E1029" t="s">
        <v>103</v>
      </c>
      <c r="F1029" t="s">
        <v>61</v>
      </c>
    </row>
    <row r="1030" spans="1:6" x14ac:dyDescent="0.35">
      <c r="A1030" t="s">
        <v>449</v>
      </c>
      <c r="B1030" t="s">
        <v>197</v>
      </c>
      <c r="C1030" t="s">
        <v>44</v>
      </c>
      <c r="D1030" t="s">
        <v>197</v>
      </c>
      <c r="E1030" t="s">
        <v>103</v>
      </c>
      <c r="F1030" t="s">
        <v>61</v>
      </c>
    </row>
    <row r="1031" spans="1:6" x14ac:dyDescent="0.35">
      <c r="A1031" t="s">
        <v>28</v>
      </c>
      <c r="B1031" t="s">
        <v>33</v>
      </c>
      <c r="C1031" t="s">
        <v>60</v>
      </c>
      <c r="D1031" t="s">
        <v>30</v>
      </c>
      <c r="E1031" t="s">
        <v>173</v>
      </c>
      <c r="F1031" t="s">
        <v>28</v>
      </c>
    </row>
    <row r="1032" spans="1:6" x14ac:dyDescent="0.35">
      <c r="A1032" t="s">
        <v>28</v>
      </c>
      <c r="B1032" t="s">
        <v>28</v>
      </c>
      <c r="C1032" t="s">
        <v>284</v>
      </c>
      <c r="D1032" t="s">
        <v>28</v>
      </c>
      <c r="E1032" t="s">
        <v>45</v>
      </c>
      <c r="F1032" t="s">
        <v>73</v>
      </c>
    </row>
    <row r="1033" spans="1:6" x14ac:dyDescent="0.35">
      <c r="A1033" t="s">
        <v>449</v>
      </c>
      <c r="B1033" t="s">
        <v>44</v>
      </c>
      <c r="C1033" t="s">
        <v>157</v>
      </c>
      <c r="D1033" t="s">
        <v>30</v>
      </c>
      <c r="E1033" t="s">
        <v>30</v>
      </c>
      <c r="F1033" t="s">
        <v>368</v>
      </c>
    </row>
    <row r="1034" spans="1:6" x14ac:dyDescent="0.35">
      <c r="A1034" t="s">
        <v>60</v>
      </c>
      <c r="B1034" t="s">
        <v>28</v>
      </c>
      <c r="C1034" t="s">
        <v>29</v>
      </c>
      <c r="D1034" t="s">
        <v>197</v>
      </c>
      <c r="E1034" t="s">
        <v>28</v>
      </c>
      <c r="F1034" t="s">
        <v>292</v>
      </c>
    </row>
    <row r="1035" spans="1:6" x14ac:dyDescent="0.35">
      <c r="A1035" t="s">
        <v>28</v>
      </c>
      <c r="B1035" t="s">
        <v>44</v>
      </c>
      <c r="C1035" t="s">
        <v>284</v>
      </c>
      <c r="D1035" t="s">
        <v>103</v>
      </c>
      <c r="E1035" t="s">
        <v>368</v>
      </c>
      <c r="F1035" t="s">
        <v>368</v>
      </c>
    </row>
    <row r="1036" spans="1:6" x14ac:dyDescent="0.35">
      <c r="A1036" t="s">
        <v>28</v>
      </c>
      <c r="B1036" t="s">
        <v>33</v>
      </c>
      <c r="C1036" t="s">
        <v>60</v>
      </c>
      <c r="D1036" t="s">
        <v>173</v>
      </c>
      <c r="E1036" t="s">
        <v>173</v>
      </c>
      <c r="F1036" t="s">
        <v>28</v>
      </c>
    </row>
    <row r="1037" spans="1:6" x14ac:dyDescent="0.35">
      <c r="A1037" t="s">
        <v>28</v>
      </c>
      <c r="B1037" t="s">
        <v>158</v>
      </c>
      <c r="C1037" t="s">
        <v>284</v>
      </c>
      <c r="D1037" t="s">
        <v>158</v>
      </c>
      <c r="E1037" t="s">
        <v>45</v>
      </c>
      <c r="F1037" t="s">
        <v>28</v>
      </c>
    </row>
    <row r="1038" spans="1:6" x14ac:dyDescent="0.35">
      <c r="A1038" t="s">
        <v>28</v>
      </c>
      <c r="B1038" t="s">
        <v>196</v>
      </c>
      <c r="C1038" t="s">
        <v>28</v>
      </c>
      <c r="D1038" t="s">
        <v>196</v>
      </c>
      <c r="E1038" t="s">
        <v>28</v>
      </c>
      <c r="F1038" t="s">
        <v>61</v>
      </c>
    </row>
    <row r="1039" spans="1:6" x14ac:dyDescent="0.35">
      <c r="A1039" t="s">
        <v>44</v>
      </c>
      <c r="B1039" t="s">
        <v>60</v>
      </c>
      <c r="C1039" t="s">
        <v>28</v>
      </c>
      <c r="D1039" t="s">
        <v>28</v>
      </c>
      <c r="E1039" t="s">
        <v>45</v>
      </c>
      <c r="F1039" t="s">
        <v>368</v>
      </c>
    </row>
    <row r="1040" spans="1:6" x14ac:dyDescent="0.35">
      <c r="A1040" t="s">
        <v>449</v>
      </c>
      <c r="B1040" t="s">
        <v>197</v>
      </c>
      <c r="C1040" t="s">
        <v>44</v>
      </c>
      <c r="D1040" t="s">
        <v>197</v>
      </c>
      <c r="E1040" t="s">
        <v>173</v>
      </c>
      <c r="F1040" t="s">
        <v>61</v>
      </c>
    </row>
    <row r="1041" spans="1:6" x14ac:dyDescent="0.35">
      <c r="A1041" t="s">
        <v>28</v>
      </c>
      <c r="B1041" t="s">
        <v>60</v>
      </c>
      <c r="C1041" t="s">
        <v>28</v>
      </c>
      <c r="D1041" t="s">
        <v>30</v>
      </c>
      <c r="E1041" t="s">
        <v>28</v>
      </c>
      <c r="F1041" t="s">
        <v>94</v>
      </c>
    </row>
    <row r="1042" spans="1:6" x14ac:dyDescent="0.35">
      <c r="A1042" t="s">
        <v>344</v>
      </c>
      <c r="B1042" t="s">
        <v>197</v>
      </c>
      <c r="C1042" t="s">
        <v>284</v>
      </c>
      <c r="D1042" t="s">
        <v>30</v>
      </c>
      <c r="E1042" t="s">
        <v>30</v>
      </c>
      <c r="F1042" t="s">
        <v>28</v>
      </c>
    </row>
    <row r="1043" spans="1:6" x14ac:dyDescent="0.35">
      <c r="A1043" t="s">
        <v>29</v>
      </c>
      <c r="B1043" t="s">
        <v>29</v>
      </c>
      <c r="C1043" t="s">
        <v>29</v>
      </c>
      <c r="D1043" t="s">
        <v>103</v>
      </c>
      <c r="E1043" t="s">
        <v>103</v>
      </c>
      <c r="F1043" t="s">
        <v>45</v>
      </c>
    </row>
    <row r="1044" spans="1:6" x14ac:dyDescent="0.35">
      <c r="A1044" t="s">
        <v>28</v>
      </c>
      <c r="B1044" t="s">
        <v>29</v>
      </c>
      <c r="C1044" t="s">
        <v>29</v>
      </c>
      <c r="D1044" t="s">
        <v>30</v>
      </c>
      <c r="E1044" t="s">
        <v>30</v>
      </c>
      <c r="F1044" t="s">
        <v>28</v>
      </c>
    </row>
    <row r="1045" spans="1:6" x14ac:dyDescent="0.35">
      <c r="A1045" t="s">
        <v>28</v>
      </c>
      <c r="B1045" t="s">
        <v>28</v>
      </c>
      <c r="C1045" t="s">
        <v>284</v>
      </c>
      <c r="D1045" t="s">
        <v>28</v>
      </c>
      <c r="E1045" t="s">
        <v>368</v>
      </c>
      <c r="F1045" t="s">
        <v>94</v>
      </c>
    </row>
    <row r="1046" spans="1:6" x14ac:dyDescent="0.35">
      <c r="A1046" t="s">
        <v>28</v>
      </c>
      <c r="B1046" t="s">
        <v>197</v>
      </c>
      <c r="C1046" t="s">
        <v>206</v>
      </c>
      <c r="D1046" t="s">
        <v>103</v>
      </c>
      <c r="E1046" t="s">
        <v>94</v>
      </c>
      <c r="F1046" t="s">
        <v>94</v>
      </c>
    </row>
    <row r="1047" spans="1:6" x14ac:dyDescent="0.35">
      <c r="A1047" t="s">
        <v>60</v>
      </c>
      <c r="B1047" t="s">
        <v>29</v>
      </c>
      <c r="C1047" t="s">
        <v>60</v>
      </c>
      <c r="D1047" t="s">
        <v>28</v>
      </c>
      <c r="E1047" t="s">
        <v>28</v>
      </c>
      <c r="F1047" t="s">
        <v>28</v>
      </c>
    </row>
    <row r="1048" spans="1:6" x14ac:dyDescent="0.35">
      <c r="A1048" t="s">
        <v>28</v>
      </c>
      <c r="B1048" t="s">
        <v>28</v>
      </c>
      <c r="C1048" t="s">
        <v>284</v>
      </c>
      <c r="D1048" t="s">
        <v>28</v>
      </c>
      <c r="E1048" t="s">
        <v>368</v>
      </c>
      <c r="F1048" t="s">
        <v>94</v>
      </c>
    </row>
    <row r="1049" spans="1:6" x14ac:dyDescent="0.35">
      <c r="A1049" t="s">
        <v>44</v>
      </c>
      <c r="B1049" t="s">
        <v>158</v>
      </c>
      <c r="C1049" t="s">
        <v>28</v>
      </c>
      <c r="D1049" t="s">
        <v>158</v>
      </c>
      <c r="E1049" t="s">
        <v>28</v>
      </c>
      <c r="F1049" t="s">
        <v>35</v>
      </c>
    </row>
    <row r="1050" spans="1:6" x14ac:dyDescent="0.35">
      <c r="A1050" t="s">
        <v>449</v>
      </c>
      <c r="B1050" t="s">
        <v>28</v>
      </c>
      <c r="C1050" t="s">
        <v>28</v>
      </c>
      <c r="D1050" t="s">
        <v>34</v>
      </c>
      <c r="E1050" t="s">
        <v>30</v>
      </c>
      <c r="F1050" t="s">
        <v>28</v>
      </c>
    </row>
    <row r="1051" spans="1:6" x14ac:dyDescent="0.35">
      <c r="A1051" t="s">
        <v>449</v>
      </c>
      <c r="B1051" t="s">
        <v>44</v>
      </c>
      <c r="C1051" t="s">
        <v>284</v>
      </c>
      <c r="D1051" t="s">
        <v>103</v>
      </c>
      <c r="E1051" t="s">
        <v>368</v>
      </c>
      <c r="F1051" t="s">
        <v>94</v>
      </c>
    </row>
    <row r="1052" spans="1:6" x14ac:dyDescent="0.35">
      <c r="A1052" t="s">
        <v>344</v>
      </c>
      <c r="B1052" t="s">
        <v>28</v>
      </c>
      <c r="C1052" t="s">
        <v>28</v>
      </c>
      <c r="D1052" t="s">
        <v>34</v>
      </c>
      <c r="E1052" t="s">
        <v>34</v>
      </c>
      <c r="F1052" t="s">
        <v>28</v>
      </c>
    </row>
    <row r="1053" spans="1:6" x14ac:dyDescent="0.35">
      <c r="A1053" t="s">
        <v>377</v>
      </c>
      <c r="B1053" t="s">
        <v>197</v>
      </c>
      <c r="C1053" t="s">
        <v>44</v>
      </c>
      <c r="D1053" t="s">
        <v>197</v>
      </c>
      <c r="E1053" t="s">
        <v>103</v>
      </c>
      <c r="F1053" t="s">
        <v>292</v>
      </c>
    </row>
    <row r="1054" spans="1:6" x14ac:dyDescent="0.35">
      <c r="A1054" t="s">
        <v>377</v>
      </c>
      <c r="B1054" t="s">
        <v>44</v>
      </c>
      <c r="C1054" t="s">
        <v>206</v>
      </c>
      <c r="D1054" t="s">
        <v>103</v>
      </c>
      <c r="E1054" t="s">
        <v>94</v>
      </c>
      <c r="F1054" t="s">
        <v>94</v>
      </c>
    </row>
    <row r="1055" spans="1:6" x14ac:dyDescent="0.35">
      <c r="A1055" t="s">
        <v>344</v>
      </c>
      <c r="B1055" t="s">
        <v>158</v>
      </c>
      <c r="C1055" t="s">
        <v>44</v>
      </c>
      <c r="D1055" t="s">
        <v>158</v>
      </c>
      <c r="E1055" t="s">
        <v>368</v>
      </c>
      <c r="F1055" t="s">
        <v>94</v>
      </c>
    </row>
    <row r="1056" spans="1:6" x14ac:dyDescent="0.35">
      <c r="A1056" t="s">
        <v>28</v>
      </c>
      <c r="B1056" t="s">
        <v>33</v>
      </c>
      <c r="C1056" t="s">
        <v>284</v>
      </c>
      <c r="D1056" t="s">
        <v>196</v>
      </c>
      <c r="E1056" t="s">
        <v>94</v>
      </c>
      <c r="F1056" t="s">
        <v>61</v>
      </c>
    </row>
    <row r="1057" spans="1:6" x14ac:dyDescent="0.35">
      <c r="A1057" t="s">
        <v>44</v>
      </c>
      <c r="B1057" t="s">
        <v>28</v>
      </c>
      <c r="C1057" t="s">
        <v>29</v>
      </c>
      <c r="D1057" t="s">
        <v>158</v>
      </c>
      <c r="E1057" t="s">
        <v>30</v>
      </c>
      <c r="F1057" t="s">
        <v>35</v>
      </c>
    </row>
    <row r="1058" spans="1:6" x14ac:dyDescent="0.35">
      <c r="A1058" t="s">
        <v>449</v>
      </c>
      <c r="B1058" t="s">
        <v>44</v>
      </c>
      <c r="C1058" t="s">
        <v>44</v>
      </c>
      <c r="D1058" t="s">
        <v>28</v>
      </c>
      <c r="E1058" t="s">
        <v>368</v>
      </c>
      <c r="F1058" t="s">
        <v>35</v>
      </c>
    </row>
    <row r="1059" spans="1:6" x14ac:dyDescent="0.35">
      <c r="A1059" t="s">
        <v>29</v>
      </c>
      <c r="B1059" t="s">
        <v>29</v>
      </c>
      <c r="C1059" t="s">
        <v>29</v>
      </c>
      <c r="D1059" t="s">
        <v>30</v>
      </c>
      <c r="E1059" t="s">
        <v>30</v>
      </c>
      <c r="F1059" t="s">
        <v>61</v>
      </c>
    </row>
    <row r="1060" spans="1:6" x14ac:dyDescent="0.35">
      <c r="A1060" t="s">
        <v>449</v>
      </c>
      <c r="B1060" t="s">
        <v>196</v>
      </c>
      <c r="C1060" t="s">
        <v>284</v>
      </c>
      <c r="D1060" t="s">
        <v>103</v>
      </c>
      <c r="E1060" t="s">
        <v>173</v>
      </c>
      <c r="F1060" t="s">
        <v>61</v>
      </c>
    </row>
    <row r="1061" spans="1:6" x14ac:dyDescent="0.35">
      <c r="A1061" t="s">
        <v>28</v>
      </c>
      <c r="B1061" t="s">
        <v>28</v>
      </c>
      <c r="C1061" t="s">
        <v>44</v>
      </c>
      <c r="D1061" t="s">
        <v>103</v>
      </c>
      <c r="E1061" t="s">
        <v>103</v>
      </c>
      <c r="F1061" t="s">
        <v>35</v>
      </c>
    </row>
    <row r="1062" spans="1:6" x14ac:dyDescent="0.35">
      <c r="A1062" t="s">
        <v>377</v>
      </c>
      <c r="B1062" t="s">
        <v>158</v>
      </c>
      <c r="C1062" t="s">
        <v>44</v>
      </c>
      <c r="D1062" t="s">
        <v>103</v>
      </c>
      <c r="E1062" t="s">
        <v>103</v>
      </c>
      <c r="F1062" t="s">
        <v>45</v>
      </c>
    </row>
    <row r="1063" spans="1:6" x14ac:dyDescent="0.35">
      <c r="A1063" t="s">
        <v>33</v>
      </c>
      <c r="B1063" t="s">
        <v>33</v>
      </c>
      <c r="C1063" t="s">
        <v>33</v>
      </c>
      <c r="D1063" t="s">
        <v>30</v>
      </c>
      <c r="E1063" t="s">
        <v>30</v>
      </c>
      <c r="F1063" t="s">
        <v>74</v>
      </c>
    </row>
    <row r="1064" spans="1:6" x14ac:dyDescent="0.35">
      <c r="A1064" t="s">
        <v>33</v>
      </c>
      <c r="B1064" t="s">
        <v>60</v>
      </c>
      <c r="C1064" t="s">
        <v>44</v>
      </c>
      <c r="D1064" t="s">
        <v>30</v>
      </c>
      <c r="E1064" t="s">
        <v>34</v>
      </c>
      <c r="F1064" t="s">
        <v>292</v>
      </c>
    </row>
    <row r="1065" spans="1:6" x14ac:dyDescent="0.35">
      <c r="A1065" t="s">
        <v>44</v>
      </c>
      <c r="B1065" t="s">
        <v>29</v>
      </c>
      <c r="C1065" t="s">
        <v>33</v>
      </c>
      <c r="D1065" t="s">
        <v>30</v>
      </c>
      <c r="E1065" t="s">
        <v>173</v>
      </c>
      <c r="F1065" t="s">
        <v>35</v>
      </c>
    </row>
    <row r="1066" spans="1:6" x14ac:dyDescent="0.35">
      <c r="A1066" t="s">
        <v>28</v>
      </c>
      <c r="B1066" t="s">
        <v>44</v>
      </c>
      <c r="C1066" t="s">
        <v>60</v>
      </c>
      <c r="D1066" t="s">
        <v>30</v>
      </c>
      <c r="E1066" t="s">
        <v>94</v>
      </c>
      <c r="F1066" t="s">
        <v>368</v>
      </c>
    </row>
    <row r="1067" spans="1:6" x14ac:dyDescent="0.35">
      <c r="A1067" t="s">
        <v>71</v>
      </c>
      <c r="B1067" t="s">
        <v>197</v>
      </c>
      <c r="C1067" t="s">
        <v>157</v>
      </c>
      <c r="D1067" t="s">
        <v>103</v>
      </c>
      <c r="E1067" t="s">
        <v>28</v>
      </c>
      <c r="F1067" t="s">
        <v>35</v>
      </c>
    </row>
    <row r="1068" spans="1:6" x14ac:dyDescent="0.35">
      <c r="A1068" t="s">
        <v>449</v>
      </c>
      <c r="B1068" t="s">
        <v>28</v>
      </c>
      <c r="C1068" t="s">
        <v>28</v>
      </c>
      <c r="D1068" t="s">
        <v>103</v>
      </c>
      <c r="E1068" t="s">
        <v>28</v>
      </c>
      <c r="F1068" t="s">
        <v>28</v>
      </c>
    </row>
    <row r="1069" spans="1:6" x14ac:dyDescent="0.35">
      <c r="A1069" t="s">
        <v>344</v>
      </c>
      <c r="B1069" t="s">
        <v>44</v>
      </c>
      <c r="C1069" t="s">
        <v>29</v>
      </c>
      <c r="D1069" t="s">
        <v>196</v>
      </c>
      <c r="E1069" t="s">
        <v>73</v>
      </c>
      <c r="F1069" t="s">
        <v>368</v>
      </c>
    </row>
    <row r="1070" spans="1:6" x14ac:dyDescent="0.35">
      <c r="A1070" t="s">
        <v>29</v>
      </c>
      <c r="B1070" t="s">
        <v>29</v>
      </c>
      <c r="C1070" t="s">
        <v>60</v>
      </c>
      <c r="D1070" t="s">
        <v>158</v>
      </c>
      <c r="E1070" t="s">
        <v>368</v>
      </c>
      <c r="F1070" t="s">
        <v>368</v>
      </c>
    </row>
    <row r="1071" spans="1:6" x14ac:dyDescent="0.35">
      <c r="A1071" t="s">
        <v>60</v>
      </c>
      <c r="B1071" t="s">
        <v>197</v>
      </c>
      <c r="C1071" t="s">
        <v>284</v>
      </c>
      <c r="D1071" t="s">
        <v>158</v>
      </c>
      <c r="E1071" t="s">
        <v>103</v>
      </c>
      <c r="F1071" t="s">
        <v>292</v>
      </c>
    </row>
    <row r="1072" spans="1:6" x14ac:dyDescent="0.35">
      <c r="A1072" t="s">
        <v>29</v>
      </c>
      <c r="B1072" t="s">
        <v>28</v>
      </c>
      <c r="C1072" t="s">
        <v>28</v>
      </c>
      <c r="D1072" t="s">
        <v>28</v>
      </c>
      <c r="E1072" t="s">
        <v>28</v>
      </c>
      <c r="F1072" t="s">
        <v>28</v>
      </c>
    </row>
    <row r="1073" spans="1:6" x14ac:dyDescent="0.35">
      <c r="A1073" t="s">
        <v>377</v>
      </c>
      <c r="B1073" t="s">
        <v>28</v>
      </c>
      <c r="C1073" t="s">
        <v>28</v>
      </c>
      <c r="D1073" t="s">
        <v>28</v>
      </c>
      <c r="E1073" t="s">
        <v>28</v>
      </c>
      <c r="F1073" t="s">
        <v>28</v>
      </c>
    </row>
    <row r="1074" spans="1:6" x14ac:dyDescent="0.35">
      <c r="A1074" t="s">
        <v>28</v>
      </c>
      <c r="B1074" t="s">
        <v>28</v>
      </c>
      <c r="C1074" t="s">
        <v>28</v>
      </c>
      <c r="D1074" t="s">
        <v>28</v>
      </c>
      <c r="E1074" t="s">
        <v>45</v>
      </c>
      <c r="F1074" t="s">
        <v>35</v>
      </c>
    </row>
    <row r="1075" spans="1:6" x14ac:dyDescent="0.35">
      <c r="A1075" t="s">
        <v>33</v>
      </c>
      <c r="B1075" t="s">
        <v>29</v>
      </c>
      <c r="C1075" t="s">
        <v>29</v>
      </c>
      <c r="D1075" t="s">
        <v>30</v>
      </c>
      <c r="E1075" t="s">
        <v>173</v>
      </c>
      <c r="F1075" t="s">
        <v>292</v>
      </c>
    </row>
    <row r="1076" spans="1:6" x14ac:dyDescent="0.35">
      <c r="A1076" t="s">
        <v>33</v>
      </c>
      <c r="B1076" t="s">
        <v>60</v>
      </c>
      <c r="C1076" t="s">
        <v>60</v>
      </c>
      <c r="D1076" t="s">
        <v>30</v>
      </c>
      <c r="E1076" t="s">
        <v>173</v>
      </c>
      <c r="F1076" t="s">
        <v>45</v>
      </c>
    </row>
    <row r="1077" spans="1:6" x14ac:dyDescent="0.35">
      <c r="A1077" t="s">
        <v>33</v>
      </c>
      <c r="B1077" t="s">
        <v>33</v>
      </c>
      <c r="C1077" t="s">
        <v>33</v>
      </c>
      <c r="D1077" t="s">
        <v>30</v>
      </c>
      <c r="E1077" t="s">
        <v>45</v>
      </c>
      <c r="F1077" t="s">
        <v>292</v>
      </c>
    </row>
    <row r="1078" spans="1:6" x14ac:dyDescent="0.35">
      <c r="A1078" t="s">
        <v>33</v>
      </c>
      <c r="B1078" t="s">
        <v>29</v>
      </c>
      <c r="C1078" t="s">
        <v>33</v>
      </c>
      <c r="D1078" t="s">
        <v>34</v>
      </c>
      <c r="E1078" t="s">
        <v>34</v>
      </c>
      <c r="F1078" t="s">
        <v>74</v>
      </c>
    </row>
    <row r="1079" spans="1:6" x14ac:dyDescent="0.35">
      <c r="A1079" t="s">
        <v>33</v>
      </c>
      <c r="B1079" t="s">
        <v>29</v>
      </c>
      <c r="C1079" t="s">
        <v>33</v>
      </c>
      <c r="D1079" t="s">
        <v>30</v>
      </c>
      <c r="E1079" t="s">
        <v>173</v>
      </c>
      <c r="F1079" t="s">
        <v>45</v>
      </c>
    </row>
    <row r="1080" spans="1:6" x14ac:dyDescent="0.35">
      <c r="A1080" t="s">
        <v>33</v>
      </c>
      <c r="B1080" t="s">
        <v>29</v>
      </c>
      <c r="C1080" t="s">
        <v>60</v>
      </c>
      <c r="D1080" t="s">
        <v>103</v>
      </c>
      <c r="E1080" t="s">
        <v>368</v>
      </c>
      <c r="F1080" t="s">
        <v>368</v>
      </c>
    </row>
    <row r="1081" spans="1:6" x14ac:dyDescent="0.35">
      <c r="A1081" t="s">
        <v>33</v>
      </c>
      <c r="B1081" t="s">
        <v>33</v>
      </c>
      <c r="C1081" t="s">
        <v>29</v>
      </c>
      <c r="D1081" t="s">
        <v>173</v>
      </c>
      <c r="E1081" t="s">
        <v>30</v>
      </c>
      <c r="F1081" t="s">
        <v>28</v>
      </c>
    </row>
    <row r="1082" spans="1:6" x14ac:dyDescent="0.35">
      <c r="A1082" t="s">
        <v>33</v>
      </c>
      <c r="B1082" t="s">
        <v>29</v>
      </c>
      <c r="C1082" t="s">
        <v>33</v>
      </c>
      <c r="D1082" t="s">
        <v>30</v>
      </c>
      <c r="E1082" t="s">
        <v>173</v>
      </c>
      <c r="F1082" t="s">
        <v>35</v>
      </c>
    </row>
    <row r="1083" spans="1:6" x14ac:dyDescent="0.35">
      <c r="A1083" t="s">
        <v>29</v>
      </c>
      <c r="B1083" t="s">
        <v>44</v>
      </c>
      <c r="C1083" t="s">
        <v>44</v>
      </c>
      <c r="D1083" t="s">
        <v>28</v>
      </c>
      <c r="E1083" t="s">
        <v>28</v>
      </c>
      <c r="F1083" t="s">
        <v>45</v>
      </c>
    </row>
    <row r="1084" spans="1:6" x14ac:dyDescent="0.35">
      <c r="A1084" t="s">
        <v>33</v>
      </c>
      <c r="B1084" t="s">
        <v>60</v>
      </c>
      <c r="C1084" t="s">
        <v>33</v>
      </c>
      <c r="D1084" t="s">
        <v>30</v>
      </c>
      <c r="E1084" t="s">
        <v>173</v>
      </c>
      <c r="F1084" t="s">
        <v>292</v>
      </c>
    </row>
    <row r="1085" spans="1:6" x14ac:dyDescent="0.35">
      <c r="A1085" t="s">
        <v>377</v>
      </c>
      <c r="B1085" t="s">
        <v>44</v>
      </c>
      <c r="C1085" t="s">
        <v>44</v>
      </c>
      <c r="D1085" t="s">
        <v>28</v>
      </c>
      <c r="E1085" t="s">
        <v>28</v>
      </c>
      <c r="F1085" t="s">
        <v>28</v>
      </c>
    </row>
    <row r="1086" spans="1:6" x14ac:dyDescent="0.35">
      <c r="A1086" t="s">
        <v>44</v>
      </c>
      <c r="B1086" t="s">
        <v>44</v>
      </c>
      <c r="C1086" t="s">
        <v>28</v>
      </c>
      <c r="D1086" t="s">
        <v>103</v>
      </c>
      <c r="E1086" t="s">
        <v>28</v>
      </c>
      <c r="F1086" t="s">
        <v>35</v>
      </c>
    </row>
    <row r="1087" spans="1:6" x14ac:dyDescent="0.35">
      <c r="A1087" t="s">
        <v>28</v>
      </c>
      <c r="B1087" t="s">
        <v>28</v>
      </c>
      <c r="C1087" t="s">
        <v>28</v>
      </c>
      <c r="D1087" t="s">
        <v>28</v>
      </c>
      <c r="E1087" t="s">
        <v>28</v>
      </c>
      <c r="F1087" t="s">
        <v>35</v>
      </c>
    </row>
    <row r="1088" spans="1:6" x14ac:dyDescent="0.35">
      <c r="A1088" t="s">
        <v>33</v>
      </c>
      <c r="B1088" t="s">
        <v>33</v>
      </c>
      <c r="C1088" t="s">
        <v>33</v>
      </c>
      <c r="D1088" t="s">
        <v>34</v>
      </c>
      <c r="E1088" t="s">
        <v>34</v>
      </c>
      <c r="F1088" t="s">
        <v>74</v>
      </c>
    </row>
    <row r="1089" spans="1:6" x14ac:dyDescent="0.35">
      <c r="A1089" t="s">
        <v>44</v>
      </c>
      <c r="B1089" t="s">
        <v>44</v>
      </c>
      <c r="C1089" t="s">
        <v>44</v>
      </c>
      <c r="D1089" t="s">
        <v>158</v>
      </c>
      <c r="E1089" t="s">
        <v>103</v>
      </c>
      <c r="F1089" t="s">
        <v>35</v>
      </c>
    </row>
    <row r="1090" spans="1:6" x14ac:dyDescent="0.35">
      <c r="A1090" t="s">
        <v>33</v>
      </c>
      <c r="B1090" t="s">
        <v>33</v>
      </c>
      <c r="C1090" t="s">
        <v>60</v>
      </c>
      <c r="D1090" t="s">
        <v>30</v>
      </c>
      <c r="E1090" t="s">
        <v>30</v>
      </c>
      <c r="F1090" t="s">
        <v>292</v>
      </c>
    </row>
    <row r="1091" spans="1:6" x14ac:dyDescent="0.35">
      <c r="A1091" t="s">
        <v>60</v>
      </c>
      <c r="B1091" t="s">
        <v>28</v>
      </c>
      <c r="C1091" t="s">
        <v>28</v>
      </c>
      <c r="D1091" t="s">
        <v>28</v>
      </c>
      <c r="E1091" t="s">
        <v>45</v>
      </c>
      <c r="F1091" t="s">
        <v>28</v>
      </c>
    </row>
    <row r="1092" spans="1:6" x14ac:dyDescent="0.35">
      <c r="A1092" t="s">
        <v>33</v>
      </c>
      <c r="B1092" t="s">
        <v>33</v>
      </c>
      <c r="C1092" t="s">
        <v>33</v>
      </c>
      <c r="D1092" t="s">
        <v>34</v>
      </c>
      <c r="E1092" t="s">
        <v>34</v>
      </c>
      <c r="F1092" t="s">
        <v>74</v>
      </c>
    </row>
    <row r="1093" spans="1:6" x14ac:dyDescent="0.35">
      <c r="A1093" t="s">
        <v>28</v>
      </c>
      <c r="B1093" t="s">
        <v>28</v>
      </c>
      <c r="C1093" t="s">
        <v>28</v>
      </c>
      <c r="D1093" t="s">
        <v>158</v>
      </c>
      <c r="E1093" t="s">
        <v>28</v>
      </c>
      <c r="F1093" t="s">
        <v>28</v>
      </c>
    </row>
    <row r="1094" spans="1:6" x14ac:dyDescent="0.35">
      <c r="A1094" t="s">
        <v>33</v>
      </c>
      <c r="B1094" t="s">
        <v>33</v>
      </c>
      <c r="C1094" t="s">
        <v>33</v>
      </c>
      <c r="D1094" t="s">
        <v>30</v>
      </c>
      <c r="E1094" t="s">
        <v>30</v>
      </c>
      <c r="F1094" t="s">
        <v>74</v>
      </c>
    </row>
    <row r="1095" spans="1:6" x14ac:dyDescent="0.35">
      <c r="A1095" t="s">
        <v>44</v>
      </c>
      <c r="B1095" t="s">
        <v>158</v>
      </c>
      <c r="C1095" t="s">
        <v>157</v>
      </c>
      <c r="D1095" t="s">
        <v>28</v>
      </c>
      <c r="E1095" t="s">
        <v>28</v>
      </c>
      <c r="F1095" t="s">
        <v>28</v>
      </c>
    </row>
    <row r="1096" spans="1:6" x14ac:dyDescent="0.35">
      <c r="A1096" t="s">
        <v>33</v>
      </c>
      <c r="B1096" t="s">
        <v>33</v>
      </c>
      <c r="C1096" t="s">
        <v>33</v>
      </c>
      <c r="D1096" t="s">
        <v>30</v>
      </c>
      <c r="E1096" t="s">
        <v>34</v>
      </c>
      <c r="F1096" t="s">
        <v>74</v>
      </c>
    </row>
    <row r="1097" spans="1:6" x14ac:dyDescent="0.35">
      <c r="A1097" t="s">
        <v>33</v>
      </c>
      <c r="B1097" t="s">
        <v>33</v>
      </c>
      <c r="C1097" t="s">
        <v>60</v>
      </c>
      <c r="D1097" t="s">
        <v>34</v>
      </c>
      <c r="E1097" t="s">
        <v>30</v>
      </c>
      <c r="F1097" t="s">
        <v>74</v>
      </c>
    </row>
    <row r="1098" spans="1:6" x14ac:dyDescent="0.35">
      <c r="A1098" t="s">
        <v>33</v>
      </c>
      <c r="B1098" t="s">
        <v>33</v>
      </c>
      <c r="C1098" t="s">
        <v>33</v>
      </c>
      <c r="D1098" t="s">
        <v>34</v>
      </c>
      <c r="E1098" t="s">
        <v>34</v>
      </c>
      <c r="F1098" t="s">
        <v>74</v>
      </c>
    </row>
    <row r="1099" spans="1:6" x14ac:dyDescent="0.35">
      <c r="A1099" t="s">
        <v>28</v>
      </c>
      <c r="B1099" t="s">
        <v>44</v>
      </c>
      <c r="C1099" t="s">
        <v>28</v>
      </c>
      <c r="D1099" t="s">
        <v>28</v>
      </c>
      <c r="E1099" t="s">
        <v>28</v>
      </c>
      <c r="F1099" t="s">
        <v>28</v>
      </c>
    </row>
    <row r="1100" spans="1:6" x14ac:dyDescent="0.35">
      <c r="A1100" t="s">
        <v>33</v>
      </c>
      <c r="B1100" t="s">
        <v>33</v>
      </c>
      <c r="C1100" t="s">
        <v>33</v>
      </c>
      <c r="D1100" t="s">
        <v>30</v>
      </c>
      <c r="E1100" t="s">
        <v>34</v>
      </c>
      <c r="F1100" t="s">
        <v>74</v>
      </c>
    </row>
    <row r="1101" spans="1:6" x14ac:dyDescent="0.35">
      <c r="A1101" t="s">
        <v>33</v>
      </c>
      <c r="B1101" t="s">
        <v>29</v>
      </c>
      <c r="C1101" t="s">
        <v>28</v>
      </c>
      <c r="D1101" t="s">
        <v>30</v>
      </c>
      <c r="E1101" t="s">
        <v>30</v>
      </c>
      <c r="F1101" t="s">
        <v>292</v>
      </c>
    </row>
    <row r="1102" spans="1:6" x14ac:dyDescent="0.35">
      <c r="A1102" t="s">
        <v>33</v>
      </c>
      <c r="B1102" t="s">
        <v>29</v>
      </c>
      <c r="C1102" t="s">
        <v>33</v>
      </c>
      <c r="D1102" t="s">
        <v>30</v>
      </c>
      <c r="E1102" t="s">
        <v>30</v>
      </c>
      <c r="F1102" t="s">
        <v>61</v>
      </c>
    </row>
    <row r="1103" spans="1:6" x14ac:dyDescent="0.35">
      <c r="A1103" t="s">
        <v>33</v>
      </c>
      <c r="B1103" t="s">
        <v>33</v>
      </c>
      <c r="C1103" t="s">
        <v>33</v>
      </c>
      <c r="D1103" t="s">
        <v>34</v>
      </c>
      <c r="E1103" t="s">
        <v>94</v>
      </c>
      <c r="F1103" t="s">
        <v>35</v>
      </c>
    </row>
    <row r="1104" spans="1:6" x14ac:dyDescent="0.35">
      <c r="A1104" t="s">
        <v>33</v>
      </c>
      <c r="B1104" t="s">
        <v>29</v>
      </c>
      <c r="C1104" t="s">
        <v>33</v>
      </c>
      <c r="D1104" t="s">
        <v>34</v>
      </c>
      <c r="E1104" t="s">
        <v>34</v>
      </c>
      <c r="F1104" t="s">
        <v>61</v>
      </c>
    </row>
    <row r="1105" spans="1:6" x14ac:dyDescent="0.35">
      <c r="A1105" t="s">
        <v>33</v>
      </c>
      <c r="B1105" t="s">
        <v>33</v>
      </c>
      <c r="C1105" t="s">
        <v>33</v>
      </c>
      <c r="D1105" t="s">
        <v>34</v>
      </c>
      <c r="E1105" t="s">
        <v>34</v>
      </c>
      <c r="F1105" t="s">
        <v>74</v>
      </c>
    </row>
    <row r="1106" spans="1:6" x14ac:dyDescent="0.35">
      <c r="A1106" t="s">
        <v>33</v>
      </c>
      <c r="B1106" t="s">
        <v>33</v>
      </c>
      <c r="C1106" t="s">
        <v>33</v>
      </c>
      <c r="D1106" t="s">
        <v>34</v>
      </c>
      <c r="E1106" t="s">
        <v>30</v>
      </c>
      <c r="F1106" t="s">
        <v>61</v>
      </c>
    </row>
    <row r="1107" spans="1:6" x14ac:dyDescent="0.35">
      <c r="A1107" t="s">
        <v>33</v>
      </c>
      <c r="B1107" t="s">
        <v>33</v>
      </c>
      <c r="C1107" t="s">
        <v>33</v>
      </c>
      <c r="D1107" t="s">
        <v>173</v>
      </c>
      <c r="E1107" t="s">
        <v>34</v>
      </c>
      <c r="F1107" t="s">
        <v>74</v>
      </c>
    </row>
    <row r="1108" spans="1:6" x14ac:dyDescent="0.35">
      <c r="A1108" t="s">
        <v>33</v>
      </c>
      <c r="B1108" t="s">
        <v>33</v>
      </c>
      <c r="C1108" t="s">
        <v>33</v>
      </c>
      <c r="D1108" t="s">
        <v>34</v>
      </c>
      <c r="E1108" t="s">
        <v>34</v>
      </c>
      <c r="F1108" t="s">
        <v>74</v>
      </c>
    </row>
    <row r="1109" spans="1:6" x14ac:dyDescent="0.35">
      <c r="A1109" t="s">
        <v>33</v>
      </c>
      <c r="B1109" t="s">
        <v>33</v>
      </c>
      <c r="C1109" t="s">
        <v>33</v>
      </c>
      <c r="D1109" t="s">
        <v>30</v>
      </c>
      <c r="E1109" t="s">
        <v>173</v>
      </c>
      <c r="F1109" t="s">
        <v>292</v>
      </c>
    </row>
    <row r="1110" spans="1:6" x14ac:dyDescent="0.35">
      <c r="A1110" t="s">
        <v>33</v>
      </c>
      <c r="B1110" t="s">
        <v>60</v>
      </c>
      <c r="C1110" t="s">
        <v>44</v>
      </c>
      <c r="D1110" t="s">
        <v>34</v>
      </c>
      <c r="E1110" t="s">
        <v>34</v>
      </c>
      <c r="F1110" t="s">
        <v>292</v>
      </c>
    </row>
    <row r="1111" spans="1:6" x14ac:dyDescent="0.35">
      <c r="A1111" t="s">
        <v>33</v>
      </c>
      <c r="B1111" t="s">
        <v>29</v>
      </c>
      <c r="C1111" t="s">
        <v>60</v>
      </c>
      <c r="D1111" t="s">
        <v>158</v>
      </c>
      <c r="E1111" t="s">
        <v>173</v>
      </c>
      <c r="F1111" t="s">
        <v>45</v>
      </c>
    </row>
    <row r="1112" spans="1:6" x14ac:dyDescent="0.35">
      <c r="A1112" t="s">
        <v>33</v>
      </c>
      <c r="B1112" t="s">
        <v>33</v>
      </c>
      <c r="C1112" t="s">
        <v>33</v>
      </c>
      <c r="D1112" t="s">
        <v>103</v>
      </c>
      <c r="E1112" t="s">
        <v>173</v>
      </c>
      <c r="F1112" t="s">
        <v>74</v>
      </c>
    </row>
    <row r="1113" spans="1:6" x14ac:dyDescent="0.35">
      <c r="A1113" t="s">
        <v>33</v>
      </c>
      <c r="B1113" t="s">
        <v>29</v>
      </c>
      <c r="C1113" t="s">
        <v>33</v>
      </c>
      <c r="D1113" t="s">
        <v>30</v>
      </c>
      <c r="E1113" t="s">
        <v>30</v>
      </c>
      <c r="F1113" t="s">
        <v>292</v>
      </c>
    </row>
    <row r="1114" spans="1:6" x14ac:dyDescent="0.35">
      <c r="A1114" t="s">
        <v>33</v>
      </c>
      <c r="B1114" t="s">
        <v>33</v>
      </c>
      <c r="C1114" t="s">
        <v>33</v>
      </c>
      <c r="D1114" t="s">
        <v>173</v>
      </c>
      <c r="E1114" t="s">
        <v>173</v>
      </c>
      <c r="F1114" t="s">
        <v>61</v>
      </c>
    </row>
    <row r="1115" spans="1:6" x14ac:dyDescent="0.35">
      <c r="A1115" t="s">
        <v>33</v>
      </c>
      <c r="B1115" t="s">
        <v>29</v>
      </c>
      <c r="C1115" t="s">
        <v>29</v>
      </c>
      <c r="D1115" t="s">
        <v>173</v>
      </c>
      <c r="E1115" t="s">
        <v>30</v>
      </c>
      <c r="F1115" t="s">
        <v>74</v>
      </c>
    </row>
    <row r="1116" spans="1:6" x14ac:dyDescent="0.35">
      <c r="A1116" t="s">
        <v>33</v>
      </c>
      <c r="B1116" t="s">
        <v>29</v>
      </c>
      <c r="C1116" t="s">
        <v>33</v>
      </c>
      <c r="D1116" t="s">
        <v>34</v>
      </c>
      <c r="E1116" t="s">
        <v>30</v>
      </c>
      <c r="F1116" t="s">
        <v>74</v>
      </c>
    </row>
    <row r="1117" spans="1:6" x14ac:dyDescent="0.35">
      <c r="A1117" t="s">
        <v>33</v>
      </c>
      <c r="B1117" t="s">
        <v>33</v>
      </c>
      <c r="C1117" t="s">
        <v>33</v>
      </c>
      <c r="D1117" t="s">
        <v>34</v>
      </c>
      <c r="E1117" t="s">
        <v>34</v>
      </c>
      <c r="F1117" t="s">
        <v>74</v>
      </c>
    </row>
    <row r="1118" spans="1:6" x14ac:dyDescent="0.35">
      <c r="A1118" t="s">
        <v>33</v>
      </c>
      <c r="B1118" t="s">
        <v>33</v>
      </c>
      <c r="C1118" t="s">
        <v>29</v>
      </c>
      <c r="D1118" t="s">
        <v>30</v>
      </c>
      <c r="E1118" t="s">
        <v>103</v>
      </c>
      <c r="F1118" t="s">
        <v>35</v>
      </c>
    </row>
    <row r="1119" spans="1:6" x14ac:dyDescent="0.35">
      <c r="A1119" t="s">
        <v>60</v>
      </c>
      <c r="B1119" t="s">
        <v>44</v>
      </c>
      <c r="C1119" t="s">
        <v>33</v>
      </c>
      <c r="D1119" t="s">
        <v>34</v>
      </c>
      <c r="E1119" t="s">
        <v>34</v>
      </c>
      <c r="F1119" t="s">
        <v>74</v>
      </c>
    </row>
    <row r="1120" spans="1:6" x14ac:dyDescent="0.35">
      <c r="A1120" t="s">
        <v>44</v>
      </c>
      <c r="B1120" t="s">
        <v>60</v>
      </c>
      <c r="C1120" t="s">
        <v>29</v>
      </c>
      <c r="D1120" t="s">
        <v>30</v>
      </c>
      <c r="E1120" t="s">
        <v>103</v>
      </c>
      <c r="F1120" t="s">
        <v>61</v>
      </c>
    </row>
    <row r="1121" spans="1:6" x14ac:dyDescent="0.35">
      <c r="A1121" t="s">
        <v>33</v>
      </c>
      <c r="B1121" t="s">
        <v>29</v>
      </c>
      <c r="C1121" t="s">
        <v>60</v>
      </c>
      <c r="D1121" t="s">
        <v>103</v>
      </c>
      <c r="E1121" t="s">
        <v>28</v>
      </c>
      <c r="F1121" t="s">
        <v>45</v>
      </c>
    </row>
    <row r="1122" spans="1:6" x14ac:dyDescent="0.35">
      <c r="A1122" t="s">
        <v>71</v>
      </c>
      <c r="B1122" t="s">
        <v>197</v>
      </c>
      <c r="C1122" t="s">
        <v>206</v>
      </c>
      <c r="D1122" t="s">
        <v>158</v>
      </c>
      <c r="E1122" t="s">
        <v>28</v>
      </c>
      <c r="F1122" t="s">
        <v>368</v>
      </c>
    </row>
    <row r="1123" spans="1:6" x14ac:dyDescent="0.35">
      <c r="A1123" t="s">
        <v>44</v>
      </c>
      <c r="B1123" t="s">
        <v>158</v>
      </c>
      <c r="C1123" t="s">
        <v>28</v>
      </c>
      <c r="D1123" t="s">
        <v>197</v>
      </c>
      <c r="E1123" t="s">
        <v>94</v>
      </c>
      <c r="F1123" t="s">
        <v>73</v>
      </c>
    </row>
    <row r="1124" spans="1:6" x14ac:dyDescent="0.35">
      <c r="A1124" t="s">
        <v>60</v>
      </c>
      <c r="B1124" t="s">
        <v>28</v>
      </c>
      <c r="C1124" t="s">
        <v>33</v>
      </c>
      <c r="D1124" t="s">
        <v>158</v>
      </c>
      <c r="E1124" t="s">
        <v>28</v>
      </c>
      <c r="F1124" t="s">
        <v>94</v>
      </c>
    </row>
    <row r="1125" spans="1:6" x14ac:dyDescent="0.35">
      <c r="A1125" t="s">
        <v>449</v>
      </c>
      <c r="B1125" t="s">
        <v>197</v>
      </c>
      <c r="C1125" t="s">
        <v>73</v>
      </c>
      <c r="D1125" t="s">
        <v>173</v>
      </c>
      <c r="E1125" t="s">
        <v>45</v>
      </c>
      <c r="F1125" t="s">
        <v>368</v>
      </c>
    </row>
    <row r="1126" spans="1:6" x14ac:dyDescent="0.35">
      <c r="A1126" t="s">
        <v>60</v>
      </c>
      <c r="B1126" t="s">
        <v>60</v>
      </c>
      <c r="C1126" t="s">
        <v>29</v>
      </c>
      <c r="D1126" t="s">
        <v>34</v>
      </c>
      <c r="E1126" t="s">
        <v>94</v>
      </c>
      <c r="F1126" t="s">
        <v>368</v>
      </c>
    </row>
    <row r="1127" spans="1:6" x14ac:dyDescent="0.35">
      <c r="A1127" t="s">
        <v>344</v>
      </c>
      <c r="B1127" t="s">
        <v>158</v>
      </c>
      <c r="C1127" t="s">
        <v>157</v>
      </c>
      <c r="D1127" t="s">
        <v>196</v>
      </c>
      <c r="E1127" t="s">
        <v>94</v>
      </c>
      <c r="F1127" t="s">
        <v>28</v>
      </c>
    </row>
    <row r="1128" spans="1:6" x14ac:dyDescent="0.35">
      <c r="A1128" t="s">
        <v>377</v>
      </c>
      <c r="B1128" t="s">
        <v>44</v>
      </c>
      <c r="C1128" t="s">
        <v>206</v>
      </c>
      <c r="D1128" t="s">
        <v>30</v>
      </c>
      <c r="E1128" t="s">
        <v>94</v>
      </c>
      <c r="F1128" t="s">
        <v>61</v>
      </c>
    </row>
    <row r="1129" spans="1:6" x14ac:dyDescent="0.35">
      <c r="A1129" t="s">
        <v>449</v>
      </c>
      <c r="B1129" t="s">
        <v>29</v>
      </c>
      <c r="C1129" t="s">
        <v>28</v>
      </c>
      <c r="D1129" t="s">
        <v>34</v>
      </c>
      <c r="E1129" t="s">
        <v>368</v>
      </c>
      <c r="F1129" t="s">
        <v>368</v>
      </c>
    </row>
    <row r="1130" spans="1:6" x14ac:dyDescent="0.35">
      <c r="A1130" t="s">
        <v>44</v>
      </c>
      <c r="B1130" t="s">
        <v>29</v>
      </c>
      <c r="C1130" t="s">
        <v>60</v>
      </c>
      <c r="D1130" t="s">
        <v>34</v>
      </c>
      <c r="E1130" t="s">
        <v>34</v>
      </c>
      <c r="F1130" t="s">
        <v>35</v>
      </c>
    </row>
    <row r="1131" spans="1:6" x14ac:dyDescent="0.35">
      <c r="A1131" t="s">
        <v>377</v>
      </c>
      <c r="B1131" t="s">
        <v>197</v>
      </c>
      <c r="C1131" t="s">
        <v>73</v>
      </c>
      <c r="D1131" t="s">
        <v>196</v>
      </c>
      <c r="E1131" t="s">
        <v>28</v>
      </c>
      <c r="F1131" t="s">
        <v>94</v>
      </c>
    </row>
    <row r="1132" spans="1:6" x14ac:dyDescent="0.35">
      <c r="A1132" t="s">
        <v>449</v>
      </c>
      <c r="B1132" t="s">
        <v>196</v>
      </c>
      <c r="C1132" t="s">
        <v>157</v>
      </c>
      <c r="D1132" t="s">
        <v>196</v>
      </c>
      <c r="E1132" t="s">
        <v>45</v>
      </c>
      <c r="F1132" t="s">
        <v>35</v>
      </c>
    </row>
    <row r="1133" spans="1:6" x14ac:dyDescent="0.35">
      <c r="A1133" t="s">
        <v>449</v>
      </c>
      <c r="B1133" t="s">
        <v>44</v>
      </c>
      <c r="C1133" t="s">
        <v>60</v>
      </c>
      <c r="D1133" t="s">
        <v>30</v>
      </c>
      <c r="E1133" t="s">
        <v>28</v>
      </c>
      <c r="F1133" t="s">
        <v>368</v>
      </c>
    </row>
    <row r="1134" spans="1:6" x14ac:dyDescent="0.35">
      <c r="A1134" t="s">
        <v>44</v>
      </c>
      <c r="B1134" t="s">
        <v>29</v>
      </c>
      <c r="C1134" t="s">
        <v>29</v>
      </c>
      <c r="D1134" t="s">
        <v>34</v>
      </c>
      <c r="E1134" t="s">
        <v>368</v>
      </c>
      <c r="F1134" t="s">
        <v>368</v>
      </c>
    </row>
    <row r="1135" spans="1:6" x14ac:dyDescent="0.35">
      <c r="A1135" t="s">
        <v>44</v>
      </c>
      <c r="B1135" t="s">
        <v>196</v>
      </c>
      <c r="C1135" t="s">
        <v>206</v>
      </c>
      <c r="D1135" t="s">
        <v>196</v>
      </c>
      <c r="E1135" t="s">
        <v>30</v>
      </c>
      <c r="F1135" t="s">
        <v>45</v>
      </c>
    </row>
    <row r="1136" spans="1:6" x14ac:dyDescent="0.35">
      <c r="A1136" t="s">
        <v>377</v>
      </c>
      <c r="B1136" t="s">
        <v>28</v>
      </c>
      <c r="C1136" t="s">
        <v>60</v>
      </c>
      <c r="D1136" t="s">
        <v>196</v>
      </c>
      <c r="E1136" t="s">
        <v>73</v>
      </c>
      <c r="F1136" t="s">
        <v>368</v>
      </c>
    </row>
    <row r="1137" spans="1:6" x14ac:dyDescent="0.35">
      <c r="A1137" t="s">
        <v>344</v>
      </c>
      <c r="B1137" t="s">
        <v>72</v>
      </c>
      <c r="C1137" t="s">
        <v>284</v>
      </c>
      <c r="D1137" t="s">
        <v>158</v>
      </c>
      <c r="E1137" t="s">
        <v>28</v>
      </c>
      <c r="F1137" t="s">
        <v>94</v>
      </c>
    </row>
    <row r="1138" spans="1:6" x14ac:dyDescent="0.35">
      <c r="A1138" t="s">
        <v>71</v>
      </c>
      <c r="B1138" t="s">
        <v>196</v>
      </c>
      <c r="C1138" t="s">
        <v>28</v>
      </c>
      <c r="D1138" t="s">
        <v>158</v>
      </c>
      <c r="E1138" t="s">
        <v>30</v>
      </c>
      <c r="F1138" t="s">
        <v>292</v>
      </c>
    </row>
    <row r="1139" spans="1:6" x14ac:dyDescent="0.35">
      <c r="A1139" t="s">
        <v>449</v>
      </c>
      <c r="B1139" t="s">
        <v>196</v>
      </c>
      <c r="C1139" t="s">
        <v>28</v>
      </c>
      <c r="D1139" t="s">
        <v>197</v>
      </c>
      <c r="E1139" t="s">
        <v>173</v>
      </c>
      <c r="F1139" t="s">
        <v>74</v>
      </c>
    </row>
    <row r="1140" spans="1:6" x14ac:dyDescent="0.35">
      <c r="A1140" t="s">
        <v>449</v>
      </c>
      <c r="B1140" t="s">
        <v>44</v>
      </c>
      <c r="C1140" t="s">
        <v>73</v>
      </c>
      <c r="D1140" t="s">
        <v>173</v>
      </c>
      <c r="E1140" t="s">
        <v>94</v>
      </c>
      <c r="F1140" t="s">
        <v>61</v>
      </c>
    </row>
    <row r="1141" spans="1:6" x14ac:dyDescent="0.35">
      <c r="A1141" t="s">
        <v>344</v>
      </c>
      <c r="B1141" t="s">
        <v>197</v>
      </c>
      <c r="C1141" t="s">
        <v>284</v>
      </c>
      <c r="D1141" t="s">
        <v>28</v>
      </c>
      <c r="E1141" t="s">
        <v>73</v>
      </c>
      <c r="F1141" t="s">
        <v>73</v>
      </c>
    </row>
    <row r="1142" spans="1:6" x14ac:dyDescent="0.35">
      <c r="A1142" t="s">
        <v>449</v>
      </c>
      <c r="B1142" t="s">
        <v>197</v>
      </c>
      <c r="C1142" t="s">
        <v>73</v>
      </c>
      <c r="D1142" t="s">
        <v>158</v>
      </c>
      <c r="E1142" t="s">
        <v>28</v>
      </c>
      <c r="F1142" t="s">
        <v>368</v>
      </c>
    </row>
    <row r="1143" spans="1:6" x14ac:dyDescent="0.35">
      <c r="A1143" t="s">
        <v>60</v>
      </c>
      <c r="B1143" t="s">
        <v>158</v>
      </c>
      <c r="C1143" t="s">
        <v>33</v>
      </c>
      <c r="D1143" t="s">
        <v>197</v>
      </c>
      <c r="E1143" t="s">
        <v>94</v>
      </c>
      <c r="F1143" t="s">
        <v>292</v>
      </c>
    </row>
    <row r="1144" spans="1:6" x14ac:dyDescent="0.35">
      <c r="A1144" t="s">
        <v>377</v>
      </c>
      <c r="B1144" t="s">
        <v>60</v>
      </c>
      <c r="C1144" t="s">
        <v>284</v>
      </c>
      <c r="D1144" t="s">
        <v>196</v>
      </c>
      <c r="E1144" t="s">
        <v>94</v>
      </c>
      <c r="F1144" t="s">
        <v>94</v>
      </c>
    </row>
    <row r="1145" spans="1:6" x14ac:dyDescent="0.35">
      <c r="A1145" t="s">
        <v>344</v>
      </c>
      <c r="B1145" t="s">
        <v>197</v>
      </c>
      <c r="C1145" t="s">
        <v>28</v>
      </c>
      <c r="D1145" t="s">
        <v>158</v>
      </c>
      <c r="E1145" t="s">
        <v>73</v>
      </c>
      <c r="F1145" t="s">
        <v>35</v>
      </c>
    </row>
    <row r="1146" spans="1:6" x14ac:dyDescent="0.35">
      <c r="A1146" t="s">
        <v>28</v>
      </c>
      <c r="B1146" t="s">
        <v>158</v>
      </c>
      <c r="C1146" t="s">
        <v>284</v>
      </c>
      <c r="D1146" t="s">
        <v>197</v>
      </c>
      <c r="E1146" t="s">
        <v>94</v>
      </c>
      <c r="F1146" t="s">
        <v>368</v>
      </c>
    </row>
    <row r="1147" spans="1:6" x14ac:dyDescent="0.35">
      <c r="A1147" t="s">
        <v>71</v>
      </c>
      <c r="B1147" t="s">
        <v>158</v>
      </c>
      <c r="C1147" t="s">
        <v>28</v>
      </c>
      <c r="D1147" t="s">
        <v>158</v>
      </c>
      <c r="E1147" t="s">
        <v>173</v>
      </c>
      <c r="F1147" t="s">
        <v>368</v>
      </c>
    </row>
    <row r="1148" spans="1:6" x14ac:dyDescent="0.35">
      <c r="A1148" t="s">
        <v>71</v>
      </c>
      <c r="B1148" t="s">
        <v>197</v>
      </c>
      <c r="C1148" t="s">
        <v>157</v>
      </c>
      <c r="D1148" t="s">
        <v>28</v>
      </c>
      <c r="E1148" t="s">
        <v>103</v>
      </c>
      <c r="F1148" t="s">
        <v>74</v>
      </c>
    </row>
    <row r="1149" spans="1:6" x14ac:dyDescent="0.35">
      <c r="A1149" t="s">
        <v>377</v>
      </c>
      <c r="B1149" t="s">
        <v>196</v>
      </c>
      <c r="C1149" t="s">
        <v>284</v>
      </c>
      <c r="D1149" t="s">
        <v>173</v>
      </c>
      <c r="E1149" t="s">
        <v>173</v>
      </c>
      <c r="F1149" t="s">
        <v>368</v>
      </c>
    </row>
    <row r="1150" spans="1:6" x14ac:dyDescent="0.35">
      <c r="A1150" t="s">
        <v>344</v>
      </c>
      <c r="B1150" t="s">
        <v>60</v>
      </c>
      <c r="C1150" t="s">
        <v>44</v>
      </c>
      <c r="D1150" t="s">
        <v>30</v>
      </c>
      <c r="E1150" t="s">
        <v>368</v>
      </c>
      <c r="F1150" t="s">
        <v>74</v>
      </c>
    </row>
    <row r="1151" spans="1:6" x14ac:dyDescent="0.35">
      <c r="A1151" t="s">
        <v>344</v>
      </c>
      <c r="B1151" t="s">
        <v>196</v>
      </c>
      <c r="C1151" t="s">
        <v>284</v>
      </c>
      <c r="D1151" t="s">
        <v>30</v>
      </c>
      <c r="E1151" t="s">
        <v>173</v>
      </c>
      <c r="F1151" t="s">
        <v>74</v>
      </c>
    </row>
    <row r="1152" spans="1:6" x14ac:dyDescent="0.35">
      <c r="A1152" t="s">
        <v>71</v>
      </c>
      <c r="B1152" t="s">
        <v>197</v>
      </c>
      <c r="C1152" t="s">
        <v>157</v>
      </c>
      <c r="D1152" t="s">
        <v>103</v>
      </c>
      <c r="E1152" t="s">
        <v>28</v>
      </c>
      <c r="F1152" t="s">
        <v>61</v>
      </c>
    </row>
    <row r="1153" spans="1:6" x14ac:dyDescent="0.35">
      <c r="A1153" t="s">
        <v>71</v>
      </c>
      <c r="B1153" t="s">
        <v>196</v>
      </c>
      <c r="C1153" t="s">
        <v>60</v>
      </c>
      <c r="D1153" t="s">
        <v>197</v>
      </c>
      <c r="E1153" t="s">
        <v>94</v>
      </c>
      <c r="F1153" t="s">
        <v>94</v>
      </c>
    </row>
    <row r="1154" spans="1:6" x14ac:dyDescent="0.35">
      <c r="A1154" t="s">
        <v>344</v>
      </c>
      <c r="B1154" t="s">
        <v>196</v>
      </c>
      <c r="C1154" t="s">
        <v>157</v>
      </c>
      <c r="D1154" t="s">
        <v>30</v>
      </c>
      <c r="E1154" t="s">
        <v>28</v>
      </c>
      <c r="F1154" t="s">
        <v>45</v>
      </c>
    </row>
    <row r="1155" spans="1:6" x14ac:dyDescent="0.35">
      <c r="A1155" t="s">
        <v>344</v>
      </c>
      <c r="B1155" t="s">
        <v>72</v>
      </c>
      <c r="C1155" t="s">
        <v>157</v>
      </c>
      <c r="D1155" t="s">
        <v>28</v>
      </c>
      <c r="E1155" t="s">
        <v>103</v>
      </c>
      <c r="F1155" t="s">
        <v>368</v>
      </c>
    </row>
    <row r="1156" spans="1:6" x14ac:dyDescent="0.35">
      <c r="A1156" t="s">
        <v>344</v>
      </c>
      <c r="B1156" t="s">
        <v>197</v>
      </c>
      <c r="C1156" t="s">
        <v>60</v>
      </c>
      <c r="D1156" t="s">
        <v>158</v>
      </c>
      <c r="E1156" t="s">
        <v>30</v>
      </c>
      <c r="F1156" t="s">
        <v>74</v>
      </c>
    </row>
    <row r="1157" spans="1:6" x14ac:dyDescent="0.35">
      <c r="A1157" t="s">
        <v>449</v>
      </c>
      <c r="B1157" t="s">
        <v>196</v>
      </c>
      <c r="C1157" t="s">
        <v>284</v>
      </c>
      <c r="D1157" t="s">
        <v>30</v>
      </c>
      <c r="E1157" t="s">
        <v>28</v>
      </c>
      <c r="F1157" t="s">
        <v>368</v>
      </c>
    </row>
    <row r="1158" spans="1:6" x14ac:dyDescent="0.35">
      <c r="A1158" t="s">
        <v>344</v>
      </c>
      <c r="B1158" t="s">
        <v>72</v>
      </c>
      <c r="C1158" t="s">
        <v>60</v>
      </c>
      <c r="D1158" t="s">
        <v>158</v>
      </c>
      <c r="E1158" t="s">
        <v>173</v>
      </c>
      <c r="F1158" t="s">
        <v>45</v>
      </c>
    </row>
    <row r="1159" spans="1:6" x14ac:dyDescent="0.35">
      <c r="A1159" t="s">
        <v>344</v>
      </c>
      <c r="B1159" t="s">
        <v>72</v>
      </c>
      <c r="C1159" t="s">
        <v>284</v>
      </c>
      <c r="D1159" t="s">
        <v>173</v>
      </c>
      <c r="E1159" t="s">
        <v>45</v>
      </c>
      <c r="F1159" t="s">
        <v>74</v>
      </c>
    </row>
    <row r="1160" spans="1:6" x14ac:dyDescent="0.35">
      <c r="A1160" t="s">
        <v>344</v>
      </c>
      <c r="B1160" t="s">
        <v>197</v>
      </c>
      <c r="C1160" t="s">
        <v>157</v>
      </c>
      <c r="D1160" t="s">
        <v>34</v>
      </c>
      <c r="E1160" t="s">
        <v>173</v>
      </c>
      <c r="F1160" t="s">
        <v>61</v>
      </c>
    </row>
    <row r="1161" spans="1:6" x14ac:dyDescent="0.35">
      <c r="A1161" t="s">
        <v>449</v>
      </c>
      <c r="B1161" t="s">
        <v>158</v>
      </c>
      <c r="C1161" t="s">
        <v>206</v>
      </c>
      <c r="D1161" t="s">
        <v>197</v>
      </c>
      <c r="E1161" t="s">
        <v>94</v>
      </c>
      <c r="F1161" t="s">
        <v>292</v>
      </c>
    </row>
    <row r="1162" spans="1:6" x14ac:dyDescent="0.35">
      <c r="A1162" t="s">
        <v>29</v>
      </c>
      <c r="B1162" t="s">
        <v>60</v>
      </c>
      <c r="C1162" t="s">
        <v>44</v>
      </c>
      <c r="D1162" t="s">
        <v>196</v>
      </c>
      <c r="E1162" t="s">
        <v>94</v>
      </c>
      <c r="F1162" t="s">
        <v>368</v>
      </c>
    </row>
    <row r="1163" spans="1:6" x14ac:dyDescent="0.35">
      <c r="A1163" t="s">
        <v>449</v>
      </c>
      <c r="B1163" t="s">
        <v>197</v>
      </c>
      <c r="C1163" t="s">
        <v>284</v>
      </c>
      <c r="D1163" t="s">
        <v>197</v>
      </c>
      <c r="E1163" t="s">
        <v>30</v>
      </c>
      <c r="F1163" t="s">
        <v>35</v>
      </c>
    </row>
    <row r="1164" spans="1:6" x14ac:dyDescent="0.35">
      <c r="A1164" t="s">
        <v>71</v>
      </c>
      <c r="B1164" t="s">
        <v>72</v>
      </c>
      <c r="C1164" t="s">
        <v>28</v>
      </c>
      <c r="D1164" t="s">
        <v>28</v>
      </c>
      <c r="E1164" t="s">
        <v>173</v>
      </c>
      <c r="F1164" t="s">
        <v>28</v>
      </c>
    </row>
    <row r="1165" spans="1:6" x14ac:dyDescent="0.35">
      <c r="A1165" t="s">
        <v>71</v>
      </c>
      <c r="B1165" t="s">
        <v>197</v>
      </c>
      <c r="C1165" t="s">
        <v>60</v>
      </c>
      <c r="D1165" t="s">
        <v>196</v>
      </c>
      <c r="E1165" t="s">
        <v>173</v>
      </c>
      <c r="F1165" t="s">
        <v>74</v>
      </c>
    </row>
    <row r="1166" spans="1:6" x14ac:dyDescent="0.35">
      <c r="A1166" t="s">
        <v>449</v>
      </c>
      <c r="B1166" t="s">
        <v>197</v>
      </c>
      <c r="C1166" t="s">
        <v>157</v>
      </c>
      <c r="D1166" t="s">
        <v>103</v>
      </c>
      <c r="E1166" t="s">
        <v>30</v>
      </c>
      <c r="F1166" t="s">
        <v>94</v>
      </c>
    </row>
    <row r="1167" spans="1:6" x14ac:dyDescent="0.35">
      <c r="A1167" t="s">
        <v>377</v>
      </c>
      <c r="B1167" t="s">
        <v>197</v>
      </c>
      <c r="C1167" t="s">
        <v>60</v>
      </c>
      <c r="D1167" t="s">
        <v>158</v>
      </c>
      <c r="E1167" t="s">
        <v>30</v>
      </c>
      <c r="F1167" t="s">
        <v>74</v>
      </c>
    </row>
    <row r="1168" spans="1:6" x14ac:dyDescent="0.35">
      <c r="A1168" t="s">
        <v>449</v>
      </c>
      <c r="B1168" t="s">
        <v>44</v>
      </c>
      <c r="C1168" t="s">
        <v>28</v>
      </c>
      <c r="D1168" t="s">
        <v>34</v>
      </c>
      <c r="E1168" t="s">
        <v>173</v>
      </c>
      <c r="F1168" t="s">
        <v>292</v>
      </c>
    </row>
    <row r="1169" spans="1:6" x14ac:dyDescent="0.35">
      <c r="A1169" t="s">
        <v>449</v>
      </c>
      <c r="B1169" t="s">
        <v>72</v>
      </c>
      <c r="C1169" t="s">
        <v>157</v>
      </c>
      <c r="D1169" t="s">
        <v>103</v>
      </c>
      <c r="E1169" t="s">
        <v>30</v>
      </c>
      <c r="F1169" t="s">
        <v>368</v>
      </c>
    </row>
    <row r="1170" spans="1:6" x14ac:dyDescent="0.35">
      <c r="A1170" t="s">
        <v>44</v>
      </c>
      <c r="B1170" t="s">
        <v>196</v>
      </c>
      <c r="C1170" t="s">
        <v>206</v>
      </c>
      <c r="D1170" t="s">
        <v>196</v>
      </c>
      <c r="E1170" t="s">
        <v>73</v>
      </c>
      <c r="F1170" t="s">
        <v>368</v>
      </c>
    </row>
    <row r="1171" spans="1:6" x14ac:dyDescent="0.35">
      <c r="A1171" t="s">
        <v>33</v>
      </c>
      <c r="B1171" t="s">
        <v>29</v>
      </c>
      <c r="C1171" t="s">
        <v>29</v>
      </c>
      <c r="D1171" t="s">
        <v>30</v>
      </c>
      <c r="E1171" t="s">
        <v>30</v>
      </c>
      <c r="F1171" t="s">
        <v>61</v>
      </c>
    </row>
    <row r="1172" spans="1:6" x14ac:dyDescent="0.35">
      <c r="A1172" t="s">
        <v>33</v>
      </c>
      <c r="B1172" t="s">
        <v>33</v>
      </c>
      <c r="C1172" t="s">
        <v>33</v>
      </c>
      <c r="D1172" t="s">
        <v>34</v>
      </c>
      <c r="E1172" t="s">
        <v>34</v>
      </c>
      <c r="F1172" t="s">
        <v>74</v>
      </c>
    </row>
    <row r="1173" spans="1:6" x14ac:dyDescent="0.35">
      <c r="A1173" t="s">
        <v>33</v>
      </c>
      <c r="B1173" t="s">
        <v>29</v>
      </c>
      <c r="C1173" t="s">
        <v>29</v>
      </c>
      <c r="D1173" t="s">
        <v>34</v>
      </c>
      <c r="E1173" t="s">
        <v>103</v>
      </c>
      <c r="F1173" t="s">
        <v>61</v>
      </c>
    </row>
    <row r="1174" spans="1:6" x14ac:dyDescent="0.35">
      <c r="A1174" t="s">
        <v>33</v>
      </c>
      <c r="B1174" t="s">
        <v>33</v>
      </c>
      <c r="C1174" t="s">
        <v>29</v>
      </c>
      <c r="D1174" t="s">
        <v>34</v>
      </c>
      <c r="E1174" t="s">
        <v>34</v>
      </c>
      <c r="F1174" t="s">
        <v>292</v>
      </c>
    </row>
    <row r="1175" spans="1:6" x14ac:dyDescent="0.35">
      <c r="A1175" t="s">
        <v>33</v>
      </c>
      <c r="B1175" t="s">
        <v>33</v>
      </c>
      <c r="C1175" t="s">
        <v>29</v>
      </c>
      <c r="D1175" t="s">
        <v>30</v>
      </c>
      <c r="E1175" t="s">
        <v>103</v>
      </c>
      <c r="F1175" t="s">
        <v>61</v>
      </c>
    </row>
    <row r="1176" spans="1:6" x14ac:dyDescent="0.35">
      <c r="A1176" t="s">
        <v>44</v>
      </c>
      <c r="B1176" t="s">
        <v>33</v>
      </c>
      <c r="C1176" t="s">
        <v>33</v>
      </c>
      <c r="D1176" t="s">
        <v>30</v>
      </c>
      <c r="E1176" t="s">
        <v>30</v>
      </c>
      <c r="F1176" t="s">
        <v>35</v>
      </c>
    </row>
    <row r="1177" spans="1:6" x14ac:dyDescent="0.35">
      <c r="A1177" t="s">
        <v>60</v>
      </c>
      <c r="B1177" t="s">
        <v>33</v>
      </c>
      <c r="C1177" t="s">
        <v>33</v>
      </c>
      <c r="D1177" t="s">
        <v>34</v>
      </c>
      <c r="E1177" t="s">
        <v>34</v>
      </c>
      <c r="F1177" t="s">
        <v>74</v>
      </c>
    </row>
    <row r="1178" spans="1:6" x14ac:dyDescent="0.35">
      <c r="A1178" t="s">
        <v>33</v>
      </c>
      <c r="B1178" t="s">
        <v>33</v>
      </c>
      <c r="C1178" t="s">
        <v>33</v>
      </c>
      <c r="D1178" t="s">
        <v>34</v>
      </c>
      <c r="E1178" t="s">
        <v>30</v>
      </c>
      <c r="F1178" t="s">
        <v>35</v>
      </c>
    </row>
    <row r="1179" spans="1:6" x14ac:dyDescent="0.35">
      <c r="A1179" t="s">
        <v>33</v>
      </c>
      <c r="B1179" t="s">
        <v>33</v>
      </c>
      <c r="C1179" t="s">
        <v>33</v>
      </c>
      <c r="D1179" t="s">
        <v>30</v>
      </c>
      <c r="E1179" t="s">
        <v>34</v>
      </c>
      <c r="F1179" t="s">
        <v>74</v>
      </c>
    </row>
    <row r="1180" spans="1:6" x14ac:dyDescent="0.35">
      <c r="A1180" t="s">
        <v>33</v>
      </c>
      <c r="B1180" t="s">
        <v>29</v>
      </c>
      <c r="C1180" t="s">
        <v>29</v>
      </c>
      <c r="D1180" t="s">
        <v>34</v>
      </c>
      <c r="E1180" t="s">
        <v>34</v>
      </c>
      <c r="F1180" t="s">
        <v>61</v>
      </c>
    </row>
    <row r="1181" spans="1:6" x14ac:dyDescent="0.35">
      <c r="A1181" t="s">
        <v>33</v>
      </c>
      <c r="B1181" t="s">
        <v>29</v>
      </c>
      <c r="C1181" t="s">
        <v>29</v>
      </c>
      <c r="D1181" t="s">
        <v>30</v>
      </c>
      <c r="E1181" t="s">
        <v>173</v>
      </c>
      <c r="F1181" t="s">
        <v>292</v>
      </c>
    </row>
    <row r="1182" spans="1:6" x14ac:dyDescent="0.35">
      <c r="A1182" t="s">
        <v>29</v>
      </c>
      <c r="B1182" t="s">
        <v>33</v>
      </c>
      <c r="C1182" t="s">
        <v>29</v>
      </c>
      <c r="D1182" t="s">
        <v>34</v>
      </c>
      <c r="E1182" t="s">
        <v>30</v>
      </c>
      <c r="F1182" t="s">
        <v>292</v>
      </c>
    </row>
    <row r="1183" spans="1:6" x14ac:dyDescent="0.35">
      <c r="A1183" t="s">
        <v>33</v>
      </c>
      <c r="B1183" t="s">
        <v>29</v>
      </c>
      <c r="C1183" t="s">
        <v>60</v>
      </c>
      <c r="D1183" t="s">
        <v>173</v>
      </c>
      <c r="E1183" t="s">
        <v>28</v>
      </c>
      <c r="F1183" t="s">
        <v>292</v>
      </c>
    </row>
    <row r="1184" spans="1:6" x14ac:dyDescent="0.35">
      <c r="A1184" t="s">
        <v>44</v>
      </c>
      <c r="B1184" t="s">
        <v>29</v>
      </c>
      <c r="C1184" t="s">
        <v>60</v>
      </c>
      <c r="D1184" t="s">
        <v>103</v>
      </c>
      <c r="E1184" t="s">
        <v>103</v>
      </c>
      <c r="F1184" t="s">
        <v>74</v>
      </c>
    </row>
    <row r="1185" spans="1:6" x14ac:dyDescent="0.35">
      <c r="A1185" t="s">
        <v>33</v>
      </c>
      <c r="B1185" t="s">
        <v>33</v>
      </c>
      <c r="C1185" t="s">
        <v>33</v>
      </c>
      <c r="D1185" t="s">
        <v>34</v>
      </c>
      <c r="E1185" t="s">
        <v>34</v>
      </c>
      <c r="F1185" t="s">
        <v>61</v>
      </c>
    </row>
    <row r="1186" spans="1:6" x14ac:dyDescent="0.35">
      <c r="A1186" t="s">
        <v>33</v>
      </c>
      <c r="B1186" t="s">
        <v>60</v>
      </c>
      <c r="C1186" t="s">
        <v>33</v>
      </c>
      <c r="D1186" t="s">
        <v>173</v>
      </c>
      <c r="E1186" t="s">
        <v>103</v>
      </c>
      <c r="F1186" t="s">
        <v>292</v>
      </c>
    </row>
    <row r="1187" spans="1:6" x14ac:dyDescent="0.35">
      <c r="A1187" t="s">
        <v>33</v>
      </c>
      <c r="B1187" t="s">
        <v>33</v>
      </c>
      <c r="C1187" t="s">
        <v>33</v>
      </c>
      <c r="D1187" t="s">
        <v>34</v>
      </c>
      <c r="E1187" t="s">
        <v>30</v>
      </c>
      <c r="F1187" t="s">
        <v>35</v>
      </c>
    </row>
    <row r="1188" spans="1:6" x14ac:dyDescent="0.35">
      <c r="A1188" t="s">
        <v>33</v>
      </c>
      <c r="B1188" t="s">
        <v>33</v>
      </c>
      <c r="C1188" t="s">
        <v>33</v>
      </c>
      <c r="D1188" t="s">
        <v>34</v>
      </c>
      <c r="E1188" t="s">
        <v>30</v>
      </c>
      <c r="F1188" t="s">
        <v>35</v>
      </c>
    </row>
    <row r="1189" spans="1:6" x14ac:dyDescent="0.35">
      <c r="A1189" t="s">
        <v>44</v>
      </c>
      <c r="B1189" t="s">
        <v>33</v>
      </c>
      <c r="C1189" t="s">
        <v>33</v>
      </c>
      <c r="D1189" t="s">
        <v>30</v>
      </c>
      <c r="E1189" t="s">
        <v>34</v>
      </c>
      <c r="F1189" t="s">
        <v>74</v>
      </c>
    </row>
    <row r="1190" spans="1:6" x14ac:dyDescent="0.35">
      <c r="A1190" t="s">
        <v>44</v>
      </c>
      <c r="B1190" t="s">
        <v>44</v>
      </c>
      <c r="C1190" t="s">
        <v>33</v>
      </c>
      <c r="D1190" t="s">
        <v>34</v>
      </c>
      <c r="E1190" t="s">
        <v>34</v>
      </c>
      <c r="F1190" t="s">
        <v>292</v>
      </c>
    </row>
    <row r="1191" spans="1:6" x14ac:dyDescent="0.35">
      <c r="A1191" t="s">
        <v>44</v>
      </c>
      <c r="B1191" t="s">
        <v>33</v>
      </c>
      <c r="C1191" t="s">
        <v>33</v>
      </c>
      <c r="D1191" t="s">
        <v>30</v>
      </c>
      <c r="E1191" t="s">
        <v>30</v>
      </c>
      <c r="F1191" t="s">
        <v>35</v>
      </c>
    </row>
    <row r="1192" spans="1:6" x14ac:dyDescent="0.35">
      <c r="A1192" t="s">
        <v>60</v>
      </c>
      <c r="B1192" t="s">
        <v>33</v>
      </c>
      <c r="C1192" t="s">
        <v>33</v>
      </c>
      <c r="D1192" t="s">
        <v>34</v>
      </c>
      <c r="E1192" t="s">
        <v>34</v>
      </c>
      <c r="F1192" t="s">
        <v>74</v>
      </c>
    </row>
    <row r="1193" spans="1:6" x14ac:dyDescent="0.35">
      <c r="A1193" t="s">
        <v>33</v>
      </c>
      <c r="B1193" t="s">
        <v>33</v>
      </c>
      <c r="C1193" t="s">
        <v>33</v>
      </c>
      <c r="D1193" t="s">
        <v>34</v>
      </c>
      <c r="E1193" t="s">
        <v>34</v>
      </c>
      <c r="F1193" t="s">
        <v>74</v>
      </c>
    </row>
    <row r="1194" spans="1:6" x14ac:dyDescent="0.35">
      <c r="A1194" t="s">
        <v>44</v>
      </c>
      <c r="B1194" t="s">
        <v>28</v>
      </c>
      <c r="C1194" t="s">
        <v>28</v>
      </c>
      <c r="D1194" t="s">
        <v>28</v>
      </c>
      <c r="E1194" t="s">
        <v>28</v>
      </c>
      <c r="F1194" t="s">
        <v>28</v>
      </c>
    </row>
    <row r="1195" spans="1:6" x14ac:dyDescent="0.35">
      <c r="A1195" t="s">
        <v>44</v>
      </c>
      <c r="B1195" t="s">
        <v>44</v>
      </c>
      <c r="C1195" t="s">
        <v>28</v>
      </c>
      <c r="D1195" t="s">
        <v>28</v>
      </c>
      <c r="E1195" t="s">
        <v>28</v>
      </c>
      <c r="F1195" t="s">
        <v>45</v>
      </c>
    </row>
    <row r="1196" spans="1:6" x14ac:dyDescent="0.35">
      <c r="A1196" t="s">
        <v>28</v>
      </c>
      <c r="B1196" t="s">
        <v>44</v>
      </c>
      <c r="C1196" t="s">
        <v>44</v>
      </c>
      <c r="D1196" t="s">
        <v>28</v>
      </c>
      <c r="E1196" t="s">
        <v>103</v>
      </c>
      <c r="F1196" t="s">
        <v>28</v>
      </c>
    </row>
    <row r="1197" spans="1:6" x14ac:dyDescent="0.35">
      <c r="A1197" t="s">
        <v>28</v>
      </c>
      <c r="B1197" t="s">
        <v>44</v>
      </c>
      <c r="C1197" t="s">
        <v>44</v>
      </c>
      <c r="D1197" t="s">
        <v>28</v>
      </c>
      <c r="E1197" t="s">
        <v>103</v>
      </c>
      <c r="F1197" t="s">
        <v>28</v>
      </c>
    </row>
    <row r="1198" spans="1:6" x14ac:dyDescent="0.35">
      <c r="A1198" t="s">
        <v>44</v>
      </c>
      <c r="B1198" t="s">
        <v>28</v>
      </c>
      <c r="C1198" t="s">
        <v>28</v>
      </c>
      <c r="D1198" t="s">
        <v>28</v>
      </c>
      <c r="E1198" t="s">
        <v>28</v>
      </c>
      <c r="F1198" t="s">
        <v>28</v>
      </c>
    </row>
    <row r="1199" spans="1:6" x14ac:dyDescent="0.35">
      <c r="A1199" t="s">
        <v>28</v>
      </c>
      <c r="B1199" t="s">
        <v>197</v>
      </c>
      <c r="C1199" t="s">
        <v>157</v>
      </c>
      <c r="D1199" t="s">
        <v>103</v>
      </c>
      <c r="E1199" t="s">
        <v>103</v>
      </c>
      <c r="F1199" t="s">
        <v>368</v>
      </c>
    </row>
    <row r="1200" spans="1:6" x14ac:dyDescent="0.35">
      <c r="A1200" t="s">
        <v>60</v>
      </c>
      <c r="B1200" t="s">
        <v>44</v>
      </c>
      <c r="C1200" t="s">
        <v>44</v>
      </c>
      <c r="D1200" t="s">
        <v>173</v>
      </c>
      <c r="E1200" t="s">
        <v>173</v>
      </c>
      <c r="F1200" t="s">
        <v>35</v>
      </c>
    </row>
    <row r="1201" spans="1:6" x14ac:dyDescent="0.35">
      <c r="A1201" t="s">
        <v>28</v>
      </c>
      <c r="B1201" t="s">
        <v>158</v>
      </c>
      <c r="C1201" t="s">
        <v>157</v>
      </c>
      <c r="D1201" t="s">
        <v>28</v>
      </c>
      <c r="E1201" t="s">
        <v>103</v>
      </c>
      <c r="F1201" t="s">
        <v>28</v>
      </c>
    </row>
    <row r="1202" spans="1:6" x14ac:dyDescent="0.35">
      <c r="A1202" t="s">
        <v>44</v>
      </c>
      <c r="B1202" t="s">
        <v>28</v>
      </c>
      <c r="C1202" t="s">
        <v>28</v>
      </c>
      <c r="D1202" t="s">
        <v>28</v>
      </c>
      <c r="E1202" t="s">
        <v>28</v>
      </c>
      <c r="F1202" t="s">
        <v>28</v>
      </c>
    </row>
    <row r="1203" spans="1:6" x14ac:dyDescent="0.35">
      <c r="A1203" t="s">
        <v>44</v>
      </c>
      <c r="B1203" t="s">
        <v>28</v>
      </c>
      <c r="C1203" t="s">
        <v>44</v>
      </c>
      <c r="D1203" t="s">
        <v>173</v>
      </c>
      <c r="E1203" t="s">
        <v>103</v>
      </c>
      <c r="F1203" t="s">
        <v>28</v>
      </c>
    </row>
    <row r="1204" spans="1:6" x14ac:dyDescent="0.35">
      <c r="A1204" t="s">
        <v>28</v>
      </c>
      <c r="B1204" t="s">
        <v>158</v>
      </c>
      <c r="C1204" t="s">
        <v>44</v>
      </c>
      <c r="D1204" t="s">
        <v>158</v>
      </c>
      <c r="E1204" t="s">
        <v>173</v>
      </c>
      <c r="F1204" t="s">
        <v>292</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204"/>
  <sheetViews>
    <sheetView workbookViewId="0">
      <selection activeCell="A6" sqref="A6"/>
    </sheetView>
  </sheetViews>
  <sheetFormatPr defaultColWidth="11" defaultRowHeight="13.5" x14ac:dyDescent="0.35"/>
  <cols>
    <col min="1" max="1" width="36.375" customWidth="1"/>
    <col min="2" max="2" width="40.75" customWidth="1"/>
    <col min="3" max="3" width="38.75" customWidth="1"/>
    <col min="4" max="4" width="35.375" customWidth="1"/>
    <col min="5" max="5" width="41.875" customWidth="1"/>
    <col min="6" max="6" width="37" customWidth="1"/>
    <col min="7" max="8" width="41.875" customWidth="1"/>
    <col min="9" max="9" width="12.625" customWidth="1"/>
    <col min="10" max="10" width="22" customWidth="1"/>
    <col min="11" max="11" width="66.75" customWidth="1"/>
    <col min="12" max="12" width="124.625" customWidth="1"/>
    <col min="13" max="13" width="92.625" customWidth="1"/>
    <col min="14" max="14" width="115" customWidth="1"/>
    <col min="15" max="15" width="255.75" customWidth="1"/>
    <col min="16" max="16" width="74.75" customWidth="1"/>
    <col min="17" max="18" width="255.75" customWidth="1"/>
    <col min="19" max="19" width="38.625" customWidth="1"/>
    <col min="20" max="20" width="25.125" customWidth="1"/>
    <col min="21" max="21" width="48.625" customWidth="1"/>
    <col min="22" max="22" width="21.875" customWidth="1"/>
    <col min="23" max="23" width="29.25" hidden="1" customWidth="1"/>
  </cols>
  <sheetData>
    <row r="1" spans="1:23" ht="15.75" customHeight="1" x14ac:dyDescent="0.3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21</v>
      </c>
      <c r="U1" t="s">
        <v>22</v>
      </c>
      <c r="V1" t="s">
        <v>23</v>
      </c>
      <c r="W1" t="s">
        <v>24</v>
      </c>
    </row>
    <row r="2" spans="1:23" ht="15.75" customHeight="1" x14ac:dyDescent="0.35">
      <c r="A2" t="s">
        <v>25</v>
      </c>
      <c r="B2" t="s">
        <v>27</v>
      </c>
      <c r="C2" t="s">
        <v>28</v>
      </c>
      <c r="D2" t="s">
        <v>28</v>
      </c>
      <c r="E2" t="s">
        <v>29</v>
      </c>
      <c r="F2" t="s">
        <v>30</v>
      </c>
      <c r="G2" t="s">
        <v>30</v>
      </c>
      <c r="H2" t="s">
        <v>28</v>
      </c>
    </row>
    <row r="3" spans="1:23" ht="15.75" customHeight="1" x14ac:dyDescent="0.35">
      <c r="A3" t="s">
        <v>31</v>
      </c>
      <c r="B3" t="s">
        <v>32</v>
      </c>
      <c r="C3" t="s">
        <v>33</v>
      </c>
      <c r="D3" t="s">
        <v>33</v>
      </c>
      <c r="E3" t="s">
        <v>33</v>
      </c>
      <c r="F3" t="s">
        <v>34</v>
      </c>
      <c r="G3" t="s">
        <v>30</v>
      </c>
      <c r="H3" t="s">
        <v>35</v>
      </c>
      <c r="I3" t="s">
        <v>36</v>
      </c>
      <c r="K3" t="s">
        <v>37</v>
      </c>
      <c r="L3" t="s">
        <v>38</v>
      </c>
      <c r="M3" t="s">
        <v>39</v>
      </c>
      <c r="N3" t="s">
        <v>40</v>
      </c>
      <c r="P3" t="s">
        <v>38</v>
      </c>
      <c r="S3" t="s">
        <v>41</v>
      </c>
    </row>
    <row r="4" spans="1:23" ht="15.75" customHeight="1" x14ac:dyDescent="0.35">
      <c r="A4" t="s">
        <v>42</v>
      </c>
      <c r="B4" t="s">
        <v>43</v>
      </c>
      <c r="C4" t="s">
        <v>29</v>
      </c>
      <c r="D4" t="s">
        <v>28</v>
      </c>
      <c r="E4" t="s">
        <v>44</v>
      </c>
      <c r="F4" t="s">
        <v>28</v>
      </c>
      <c r="G4" t="s">
        <v>45</v>
      </c>
      <c r="H4" t="s">
        <v>28</v>
      </c>
      <c r="I4" t="s">
        <v>46</v>
      </c>
      <c r="K4" t="s">
        <v>47</v>
      </c>
      <c r="L4" t="s">
        <v>48</v>
      </c>
      <c r="M4" t="s">
        <v>49</v>
      </c>
      <c r="N4" t="s">
        <v>49</v>
      </c>
      <c r="O4" t="s">
        <v>50</v>
      </c>
      <c r="P4" t="s">
        <v>48</v>
      </c>
      <c r="Q4" t="s">
        <v>51</v>
      </c>
      <c r="R4" t="s">
        <v>52</v>
      </c>
      <c r="S4" t="s">
        <v>53</v>
      </c>
      <c r="T4" t="s">
        <v>55</v>
      </c>
      <c r="U4" t="s">
        <v>56</v>
      </c>
      <c r="V4" t="s">
        <v>57</v>
      </c>
    </row>
    <row r="5" spans="1:23" ht="15.75" customHeight="1" x14ac:dyDescent="0.35">
      <c r="A5" t="s">
        <v>58</v>
      </c>
      <c r="B5" t="s">
        <v>59</v>
      </c>
      <c r="C5" t="s">
        <v>60</v>
      </c>
      <c r="D5" t="s">
        <v>29</v>
      </c>
      <c r="E5" t="s">
        <v>29</v>
      </c>
      <c r="F5" t="s">
        <v>30</v>
      </c>
      <c r="G5" t="s">
        <v>34</v>
      </c>
      <c r="H5" t="s">
        <v>61</v>
      </c>
      <c r="I5" t="s">
        <v>36</v>
      </c>
      <c r="K5" t="s">
        <v>62</v>
      </c>
      <c r="L5" t="s">
        <v>48</v>
      </c>
      <c r="M5" t="s">
        <v>48</v>
      </c>
      <c r="N5" t="s">
        <v>48</v>
      </c>
      <c r="O5" t="s">
        <v>63</v>
      </c>
      <c r="P5" t="s">
        <v>48</v>
      </c>
      <c r="Q5" t="s">
        <v>64</v>
      </c>
      <c r="S5" t="s">
        <v>65</v>
      </c>
      <c r="T5" t="s">
        <v>67</v>
      </c>
      <c r="U5" t="s">
        <v>68</v>
      </c>
      <c r="V5" t="s">
        <v>57</v>
      </c>
    </row>
    <row r="6" spans="1:23" ht="15.75" customHeight="1" x14ac:dyDescent="0.35">
      <c r="A6" t="s">
        <v>69</v>
      </c>
      <c r="B6" t="s">
        <v>70</v>
      </c>
      <c r="C6" t="s">
        <v>71</v>
      </c>
      <c r="D6" t="s">
        <v>72</v>
      </c>
      <c r="E6" t="s">
        <v>73</v>
      </c>
      <c r="F6" t="s">
        <v>34</v>
      </c>
      <c r="G6" t="s">
        <v>34</v>
      </c>
      <c r="H6" t="s">
        <v>74</v>
      </c>
      <c r="I6" t="s">
        <v>46</v>
      </c>
      <c r="K6" t="s">
        <v>75</v>
      </c>
      <c r="L6" t="s">
        <v>49</v>
      </c>
      <c r="M6" t="s">
        <v>48</v>
      </c>
      <c r="N6" t="s">
        <v>48</v>
      </c>
      <c r="O6" t="s">
        <v>76</v>
      </c>
      <c r="P6" t="s">
        <v>48</v>
      </c>
      <c r="Q6" t="s">
        <v>77</v>
      </c>
      <c r="R6" t="s">
        <v>78</v>
      </c>
      <c r="S6" t="s">
        <v>79</v>
      </c>
      <c r="T6" t="s">
        <v>81</v>
      </c>
      <c r="U6" t="s">
        <v>82</v>
      </c>
      <c r="V6" t="s">
        <v>57</v>
      </c>
    </row>
    <row r="7" spans="1:23" ht="15.75" customHeight="1" x14ac:dyDescent="0.35">
      <c r="A7" t="s">
        <v>83</v>
      </c>
      <c r="B7" t="s">
        <v>84</v>
      </c>
      <c r="C7" t="s">
        <v>33</v>
      </c>
      <c r="D7" t="s">
        <v>33</v>
      </c>
      <c r="E7" t="s">
        <v>33</v>
      </c>
      <c r="F7" t="s">
        <v>34</v>
      </c>
      <c r="G7" t="s">
        <v>34</v>
      </c>
      <c r="H7" t="s">
        <v>73</v>
      </c>
      <c r="I7" t="s">
        <v>36</v>
      </c>
      <c r="K7" t="s">
        <v>85</v>
      </c>
      <c r="L7" t="s">
        <v>48</v>
      </c>
      <c r="M7" t="s">
        <v>48</v>
      </c>
      <c r="N7" t="s">
        <v>48</v>
      </c>
      <c r="O7" t="s">
        <v>86</v>
      </c>
      <c r="P7" t="s">
        <v>48</v>
      </c>
      <c r="Q7" t="s">
        <v>86</v>
      </c>
      <c r="R7" t="s">
        <v>86</v>
      </c>
      <c r="S7" t="s">
        <v>87</v>
      </c>
      <c r="T7" t="s">
        <v>89</v>
      </c>
      <c r="U7" t="s">
        <v>90</v>
      </c>
      <c r="V7" t="s">
        <v>91</v>
      </c>
    </row>
    <row r="8" spans="1:23" ht="15.75" customHeight="1" x14ac:dyDescent="0.35">
      <c r="A8" t="s">
        <v>92</v>
      </c>
      <c r="B8" t="s">
        <v>93</v>
      </c>
      <c r="C8" t="s">
        <v>28</v>
      </c>
      <c r="D8" t="s">
        <v>29</v>
      </c>
      <c r="E8" t="s">
        <v>29</v>
      </c>
      <c r="F8" t="s">
        <v>30</v>
      </c>
      <c r="G8" t="s">
        <v>30</v>
      </c>
      <c r="H8" t="s">
        <v>94</v>
      </c>
      <c r="I8" t="s">
        <v>36</v>
      </c>
      <c r="K8" t="s">
        <v>95</v>
      </c>
      <c r="L8" t="s">
        <v>48</v>
      </c>
      <c r="M8" t="s">
        <v>49</v>
      </c>
      <c r="N8" t="s">
        <v>38</v>
      </c>
      <c r="O8" t="s">
        <v>96</v>
      </c>
      <c r="P8" t="s">
        <v>49</v>
      </c>
      <c r="Q8" t="s">
        <v>97</v>
      </c>
      <c r="R8" t="s">
        <v>98</v>
      </c>
      <c r="S8" t="s">
        <v>79</v>
      </c>
      <c r="T8" t="s">
        <v>100</v>
      </c>
      <c r="U8" t="s">
        <v>101</v>
      </c>
      <c r="V8" t="s">
        <v>57</v>
      </c>
    </row>
    <row r="9" spans="1:23" ht="15.75" customHeight="1" x14ac:dyDescent="0.35">
      <c r="A9" t="s">
        <v>102</v>
      </c>
      <c r="B9" t="s">
        <v>59</v>
      </c>
      <c r="C9" t="s">
        <v>44</v>
      </c>
      <c r="D9" t="s">
        <v>60</v>
      </c>
      <c r="E9" t="s">
        <v>28</v>
      </c>
      <c r="F9" t="s">
        <v>28</v>
      </c>
      <c r="G9" t="s">
        <v>103</v>
      </c>
      <c r="H9" t="s">
        <v>35</v>
      </c>
      <c r="I9" t="s">
        <v>36</v>
      </c>
      <c r="K9" t="s">
        <v>104</v>
      </c>
      <c r="L9" t="s">
        <v>38</v>
      </c>
      <c r="M9" t="s">
        <v>49</v>
      </c>
      <c r="N9" t="s">
        <v>49</v>
      </c>
      <c r="O9" t="s">
        <v>105</v>
      </c>
      <c r="P9" t="s">
        <v>49</v>
      </c>
      <c r="Q9" t="s">
        <v>106</v>
      </c>
      <c r="R9" t="s">
        <v>107</v>
      </c>
      <c r="S9" t="s">
        <v>65</v>
      </c>
      <c r="T9" t="s">
        <v>109</v>
      </c>
      <c r="U9" t="s">
        <v>110</v>
      </c>
      <c r="V9" t="s">
        <v>57</v>
      </c>
    </row>
    <row r="10" spans="1:23" ht="15.75" customHeight="1" x14ac:dyDescent="0.35">
      <c r="A10" t="s">
        <v>111</v>
      </c>
      <c r="B10" t="s">
        <v>112</v>
      </c>
      <c r="C10" t="s">
        <v>33</v>
      </c>
      <c r="D10" t="s">
        <v>33</v>
      </c>
      <c r="E10" t="s">
        <v>44</v>
      </c>
      <c r="F10" t="s">
        <v>34</v>
      </c>
      <c r="G10" t="s">
        <v>30</v>
      </c>
      <c r="H10" t="s">
        <v>74</v>
      </c>
      <c r="I10" t="s">
        <v>36</v>
      </c>
      <c r="K10" t="s">
        <v>113</v>
      </c>
      <c r="L10" t="s">
        <v>49</v>
      </c>
      <c r="M10" t="s">
        <v>49</v>
      </c>
      <c r="N10" t="s">
        <v>49</v>
      </c>
      <c r="O10" t="s">
        <v>114</v>
      </c>
      <c r="P10" t="s">
        <v>49</v>
      </c>
      <c r="Q10" t="s">
        <v>115</v>
      </c>
      <c r="R10" t="s">
        <v>116</v>
      </c>
      <c r="S10" t="s">
        <v>79</v>
      </c>
      <c r="T10" t="s">
        <v>118</v>
      </c>
      <c r="U10" t="s">
        <v>119</v>
      </c>
      <c r="V10" t="s">
        <v>91</v>
      </c>
    </row>
    <row r="11" spans="1:23" ht="15.75" customHeight="1" x14ac:dyDescent="0.35">
      <c r="A11" t="s">
        <v>120</v>
      </c>
      <c r="B11" t="s">
        <v>121</v>
      </c>
      <c r="C11" t="s">
        <v>71</v>
      </c>
      <c r="D11" t="s">
        <v>33</v>
      </c>
      <c r="E11" t="s">
        <v>33</v>
      </c>
      <c r="F11" t="s">
        <v>34</v>
      </c>
      <c r="G11" t="s">
        <v>34</v>
      </c>
      <c r="H11" t="s">
        <v>74</v>
      </c>
      <c r="I11" t="s">
        <v>36</v>
      </c>
      <c r="K11" t="s">
        <v>122</v>
      </c>
      <c r="L11" t="s">
        <v>48</v>
      </c>
      <c r="M11" t="s">
        <v>48</v>
      </c>
      <c r="N11" t="s">
        <v>48</v>
      </c>
      <c r="O11" t="s">
        <v>123</v>
      </c>
      <c r="P11" t="s">
        <v>48</v>
      </c>
      <c r="Q11" t="s">
        <v>124</v>
      </c>
      <c r="R11" t="s">
        <v>125</v>
      </c>
      <c r="S11" t="s">
        <v>87</v>
      </c>
      <c r="T11" t="s">
        <v>127</v>
      </c>
      <c r="U11" t="s">
        <v>128</v>
      </c>
      <c r="V11" t="s">
        <v>129</v>
      </c>
    </row>
    <row r="12" spans="1:23" ht="15.75" customHeight="1" x14ac:dyDescent="0.35">
      <c r="A12" t="s">
        <v>130</v>
      </c>
      <c r="B12" t="s">
        <v>131</v>
      </c>
      <c r="C12" t="s">
        <v>28</v>
      </c>
      <c r="D12" t="s">
        <v>28</v>
      </c>
      <c r="E12" t="s">
        <v>28</v>
      </c>
      <c r="F12" t="s">
        <v>28</v>
      </c>
      <c r="G12" t="s">
        <v>28</v>
      </c>
      <c r="H12" t="s">
        <v>28</v>
      </c>
      <c r="I12" t="s">
        <v>46</v>
      </c>
      <c r="K12" t="s">
        <v>132</v>
      </c>
      <c r="L12" t="s">
        <v>48</v>
      </c>
      <c r="M12" t="s">
        <v>48</v>
      </c>
      <c r="N12" t="s">
        <v>48</v>
      </c>
      <c r="P12" t="s">
        <v>48</v>
      </c>
      <c r="Q12" t="s">
        <v>133</v>
      </c>
      <c r="R12" t="s">
        <v>134</v>
      </c>
      <c r="S12" t="s">
        <v>135</v>
      </c>
      <c r="T12" t="s">
        <v>137</v>
      </c>
      <c r="U12" t="s">
        <v>138</v>
      </c>
      <c r="V12" t="s">
        <v>129</v>
      </c>
    </row>
    <row r="13" spans="1:23" ht="15.75" customHeight="1" x14ac:dyDescent="0.35">
      <c r="A13" t="s">
        <v>139</v>
      </c>
      <c r="B13" t="s">
        <v>84</v>
      </c>
      <c r="C13" t="s">
        <v>29</v>
      </c>
      <c r="D13" t="s">
        <v>29</v>
      </c>
      <c r="E13" t="s">
        <v>29</v>
      </c>
      <c r="F13" t="s">
        <v>28</v>
      </c>
      <c r="G13" t="s">
        <v>28</v>
      </c>
      <c r="H13" t="s">
        <v>28</v>
      </c>
      <c r="I13" t="s">
        <v>36</v>
      </c>
      <c r="K13" t="s">
        <v>140</v>
      </c>
      <c r="L13" t="s">
        <v>48</v>
      </c>
      <c r="M13" t="s">
        <v>48</v>
      </c>
      <c r="N13" t="s">
        <v>48</v>
      </c>
      <c r="O13" t="s">
        <v>141</v>
      </c>
      <c r="P13" t="s">
        <v>48</v>
      </c>
      <c r="Q13" t="s">
        <v>142</v>
      </c>
      <c r="R13" t="s">
        <v>143</v>
      </c>
      <c r="S13" t="s">
        <v>79</v>
      </c>
      <c r="T13" t="s">
        <v>89</v>
      </c>
      <c r="U13" t="s">
        <v>145</v>
      </c>
      <c r="V13" t="s">
        <v>91</v>
      </c>
    </row>
    <row r="14" spans="1:23" ht="15.75" customHeight="1" x14ac:dyDescent="0.35">
      <c r="A14" t="s">
        <v>146</v>
      </c>
      <c r="B14" t="s">
        <v>147</v>
      </c>
      <c r="C14" t="s">
        <v>28</v>
      </c>
      <c r="D14" t="s">
        <v>28</v>
      </c>
      <c r="E14" t="s">
        <v>28</v>
      </c>
      <c r="F14" t="s">
        <v>28</v>
      </c>
      <c r="G14" t="s">
        <v>28</v>
      </c>
      <c r="H14" t="s">
        <v>28</v>
      </c>
      <c r="I14" t="s">
        <v>46</v>
      </c>
      <c r="K14" t="s">
        <v>148</v>
      </c>
      <c r="L14" t="s">
        <v>48</v>
      </c>
      <c r="M14" t="s">
        <v>48</v>
      </c>
      <c r="N14" t="s">
        <v>48</v>
      </c>
      <c r="O14" t="s">
        <v>149</v>
      </c>
      <c r="P14" t="s">
        <v>48</v>
      </c>
      <c r="Q14" t="s">
        <v>150</v>
      </c>
      <c r="R14" t="s">
        <v>151</v>
      </c>
      <c r="S14" t="s">
        <v>87</v>
      </c>
      <c r="T14" t="s">
        <v>153</v>
      </c>
      <c r="U14" t="s">
        <v>154</v>
      </c>
      <c r="V14" t="s">
        <v>129</v>
      </c>
    </row>
    <row r="15" spans="1:23" ht="15.75" customHeight="1" x14ac:dyDescent="0.35">
      <c r="A15" t="s">
        <v>155</v>
      </c>
      <c r="B15" t="s">
        <v>156</v>
      </c>
      <c r="C15" t="s">
        <v>29</v>
      </c>
      <c r="D15" t="s">
        <v>28</v>
      </c>
      <c r="E15" t="s">
        <v>157</v>
      </c>
      <c r="F15" t="s">
        <v>158</v>
      </c>
      <c r="G15" t="s">
        <v>45</v>
      </c>
      <c r="H15" t="s">
        <v>45</v>
      </c>
      <c r="I15" t="s">
        <v>36</v>
      </c>
      <c r="K15" t="s">
        <v>159</v>
      </c>
      <c r="L15" t="s">
        <v>38</v>
      </c>
      <c r="M15" t="s">
        <v>40</v>
      </c>
      <c r="N15" t="s">
        <v>40</v>
      </c>
      <c r="P15" t="s">
        <v>38</v>
      </c>
      <c r="S15" t="s">
        <v>135</v>
      </c>
      <c r="T15" t="s">
        <v>161</v>
      </c>
      <c r="U15" t="s">
        <v>162</v>
      </c>
      <c r="V15" t="s">
        <v>91</v>
      </c>
    </row>
    <row r="16" spans="1:23" ht="15.75" customHeight="1" x14ac:dyDescent="0.35">
      <c r="A16" t="s">
        <v>163</v>
      </c>
      <c r="B16" t="s">
        <v>164</v>
      </c>
      <c r="C16" t="s">
        <v>28</v>
      </c>
      <c r="D16" t="s">
        <v>29</v>
      </c>
      <c r="E16" t="s">
        <v>28</v>
      </c>
      <c r="F16" t="s">
        <v>30</v>
      </c>
      <c r="G16" t="s">
        <v>28</v>
      </c>
      <c r="H16" t="s">
        <v>28</v>
      </c>
      <c r="I16" t="s">
        <v>36</v>
      </c>
      <c r="K16" t="s">
        <v>165</v>
      </c>
      <c r="L16" t="s">
        <v>49</v>
      </c>
      <c r="M16" t="s">
        <v>49</v>
      </c>
      <c r="N16" t="s">
        <v>49</v>
      </c>
      <c r="O16" t="s">
        <v>166</v>
      </c>
      <c r="P16" t="s">
        <v>49</v>
      </c>
      <c r="Q16" t="s">
        <v>106</v>
      </c>
      <c r="R16" t="s">
        <v>106</v>
      </c>
      <c r="S16" t="s">
        <v>135</v>
      </c>
      <c r="T16" t="s">
        <v>168</v>
      </c>
      <c r="U16" t="s">
        <v>169</v>
      </c>
      <c r="V16" t="s">
        <v>170</v>
      </c>
    </row>
    <row r="17" spans="1:22" ht="15.75" customHeight="1" x14ac:dyDescent="0.35">
      <c r="A17" t="s">
        <v>171</v>
      </c>
      <c r="B17" t="s">
        <v>172</v>
      </c>
      <c r="C17" t="s">
        <v>28</v>
      </c>
      <c r="D17" t="s">
        <v>29</v>
      </c>
      <c r="E17" t="s">
        <v>33</v>
      </c>
      <c r="F17" t="s">
        <v>173</v>
      </c>
      <c r="G17" t="s">
        <v>103</v>
      </c>
      <c r="H17" t="s">
        <v>28</v>
      </c>
      <c r="I17" t="s">
        <v>46</v>
      </c>
      <c r="K17" t="s">
        <v>174</v>
      </c>
      <c r="L17" t="s">
        <v>48</v>
      </c>
      <c r="M17" t="s">
        <v>48</v>
      </c>
      <c r="N17" t="s">
        <v>49</v>
      </c>
      <c r="O17" t="s">
        <v>175</v>
      </c>
      <c r="P17" t="s">
        <v>48</v>
      </c>
      <c r="Q17" t="s">
        <v>106</v>
      </c>
      <c r="R17" t="s">
        <v>176</v>
      </c>
      <c r="S17" t="s">
        <v>65</v>
      </c>
      <c r="T17" t="s">
        <v>89</v>
      </c>
      <c r="U17" t="s">
        <v>178</v>
      </c>
      <c r="V17" t="s">
        <v>129</v>
      </c>
    </row>
    <row r="18" spans="1:22" ht="15.75" customHeight="1" x14ac:dyDescent="0.35">
      <c r="A18" t="s">
        <v>179</v>
      </c>
      <c r="B18" t="s">
        <v>180</v>
      </c>
      <c r="C18" t="s">
        <v>28</v>
      </c>
      <c r="D18" t="s">
        <v>28</v>
      </c>
      <c r="E18" t="s">
        <v>28</v>
      </c>
      <c r="F18" t="s">
        <v>28</v>
      </c>
      <c r="G18" t="s">
        <v>28</v>
      </c>
      <c r="H18" t="s">
        <v>28</v>
      </c>
      <c r="I18" t="s">
        <v>46</v>
      </c>
      <c r="K18" t="s">
        <v>181</v>
      </c>
      <c r="L18" t="s">
        <v>48</v>
      </c>
      <c r="M18" t="s">
        <v>48</v>
      </c>
      <c r="N18" t="s">
        <v>48</v>
      </c>
      <c r="O18" t="s">
        <v>56</v>
      </c>
      <c r="P18" t="s">
        <v>48</v>
      </c>
      <c r="Q18" t="s">
        <v>56</v>
      </c>
      <c r="R18" t="s">
        <v>56</v>
      </c>
      <c r="S18" t="s">
        <v>135</v>
      </c>
      <c r="T18" t="s">
        <v>183</v>
      </c>
      <c r="U18" t="s">
        <v>184</v>
      </c>
      <c r="V18" t="s">
        <v>91</v>
      </c>
    </row>
    <row r="19" spans="1:22" ht="15.75" customHeight="1" x14ac:dyDescent="0.35">
      <c r="A19" t="s">
        <v>185</v>
      </c>
      <c r="B19" t="s">
        <v>186</v>
      </c>
      <c r="C19" t="s">
        <v>28</v>
      </c>
      <c r="D19" t="s">
        <v>29</v>
      </c>
      <c r="E19" t="s">
        <v>157</v>
      </c>
      <c r="F19" t="s">
        <v>34</v>
      </c>
      <c r="G19" t="s">
        <v>34</v>
      </c>
      <c r="H19" t="s">
        <v>45</v>
      </c>
      <c r="I19" t="s">
        <v>36</v>
      </c>
      <c r="K19" t="s">
        <v>187</v>
      </c>
      <c r="L19" t="s">
        <v>49</v>
      </c>
      <c r="M19" t="s">
        <v>48</v>
      </c>
      <c r="N19" t="s">
        <v>49</v>
      </c>
      <c r="O19" t="s">
        <v>188</v>
      </c>
      <c r="P19" t="s">
        <v>49</v>
      </c>
      <c r="Q19" t="s">
        <v>189</v>
      </c>
      <c r="R19" t="s">
        <v>190</v>
      </c>
      <c r="S19" t="s">
        <v>65</v>
      </c>
      <c r="T19" t="s">
        <v>192</v>
      </c>
      <c r="U19" t="s">
        <v>193</v>
      </c>
      <c r="V19" t="s">
        <v>57</v>
      </c>
    </row>
    <row r="20" spans="1:22" ht="15.75" customHeight="1" x14ac:dyDescent="0.35">
      <c r="A20" t="s">
        <v>194</v>
      </c>
      <c r="B20" t="s">
        <v>195</v>
      </c>
      <c r="C20" t="s">
        <v>29</v>
      </c>
      <c r="D20" t="s">
        <v>196</v>
      </c>
      <c r="E20" t="s">
        <v>29</v>
      </c>
      <c r="F20" t="s">
        <v>197</v>
      </c>
      <c r="G20" t="s">
        <v>34</v>
      </c>
      <c r="H20" t="s">
        <v>28</v>
      </c>
      <c r="I20" t="s">
        <v>46</v>
      </c>
      <c r="K20" t="s">
        <v>198</v>
      </c>
      <c r="L20" t="s">
        <v>38</v>
      </c>
      <c r="M20" t="s">
        <v>49</v>
      </c>
      <c r="N20" t="s">
        <v>38</v>
      </c>
      <c r="O20" t="s">
        <v>199</v>
      </c>
      <c r="P20" t="s">
        <v>49</v>
      </c>
      <c r="Q20" t="s">
        <v>200</v>
      </c>
      <c r="S20" t="s">
        <v>135</v>
      </c>
      <c r="T20" t="s">
        <v>202</v>
      </c>
      <c r="U20" t="s">
        <v>203</v>
      </c>
      <c r="V20" t="s">
        <v>129</v>
      </c>
    </row>
    <row r="21" spans="1:22" ht="15.75" customHeight="1" x14ac:dyDescent="0.35">
      <c r="A21" t="s">
        <v>204</v>
      </c>
      <c r="B21" t="s">
        <v>205</v>
      </c>
      <c r="C21" t="s">
        <v>71</v>
      </c>
      <c r="D21" t="s">
        <v>72</v>
      </c>
      <c r="E21" t="s">
        <v>206</v>
      </c>
      <c r="F21" t="s">
        <v>34</v>
      </c>
      <c r="G21" t="s">
        <v>173</v>
      </c>
      <c r="H21" t="s">
        <v>28</v>
      </c>
      <c r="I21" t="s">
        <v>46</v>
      </c>
      <c r="K21" t="s">
        <v>207</v>
      </c>
      <c r="L21" t="s">
        <v>48</v>
      </c>
      <c r="M21" t="s">
        <v>48</v>
      </c>
      <c r="N21" t="s">
        <v>48</v>
      </c>
      <c r="P21" t="s">
        <v>49</v>
      </c>
      <c r="S21" t="s">
        <v>87</v>
      </c>
      <c r="T21" t="s">
        <v>161</v>
      </c>
      <c r="U21" t="s">
        <v>209</v>
      </c>
      <c r="V21" t="s">
        <v>91</v>
      </c>
    </row>
    <row r="22" spans="1:22" ht="15.75" customHeight="1" x14ac:dyDescent="0.35">
      <c r="A22" t="s">
        <v>155</v>
      </c>
      <c r="B22" t="s">
        <v>210</v>
      </c>
      <c r="C22" t="s">
        <v>29</v>
      </c>
      <c r="D22" t="s">
        <v>28</v>
      </c>
      <c r="E22" t="s">
        <v>28</v>
      </c>
      <c r="F22" t="s">
        <v>28</v>
      </c>
      <c r="G22" t="s">
        <v>28</v>
      </c>
      <c r="H22" t="s">
        <v>28</v>
      </c>
      <c r="I22" t="s">
        <v>36</v>
      </c>
      <c r="K22" t="s">
        <v>159</v>
      </c>
      <c r="L22" t="s">
        <v>38</v>
      </c>
      <c r="M22" t="s">
        <v>38</v>
      </c>
      <c r="N22" t="s">
        <v>38</v>
      </c>
      <c r="O22" t="s">
        <v>211</v>
      </c>
      <c r="P22" t="s">
        <v>38</v>
      </c>
      <c r="Q22" t="s">
        <v>212</v>
      </c>
      <c r="R22" t="s">
        <v>213</v>
      </c>
      <c r="S22" t="s">
        <v>135</v>
      </c>
      <c r="T22" t="s">
        <v>215</v>
      </c>
      <c r="U22" t="s">
        <v>216</v>
      </c>
      <c r="V22" t="s">
        <v>91</v>
      </c>
    </row>
    <row r="23" spans="1:22" ht="15.75" customHeight="1" x14ac:dyDescent="0.35">
      <c r="A23" t="s">
        <v>217</v>
      </c>
      <c r="B23" t="s">
        <v>218</v>
      </c>
      <c r="C23" t="s">
        <v>71</v>
      </c>
      <c r="D23" t="s">
        <v>33</v>
      </c>
      <c r="E23" t="s">
        <v>33</v>
      </c>
      <c r="F23" t="s">
        <v>34</v>
      </c>
      <c r="G23" t="s">
        <v>34</v>
      </c>
      <c r="H23" t="s">
        <v>74</v>
      </c>
      <c r="I23" t="s">
        <v>46</v>
      </c>
      <c r="K23" t="s">
        <v>219</v>
      </c>
      <c r="L23" t="s">
        <v>48</v>
      </c>
      <c r="M23" t="s">
        <v>48</v>
      </c>
      <c r="N23" t="s">
        <v>48</v>
      </c>
      <c r="P23" t="s">
        <v>48</v>
      </c>
      <c r="S23" t="s">
        <v>135</v>
      </c>
      <c r="T23" t="s">
        <v>168</v>
      </c>
      <c r="U23" t="s">
        <v>221</v>
      </c>
      <c r="V23" t="s">
        <v>170</v>
      </c>
    </row>
    <row r="24" spans="1:22" ht="15.75" customHeight="1" x14ac:dyDescent="0.35">
      <c r="A24" t="s">
        <v>222</v>
      </c>
      <c r="B24" t="s">
        <v>223</v>
      </c>
      <c r="C24" t="s">
        <v>33</v>
      </c>
      <c r="D24" t="s">
        <v>28</v>
      </c>
      <c r="E24" t="s">
        <v>28</v>
      </c>
      <c r="F24" t="s">
        <v>28</v>
      </c>
      <c r="G24" t="s">
        <v>103</v>
      </c>
      <c r="H24" t="s">
        <v>28</v>
      </c>
      <c r="I24" t="s">
        <v>46</v>
      </c>
      <c r="K24" t="s">
        <v>224</v>
      </c>
      <c r="L24" t="s">
        <v>38</v>
      </c>
      <c r="M24" t="s">
        <v>48</v>
      </c>
      <c r="N24" t="s">
        <v>48</v>
      </c>
      <c r="O24" t="s">
        <v>225</v>
      </c>
      <c r="P24" t="s">
        <v>38</v>
      </c>
      <c r="Q24" t="s">
        <v>226</v>
      </c>
      <c r="R24" t="s">
        <v>227</v>
      </c>
      <c r="S24" t="s">
        <v>87</v>
      </c>
      <c r="T24" t="s">
        <v>229</v>
      </c>
      <c r="U24" t="s">
        <v>230</v>
      </c>
      <c r="V24" t="s">
        <v>91</v>
      </c>
    </row>
    <row r="25" spans="1:22" x14ac:dyDescent="0.35">
      <c r="A25" t="s">
        <v>231</v>
      </c>
      <c r="B25" t="s">
        <v>232</v>
      </c>
      <c r="C25" t="s">
        <v>28</v>
      </c>
      <c r="D25" t="s">
        <v>28</v>
      </c>
      <c r="E25" t="s">
        <v>28</v>
      </c>
      <c r="F25" t="s">
        <v>28</v>
      </c>
      <c r="G25" t="s">
        <v>28</v>
      </c>
      <c r="H25" t="s">
        <v>28</v>
      </c>
      <c r="I25" t="s">
        <v>46</v>
      </c>
      <c r="K25" t="s">
        <v>233</v>
      </c>
      <c r="L25" t="s">
        <v>48</v>
      </c>
      <c r="M25" t="s">
        <v>48</v>
      </c>
      <c r="N25" t="s">
        <v>48</v>
      </c>
      <c r="O25" t="s">
        <v>234</v>
      </c>
      <c r="P25" t="s">
        <v>48</v>
      </c>
      <c r="Q25" t="s">
        <v>235</v>
      </c>
      <c r="R25" t="s">
        <v>236</v>
      </c>
      <c r="S25" t="s">
        <v>135</v>
      </c>
      <c r="T25" t="s">
        <v>109</v>
      </c>
      <c r="U25" t="s">
        <v>238</v>
      </c>
      <c r="V25" t="s">
        <v>91</v>
      </c>
    </row>
    <row r="26" spans="1:22" x14ac:dyDescent="0.35">
      <c r="A26" t="s">
        <v>239</v>
      </c>
      <c r="B26" t="s">
        <v>232</v>
      </c>
      <c r="C26" t="s">
        <v>33</v>
      </c>
      <c r="D26" t="s">
        <v>29</v>
      </c>
      <c r="E26" t="s">
        <v>60</v>
      </c>
      <c r="F26" t="s">
        <v>28</v>
      </c>
      <c r="G26" t="s">
        <v>103</v>
      </c>
      <c r="H26" t="s">
        <v>45</v>
      </c>
      <c r="I26" t="s">
        <v>36</v>
      </c>
      <c r="K26" t="s">
        <v>233</v>
      </c>
      <c r="L26" t="s">
        <v>38</v>
      </c>
      <c r="M26" t="s">
        <v>40</v>
      </c>
      <c r="N26" t="s">
        <v>40</v>
      </c>
      <c r="O26" t="s">
        <v>240</v>
      </c>
      <c r="P26" t="s">
        <v>48</v>
      </c>
      <c r="Q26" t="s">
        <v>241</v>
      </c>
      <c r="R26" t="s">
        <v>86</v>
      </c>
      <c r="S26" t="s">
        <v>135</v>
      </c>
      <c r="T26" t="s">
        <v>192</v>
      </c>
      <c r="U26" t="s">
        <v>243</v>
      </c>
      <c r="V26" t="s">
        <v>91</v>
      </c>
    </row>
    <row r="27" spans="1:22" x14ac:dyDescent="0.35">
      <c r="A27" t="s">
        <v>244</v>
      </c>
      <c r="B27" t="s">
        <v>232</v>
      </c>
      <c r="C27" t="s">
        <v>71</v>
      </c>
      <c r="D27" t="s">
        <v>33</v>
      </c>
      <c r="E27" t="s">
        <v>28</v>
      </c>
      <c r="F27" t="s">
        <v>30</v>
      </c>
      <c r="G27" t="s">
        <v>94</v>
      </c>
      <c r="H27" t="s">
        <v>28</v>
      </c>
      <c r="I27" t="s">
        <v>46</v>
      </c>
      <c r="K27" t="s">
        <v>245</v>
      </c>
      <c r="L27" t="s">
        <v>48</v>
      </c>
      <c r="M27" t="s">
        <v>48</v>
      </c>
      <c r="N27" t="s">
        <v>48</v>
      </c>
      <c r="O27" t="s">
        <v>246</v>
      </c>
      <c r="P27" t="s">
        <v>48</v>
      </c>
      <c r="Q27" t="s">
        <v>247</v>
      </c>
      <c r="R27" t="s">
        <v>248</v>
      </c>
      <c r="S27" t="s">
        <v>87</v>
      </c>
      <c r="T27" t="s">
        <v>250</v>
      </c>
      <c r="U27" t="s">
        <v>251</v>
      </c>
      <c r="V27" t="s">
        <v>129</v>
      </c>
    </row>
    <row r="28" spans="1:22" x14ac:dyDescent="0.35">
      <c r="A28" t="s">
        <v>252</v>
      </c>
      <c r="B28" t="s">
        <v>232</v>
      </c>
      <c r="C28" t="s">
        <v>28</v>
      </c>
      <c r="D28" t="s">
        <v>28</v>
      </c>
      <c r="E28" t="s">
        <v>28</v>
      </c>
      <c r="F28" t="s">
        <v>28</v>
      </c>
      <c r="G28" t="s">
        <v>28</v>
      </c>
      <c r="H28" t="s">
        <v>28</v>
      </c>
      <c r="I28" t="s">
        <v>46</v>
      </c>
      <c r="K28" t="s">
        <v>253</v>
      </c>
      <c r="L28" t="s">
        <v>48</v>
      </c>
      <c r="M28" t="s">
        <v>48</v>
      </c>
      <c r="N28" t="s">
        <v>48</v>
      </c>
      <c r="O28" t="s">
        <v>254</v>
      </c>
      <c r="P28" t="s">
        <v>48</v>
      </c>
      <c r="Q28" t="s">
        <v>255</v>
      </c>
      <c r="R28" t="s">
        <v>256</v>
      </c>
      <c r="S28" t="s">
        <v>135</v>
      </c>
      <c r="T28" t="s">
        <v>250</v>
      </c>
      <c r="U28" t="s">
        <v>258</v>
      </c>
      <c r="V28" t="s">
        <v>91</v>
      </c>
    </row>
    <row r="29" spans="1:22" x14ac:dyDescent="0.35">
      <c r="A29" t="s">
        <v>259</v>
      </c>
      <c r="B29" t="s">
        <v>223</v>
      </c>
      <c r="C29" t="s">
        <v>28</v>
      </c>
      <c r="D29" t="s">
        <v>28</v>
      </c>
      <c r="E29" t="s">
        <v>28</v>
      </c>
      <c r="F29" t="s">
        <v>28</v>
      </c>
      <c r="G29" t="s">
        <v>28</v>
      </c>
      <c r="H29" t="s">
        <v>28</v>
      </c>
      <c r="I29" t="s">
        <v>46</v>
      </c>
      <c r="K29" t="s">
        <v>260</v>
      </c>
      <c r="L29" t="s">
        <v>48</v>
      </c>
      <c r="M29" t="s">
        <v>48</v>
      </c>
      <c r="N29" t="s">
        <v>48</v>
      </c>
      <c r="P29" t="s">
        <v>48</v>
      </c>
      <c r="S29" t="s">
        <v>87</v>
      </c>
      <c r="T29" t="s">
        <v>192</v>
      </c>
      <c r="U29" t="s">
        <v>262</v>
      </c>
      <c r="V29" t="s">
        <v>91</v>
      </c>
    </row>
    <row r="30" spans="1:22" x14ac:dyDescent="0.35">
      <c r="A30" t="s">
        <v>263</v>
      </c>
      <c r="B30" t="s">
        <v>223</v>
      </c>
      <c r="C30" t="s">
        <v>33</v>
      </c>
      <c r="D30" t="s">
        <v>33</v>
      </c>
      <c r="E30" t="s">
        <v>33</v>
      </c>
      <c r="F30" t="s">
        <v>34</v>
      </c>
      <c r="G30" t="s">
        <v>34</v>
      </c>
      <c r="H30" t="s">
        <v>74</v>
      </c>
      <c r="I30" t="s">
        <v>36</v>
      </c>
      <c r="K30" t="s">
        <v>264</v>
      </c>
      <c r="L30" t="s">
        <v>48</v>
      </c>
      <c r="M30" t="s">
        <v>48</v>
      </c>
      <c r="N30" t="s">
        <v>48</v>
      </c>
      <c r="O30" t="s">
        <v>265</v>
      </c>
      <c r="P30" t="s">
        <v>48</v>
      </c>
      <c r="Q30" t="s">
        <v>266</v>
      </c>
      <c r="R30" t="s">
        <v>267</v>
      </c>
      <c r="S30" t="s">
        <v>135</v>
      </c>
      <c r="T30" t="s">
        <v>192</v>
      </c>
      <c r="U30" t="s">
        <v>269</v>
      </c>
      <c r="V30" t="s">
        <v>129</v>
      </c>
    </row>
    <row r="31" spans="1:22" x14ac:dyDescent="0.35">
      <c r="A31" t="s">
        <v>270</v>
      </c>
      <c r="B31" t="s">
        <v>223</v>
      </c>
      <c r="C31" t="s">
        <v>28</v>
      </c>
      <c r="D31" t="s">
        <v>60</v>
      </c>
      <c r="E31" t="s">
        <v>28</v>
      </c>
      <c r="F31" t="s">
        <v>158</v>
      </c>
      <c r="G31" t="s">
        <v>45</v>
      </c>
      <c r="H31" t="s">
        <v>28</v>
      </c>
      <c r="I31" t="s">
        <v>36</v>
      </c>
      <c r="K31" t="s">
        <v>271</v>
      </c>
      <c r="L31" t="s">
        <v>49</v>
      </c>
      <c r="M31" t="s">
        <v>48</v>
      </c>
      <c r="N31" t="s">
        <v>38</v>
      </c>
      <c r="O31" t="s">
        <v>272</v>
      </c>
      <c r="P31" t="s">
        <v>49</v>
      </c>
      <c r="Q31" t="s">
        <v>273</v>
      </c>
      <c r="R31" t="s">
        <v>274</v>
      </c>
      <c r="S31" t="s">
        <v>53</v>
      </c>
      <c r="T31" t="s">
        <v>109</v>
      </c>
      <c r="U31" t="s">
        <v>193</v>
      </c>
      <c r="V31" t="s">
        <v>91</v>
      </c>
    </row>
    <row r="32" spans="1:22" x14ac:dyDescent="0.35">
      <c r="A32" t="s">
        <v>276</v>
      </c>
      <c r="B32" t="s">
        <v>232</v>
      </c>
      <c r="C32" t="s">
        <v>28</v>
      </c>
      <c r="D32" t="s">
        <v>28</v>
      </c>
      <c r="E32" t="s">
        <v>28</v>
      </c>
      <c r="F32" t="s">
        <v>173</v>
      </c>
      <c r="G32" t="s">
        <v>28</v>
      </c>
      <c r="H32" t="s">
        <v>28</v>
      </c>
      <c r="I32" t="s">
        <v>46</v>
      </c>
      <c r="K32" t="s">
        <v>277</v>
      </c>
      <c r="L32" t="s">
        <v>49</v>
      </c>
      <c r="M32" t="s">
        <v>38</v>
      </c>
      <c r="N32" t="s">
        <v>49</v>
      </c>
      <c r="O32" t="s">
        <v>278</v>
      </c>
      <c r="P32" t="s">
        <v>49</v>
      </c>
      <c r="Q32" t="s">
        <v>279</v>
      </c>
      <c r="R32" t="s">
        <v>280</v>
      </c>
      <c r="S32" t="s">
        <v>135</v>
      </c>
      <c r="T32" t="s">
        <v>250</v>
      </c>
      <c r="U32" t="s">
        <v>282</v>
      </c>
      <c r="V32" t="s">
        <v>91</v>
      </c>
    </row>
    <row r="33" spans="1:22" x14ac:dyDescent="0.35">
      <c r="A33" t="s">
        <v>283</v>
      </c>
      <c r="B33" t="s">
        <v>223</v>
      </c>
      <c r="C33" t="s">
        <v>28</v>
      </c>
      <c r="D33" t="s">
        <v>196</v>
      </c>
      <c r="E33" t="s">
        <v>284</v>
      </c>
      <c r="F33" t="s">
        <v>197</v>
      </c>
      <c r="G33" t="s">
        <v>28</v>
      </c>
      <c r="H33" t="s">
        <v>28</v>
      </c>
      <c r="I33" t="s">
        <v>36</v>
      </c>
      <c r="K33" t="s">
        <v>233</v>
      </c>
      <c r="L33" t="s">
        <v>48</v>
      </c>
      <c r="M33" t="s">
        <v>48</v>
      </c>
      <c r="N33" t="s">
        <v>48</v>
      </c>
      <c r="O33" t="s">
        <v>285</v>
      </c>
      <c r="P33" t="s">
        <v>48</v>
      </c>
      <c r="Q33" t="s">
        <v>286</v>
      </c>
      <c r="R33" t="s">
        <v>287</v>
      </c>
      <c r="S33" t="s">
        <v>135</v>
      </c>
      <c r="T33" t="s">
        <v>192</v>
      </c>
      <c r="U33" t="s">
        <v>289</v>
      </c>
      <c r="V33" t="s">
        <v>91</v>
      </c>
    </row>
    <row r="34" spans="1:22" x14ac:dyDescent="0.35">
      <c r="A34" t="s">
        <v>290</v>
      </c>
      <c r="B34" t="s">
        <v>291</v>
      </c>
      <c r="C34" t="s">
        <v>28</v>
      </c>
      <c r="D34" t="s">
        <v>33</v>
      </c>
      <c r="E34" t="s">
        <v>284</v>
      </c>
      <c r="F34" t="s">
        <v>30</v>
      </c>
      <c r="G34" t="s">
        <v>34</v>
      </c>
      <c r="H34" t="s">
        <v>292</v>
      </c>
      <c r="I34" t="s">
        <v>46</v>
      </c>
      <c r="K34" t="s">
        <v>233</v>
      </c>
      <c r="L34" t="s">
        <v>38</v>
      </c>
      <c r="M34" t="s">
        <v>38</v>
      </c>
      <c r="N34" t="s">
        <v>38</v>
      </c>
      <c r="O34" t="s">
        <v>293</v>
      </c>
      <c r="P34" t="s">
        <v>38</v>
      </c>
      <c r="Q34" t="s">
        <v>294</v>
      </c>
      <c r="R34" t="s">
        <v>295</v>
      </c>
      <c r="S34" t="s">
        <v>87</v>
      </c>
      <c r="T34" t="s">
        <v>192</v>
      </c>
      <c r="U34" t="s">
        <v>56</v>
      </c>
      <c r="V34" t="s">
        <v>91</v>
      </c>
    </row>
    <row r="35" spans="1:22" x14ac:dyDescent="0.35">
      <c r="A35" t="s">
        <v>297</v>
      </c>
      <c r="B35" t="s">
        <v>232</v>
      </c>
      <c r="C35" t="s">
        <v>28</v>
      </c>
      <c r="D35" t="s">
        <v>29</v>
      </c>
      <c r="E35" t="s">
        <v>206</v>
      </c>
      <c r="F35" t="s">
        <v>30</v>
      </c>
      <c r="G35" t="s">
        <v>28</v>
      </c>
      <c r="H35" t="s">
        <v>94</v>
      </c>
      <c r="I35" t="s">
        <v>46</v>
      </c>
      <c r="K35" t="s">
        <v>253</v>
      </c>
      <c r="L35" t="s">
        <v>48</v>
      </c>
      <c r="M35" t="s">
        <v>48</v>
      </c>
      <c r="N35" t="s">
        <v>48</v>
      </c>
      <c r="O35" t="s">
        <v>298</v>
      </c>
      <c r="P35" t="s">
        <v>48</v>
      </c>
      <c r="Q35" t="s">
        <v>299</v>
      </c>
      <c r="R35" t="s">
        <v>300</v>
      </c>
      <c r="S35" t="s">
        <v>87</v>
      </c>
      <c r="T35" t="s">
        <v>250</v>
      </c>
      <c r="U35" t="s">
        <v>302</v>
      </c>
      <c r="V35" t="s">
        <v>91</v>
      </c>
    </row>
    <row r="36" spans="1:22" x14ac:dyDescent="0.35">
      <c r="A36" t="s">
        <v>303</v>
      </c>
      <c r="B36" t="s">
        <v>205</v>
      </c>
      <c r="C36" t="s">
        <v>33</v>
      </c>
      <c r="D36" t="s">
        <v>33</v>
      </c>
      <c r="E36" t="s">
        <v>33</v>
      </c>
      <c r="F36" t="s">
        <v>34</v>
      </c>
      <c r="G36" t="s">
        <v>34</v>
      </c>
      <c r="H36" t="s">
        <v>28</v>
      </c>
      <c r="I36" t="s">
        <v>36</v>
      </c>
      <c r="K36" t="s">
        <v>304</v>
      </c>
      <c r="L36" t="s">
        <v>48</v>
      </c>
      <c r="M36" t="s">
        <v>48</v>
      </c>
      <c r="N36" t="s">
        <v>48</v>
      </c>
      <c r="O36" t="s">
        <v>305</v>
      </c>
      <c r="P36" t="s">
        <v>40</v>
      </c>
      <c r="Q36" t="s">
        <v>306</v>
      </c>
      <c r="R36" t="s">
        <v>86</v>
      </c>
      <c r="S36" t="s">
        <v>135</v>
      </c>
      <c r="T36" t="s">
        <v>192</v>
      </c>
      <c r="U36" t="s">
        <v>308</v>
      </c>
      <c r="V36" t="s">
        <v>129</v>
      </c>
    </row>
    <row r="37" spans="1:22" x14ac:dyDescent="0.35">
      <c r="A37" t="s">
        <v>309</v>
      </c>
      <c r="B37" t="s">
        <v>223</v>
      </c>
      <c r="C37" t="s">
        <v>33</v>
      </c>
      <c r="D37" t="s">
        <v>72</v>
      </c>
      <c r="E37" t="s">
        <v>33</v>
      </c>
      <c r="F37" t="s">
        <v>72</v>
      </c>
      <c r="G37" t="s">
        <v>34</v>
      </c>
      <c r="H37" t="s">
        <v>74</v>
      </c>
      <c r="I37" t="s">
        <v>46</v>
      </c>
      <c r="K37" t="s">
        <v>233</v>
      </c>
      <c r="L37" t="s">
        <v>39</v>
      </c>
      <c r="M37" t="s">
        <v>48</v>
      </c>
      <c r="N37" t="s">
        <v>48</v>
      </c>
      <c r="O37" t="s">
        <v>310</v>
      </c>
      <c r="P37" t="s">
        <v>48</v>
      </c>
      <c r="Q37" t="s">
        <v>311</v>
      </c>
      <c r="R37" t="s">
        <v>312</v>
      </c>
      <c r="S37" t="s">
        <v>53</v>
      </c>
      <c r="T37" t="s">
        <v>109</v>
      </c>
      <c r="U37" t="s">
        <v>26</v>
      </c>
      <c r="V37" t="s">
        <v>91</v>
      </c>
    </row>
    <row r="38" spans="1:22" x14ac:dyDescent="0.35">
      <c r="A38" t="s">
        <v>314</v>
      </c>
      <c r="B38" t="s">
        <v>223</v>
      </c>
      <c r="C38" t="s">
        <v>33</v>
      </c>
      <c r="D38" t="s">
        <v>33</v>
      </c>
      <c r="E38" t="s">
        <v>33</v>
      </c>
      <c r="F38" t="s">
        <v>34</v>
      </c>
      <c r="G38" t="s">
        <v>34</v>
      </c>
      <c r="H38" t="s">
        <v>74</v>
      </c>
      <c r="I38" t="s">
        <v>36</v>
      </c>
      <c r="K38" t="s">
        <v>260</v>
      </c>
      <c r="L38" t="s">
        <v>48</v>
      </c>
      <c r="M38" t="s">
        <v>48</v>
      </c>
      <c r="N38" t="s">
        <v>38</v>
      </c>
      <c r="P38" t="s">
        <v>38</v>
      </c>
      <c r="S38" t="s">
        <v>135</v>
      </c>
      <c r="T38" t="s">
        <v>192</v>
      </c>
      <c r="U38" t="s">
        <v>316</v>
      </c>
      <c r="V38" t="s">
        <v>91</v>
      </c>
    </row>
    <row r="39" spans="1:22" x14ac:dyDescent="0.35">
      <c r="A39" t="s">
        <v>317</v>
      </c>
      <c r="B39" t="s">
        <v>318</v>
      </c>
      <c r="C39" t="s">
        <v>28</v>
      </c>
      <c r="D39" t="s">
        <v>29</v>
      </c>
      <c r="E39" t="s">
        <v>29</v>
      </c>
      <c r="F39" t="s">
        <v>173</v>
      </c>
      <c r="G39" t="s">
        <v>30</v>
      </c>
      <c r="H39" t="s">
        <v>35</v>
      </c>
      <c r="I39" t="s">
        <v>46</v>
      </c>
      <c r="K39" t="s">
        <v>233</v>
      </c>
      <c r="L39" t="s">
        <v>48</v>
      </c>
      <c r="M39" t="s">
        <v>48</v>
      </c>
      <c r="N39" t="s">
        <v>49</v>
      </c>
      <c r="O39" t="s">
        <v>319</v>
      </c>
      <c r="P39" t="s">
        <v>49</v>
      </c>
      <c r="Q39" t="s">
        <v>320</v>
      </c>
      <c r="R39" t="s">
        <v>321</v>
      </c>
      <c r="S39" t="s">
        <v>135</v>
      </c>
      <c r="T39" t="s">
        <v>192</v>
      </c>
      <c r="U39" t="s">
        <v>232</v>
      </c>
      <c r="V39" t="s">
        <v>129</v>
      </c>
    </row>
    <row r="40" spans="1:22" x14ac:dyDescent="0.35">
      <c r="A40" t="s">
        <v>323</v>
      </c>
      <c r="B40" t="s">
        <v>318</v>
      </c>
      <c r="C40" t="s">
        <v>28</v>
      </c>
      <c r="D40" t="s">
        <v>28</v>
      </c>
      <c r="E40" t="s">
        <v>28</v>
      </c>
      <c r="F40" t="s">
        <v>103</v>
      </c>
      <c r="G40" t="s">
        <v>103</v>
      </c>
      <c r="H40" t="s">
        <v>28</v>
      </c>
      <c r="I40" t="s">
        <v>46</v>
      </c>
      <c r="K40" t="s">
        <v>233</v>
      </c>
      <c r="L40" t="s">
        <v>38</v>
      </c>
      <c r="M40" t="s">
        <v>49</v>
      </c>
      <c r="N40" t="s">
        <v>49</v>
      </c>
      <c r="O40" t="s">
        <v>324</v>
      </c>
      <c r="P40" t="s">
        <v>49</v>
      </c>
      <c r="Q40" t="s">
        <v>325</v>
      </c>
      <c r="R40" t="s">
        <v>326</v>
      </c>
      <c r="S40" t="s">
        <v>135</v>
      </c>
      <c r="T40" t="s">
        <v>109</v>
      </c>
      <c r="U40" t="s">
        <v>223</v>
      </c>
      <c r="V40" t="s">
        <v>129</v>
      </c>
    </row>
    <row r="41" spans="1:22" x14ac:dyDescent="0.35">
      <c r="A41" t="s">
        <v>328</v>
      </c>
      <c r="B41" t="s">
        <v>223</v>
      </c>
      <c r="C41" t="s">
        <v>33</v>
      </c>
      <c r="D41" t="s">
        <v>28</v>
      </c>
      <c r="E41" t="s">
        <v>33</v>
      </c>
      <c r="F41" t="s">
        <v>30</v>
      </c>
      <c r="G41" t="s">
        <v>34</v>
      </c>
      <c r="H41" t="s">
        <v>74</v>
      </c>
      <c r="I41" t="s">
        <v>36</v>
      </c>
      <c r="K41" t="s">
        <v>233</v>
      </c>
      <c r="L41" t="s">
        <v>48</v>
      </c>
      <c r="M41" t="s">
        <v>48</v>
      </c>
      <c r="N41" t="s">
        <v>48</v>
      </c>
      <c r="O41" t="s">
        <v>329</v>
      </c>
      <c r="P41" t="s">
        <v>48</v>
      </c>
      <c r="Q41" t="s">
        <v>330</v>
      </c>
      <c r="R41" t="s">
        <v>86</v>
      </c>
      <c r="S41" t="s">
        <v>135</v>
      </c>
      <c r="T41" t="s">
        <v>192</v>
      </c>
      <c r="U41" t="s">
        <v>332</v>
      </c>
      <c r="V41" t="s">
        <v>129</v>
      </c>
    </row>
    <row r="42" spans="1:22" x14ac:dyDescent="0.35">
      <c r="A42" t="s">
        <v>333</v>
      </c>
      <c r="B42" t="s">
        <v>334</v>
      </c>
      <c r="C42" t="s">
        <v>33</v>
      </c>
      <c r="D42" t="s">
        <v>28</v>
      </c>
      <c r="E42" t="s">
        <v>33</v>
      </c>
      <c r="F42" t="s">
        <v>34</v>
      </c>
      <c r="G42" t="s">
        <v>34</v>
      </c>
      <c r="H42" t="s">
        <v>74</v>
      </c>
      <c r="I42" t="s">
        <v>36</v>
      </c>
      <c r="K42" t="s">
        <v>335</v>
      </c>
      <c r="L42" t="s">
        <v>49</v>
      </c>
      <c r="M42" t="s">
        <v>48</v>
      </c>
      <c r="N42" t="s">
        <v>49</v>
      </c>
      <c r="O42" t="s">
        <v>336</v>
      </c>
      <c r="P42" t="s">
        <v>48</v>
      </c>
      <c r="Q42" t="s">
        <v>337</v>
      </c>
      <c r="R42" t="s">
        <v>338</v>
      </c>
      <c r="S42" t="s">
        <v>87</v>
      </c>
      <c r="T42" t="s">
        <v>340</v>
      </c>
      <c r="U42" t="s">
        <v>341</v>
      </c>
      <c r="V42" t="s">
        <v>129</v>
      </c>
    </row>
    <row r="43" spans="1:22" x14ac:dyDescent="0.35">
      <c r="A43" t="s">
        <v>342</v>
      </c>
      <c r="B43" t="s">
        <v>343</v>
      </c>
      <c r="C43" t="s">
        <v>344</v>
      </c>
      <c r="D43" t="s">
        <v>29</v>
      </c>
      <c r="E43" t="s">
        <v>29</v>
      </c>
      <c r="F43" t="s">
        <v>30</v>
      </c>
      <c r="G43" t="s">
        <v>30</v>
      </c>
      <c r="H43" t="s">
        <v>94</v>
      </c>
      <c r="I43" t="s">
        <v>46</v>
      </c>
      <c r="K43" t="s">
        <v>335</v>
      </c>
      <c r="L43" t="s">
        <v>48</v>
      </c>
      <c r="M43" t="s">
        <v>48</v>
      </c>
      <c r="N43" t="s">
        <v>49</v>
      </c>
      <c r="O43" t="s">
        <v>345</v>
      </c>
      <c r="P43" t="s">
        <v>48</v>
      </c>
      <c r="Q43" t="s">
        <v>106</v>
      </c>
      <c r="R43" t="s">
        <v>346</v>
      </c>
      <c r="S43" t="s">
        <v>87</v>
      </c>
      <c r="T43" t="s">
        <v>348</v>
      </c>
      <c r="U43" t="s">
        <v>349</v>
      </c>
      <c r="V43" t="s">
        <v>91</v>
      </c>
    </row>
    <row r="44" spans="1:22" x14ac:dyDescent="0.35">
      <c r="A44" t="s">
        <v>350</v>
      </c>
      <c r="B44" t="s">
        <v>351</v>
      </c>
      <c r="C44" t="s">
        <v>33</v>
      </c>
      <c r="D44" t="s">
        <v>33</v>
      </c>
      <c r="E44" t="s">
        <v>33</v>
      </c>
      <c r="F44" t="s">
        <v>34</v>
      </c>
      <c r="G44" t="s">
        <v>34</v>
      </c>
      <c r="H44" t="s">
        <v>74</v>
      </c>
      <c r="I44" t="s">
        <v>36</v>
      </c>
      <c r="K44" t="s">
        <v>352</v>
      </c>
      <c r="L44" t="s">
        <v>39</v>
      </c>
      <c r="M44" t="s">
        <v>39</v>
      </c>
      <c r="N44" t="s">
        <v>38</v>
      </c>
      <c r="O44" t="s">
        <v>353</v>
      </c>
      <c r="P44" t="s">
        <v>38</v>
      </c>
      <c r="Q44" t="s">
        <v>354</v>
      </c>
      <c r="R44" t="s">
        <v>355</v>
      </c>
      <c r="S44" t="s">
        <v>87</v>
      </c>
      <c r="T44" t="s">
        <v>357</v>
      </c>
      <c r="U44" t="s">
        <v>358</v>
      </c>
      <c r="V44" t="s">
        <v>91</v>
      </c>
    </row>
    <row r="45" spans="1:22" x14ac:dyDescent="0.35">
      <c r="A45" t="s">
        <v>359</v>
      </c>
      <c r="B45" t="s">
        <v>32</v>
      </c>
      <c r="C45" t="s">
        <v>29</v>
      </c>
      <c r="D45" t="s">
        <v>60</v>
      </c>
      <c r="E45" t="s">
        <v>33</v>
      </c>
      <c r="F45" t="s">
        <v>28</v>
      </c>
      <c r="G45" t="s">
        <v>34</v>
      </c>
      <c r="H45" t="s">
        <v>61</v>
      </c>
      <c r="I45" t="s">
        <v>46</v>
      </c>
      <c r="K45" t="s">
        <v>335</v>
      </c>
      <c r="L45" t="s">
        <v>49</v>
      </c>
      <c r="M45" t="s">
        <v>49</v>
      </c>
      <c r="N45" t="s">
        <v>49</v>
      </c>
      <c r="O45" t="s">
        <v>360</v>
      </c>
      <c r="P45" t="s">
        <v>48</v>
      </c>
      <c r="Q45" t="s">
        <v>361</v>
      </c>
      <c r="R45" t="s">
        <v>362</v>
      </c>
      <c r="S45" t="s">
        <v>65</v>
      </c>
      <c r="T45" t="s">
        <v>364</v>
      </c>
      <c r="U45" t="s">
        <v>365</v>
      </c>
      <c r="V45" t="s">
        <v>91</v>
      </c>
    </row>
    <row r="46" spans="1:22" x14ac:dyDescent="0.35">
      <c r="A46" t="s">
        <v>366</v>
      </c>
      <c r="B46" t="s">
        <v>367</v>
      </c>
      <c r="C46" t="s">
        <v>29</v>
      </c>
      <c r="D46" t="s">
        <v>28</v>
      </c>
      <c r="E46" t="s">
        <v>284</v>
      </c>
      <c r="F46" t="s">
        <v>103</v>
      </c>
      <c r="G46" t="s">
        <v>368</v>
      </c>
      <c r="H46" t="s">
        <v>28</v>
      </c>
      <c r="I46" t="s">
        <v>46</v>
      </c>
      <c r="K46" t="s">
        <v>369</v>
      </c>
      <c r="L46" t="s">
        <v>48</v>
      </c>
      <c r="M46" t="s">
        <v>48</v>
      </c>
      <c r="N46" t="s">
        <v>49</v>
      </c>
      <c r="O46" t="s">
        <v>370</v>
      </c>
      <c r="P46" t="s">
        <v>49</v>
      </c>
      <c r="Q46" t="s">
        <v>371</v>
      </c>
      <c r="R46" t="s">
        <v>372</v>
      </c>
      <c r="S46" t="s">
        <v>65</v>
      </c>
      <c r="T46" t="s">
        <v>374</v>
      </c>
      <c r="U46" t="s">
        <v>56</v>
      </c>
      <c r="V46" t="s">
        <v>57</v>
      </c>
    </row>
    <row r="47" spans="1:22" x14ac:dyDescent="0.35">
      <c r="B47" t="s">
        <v>180</v>
      </c>
      <c r="C47" t="s">
        <v>28</v>
      </c>
      <c r="D47" t="s">
        <v>29</v>
      </c>
      <c r="E47" t="s">
        <v>284</v>
      </c>
      <c r="F47" t="s">
        <v>30</v>
      </c>
      <c r="G47" t="s">
        <v>30</v>
      </c>
      <c r="H47" t="s">
        <v>28</v>
      </c>
      <c r="I47" t="s">
        <v>46</v>
      </c>
      <c r="K47" t="s">
        <v>375</v>
      </c>
      <c r="S47" t="s">
        <v>65</v>
      </c>
      <c r="T47" t="s">
        <v>81</v>
      </c>
      <c r="U47" t="s">
        <v>376</v>
      </c>
      <c r="V47" t="s">
        <v>129</v>
      </c>
    </row>
    <row r="48" spans="1:22" x14ac:dyDescent="0.35">
      <c r="B48" t="s">
        <v>180</v>
      </c>
      <c r="C48" t="s">
        <v>377</v>
      </c>
      <c r="D48" t="s">
        <v>29</v>
      </c>
      <c r="E48" t="s">
        <v>28</v>
      </c>
      <c r="F48" t="s">
        <v>34</v>
      </c>
      <c r="G48" t="s">
        <v>28</v>
      </c>
      <c r="H48" t="s">
        <v>368</v>
      </c>
      <c r="I48" t="s">
        <v>36</v>
      </c>
      <c r="K48" t="s">
        <v>375</v>
      </c>
      <c r="L48" t="s">
        <v>38</v>
      </c>
      <c r="M48" t="s">
        <v>38</v>
      </c>
      <c r="N48" t="s">
        <v>49</v>
      </c>
      <c r="O48" t="s">
        <v>378</v>
      </c>
      <c r="P48" t="s">
        <v>49</v>
      </c>
      <c r="Q48" t="s">
        <v>379</v>
      </c>
      <c r="R48" t="s">
        <v>380</v>
      </c>
      <c r="S48" t="s">
        <v>65</v>
      </c>
      <c r="T48" t="s">
        <v>81</v>
      </c>
      <c r="U48" t="s">
        <v>381</v>
      </c>
      <c r="V48" t="s">
        <v>129</v>
      </c>
    </row>
    <row r="49" spans="1:22" x14ac:dyDescent="0.35">
      <c r="A49" t="s">
        <v>382</v>
      </c>
      <c r="B49" t="s">
        <v>84</v>
      </c>
      <c r="C49" t="s">
        <v>29</v>
      </c>
      <c r="D49" t="s">
        <v>29</v>
      </c>
      <c r="E49" t="s">
        <v>28</v>
      </c>
      <c r="F49" t="s">
        <v>28</v>
      </c>
      <c r="G49" t="s">
        <v>28</v>
      </c>
      <c r="H49" t="s">
        <v>28</v>
      </c>
      <c r="I49" t="s">
        <v>46</v>
      </c>
      <c r="K49" t="s">
        <v>383</v>
      </c>
      <c r="L49" t="s">
        <v>49</v>
      </c>
      <c r="M49" t="s">
        <v>49</v>
      </c>
      <c r="N49" t="s">
        <v>49</v>
      </c>
      <c r="O49" t="s">
        <v>384</v>
      </c>
      <c r="P49" t="s">
        <v>49</v>
      </c>
      <c r="Q49" t="s">
        <v>385</v>
      </c>
      <c r="R49" t="s">
        <v>386</v>
      </c>
      <c r="S49" t="s">
        <v>87</v>
      </c>
      <c r="T49" t="s">
        <v>304</v>
      </c>
      <c r="U49" t="s">
        <v>388</v>
      </c>
      <c r="V49" t="s">
        <v>129</v>
      </c>
    </row>
    <row r="50" spans="1:22" x14ac:dyDescent="0.35">
      <c r="A50" t="s">
        <v>389</v>
      </c>
      <c r="B50" t="s">
        <v>180</v>
      </c>
      <c r="C50" t="s">
        <v>344</v>
      </c>
      <c r="D50" t="s">
        <v>29</v>
      </c>
      <c r="E50" t="s">
        <v>28</v>
      </c>
      <c r="F50" t="s">
        <v>173</v>
      </c>
      <c r="G50" t="s">
        <v>28</v>
      </c>
      <c r="H50" t="s">
        <v>35</v>
      </c>
      <c r="I50" t="s">
        <v>36</v>
      </c>
      <c r="K50" t="s">
        <v>375</v>
      </c>
      <c r="L50" t="s">
        <v>48</v>
      </c>
      <c r="M50" t="s">
        <v>49</v>
      </c>
      <c r="N50" t="s">
        <v>48</v>
      </c>
      <c r="O50" t="s">
        <v>390</v>
      </c>
      <c r="P50" t="s">
        <v>48</v>
      </c>
      <c r="Q50" t="s">
        <v>391</v>
      </c>
      <c r="R50" t="s">
        <v>392</v>
      </c>
      <c r="S50" t="s">
        <v>65</v>
      </c>
      <c r="T50" t="s">
        <v>81</v>
      </c>
      <c r="U50" t="s">
        <v>393</v>
      </c>
      <c r="V50" t="s">
        <v>129</v>
      </c>
    </row>
    <row r="51" spans="1:22" x14ac:dyDescent="0.35">
      <c r="A51" t="s">
        <v>394</v>
      </c>
      <c r="B51" t="s">
        <v>180</v>
      </c>
      <c r="C51" t="s">
        <v>29</v>
      </c>
      <c r="D51" t="s">
        <v>44</v>
      </c>
      <c r="E51" t="s">
        <v>28</v>
      </c>
      <c r="F51" t="s">
        <v>173</v>
      </c>
      <c r="G51" t="s">
        <v>28</v>
      </c>
      <c r="H51" t="s">
        <v>28</v>
      </c>
      <c r="I51" t="s">
        <v>36</v>
      </c>
      <c r="K51" t="s">
        <v>375</v>
      </c>
      <c r="L51" t="s">
        <v>48</v>
      </c>
      <c r="M51" t="s">
        <v>49</v>
      </c>
      <c r="N51" t="s">
        <v>49</v>
      </c>
      <c r="O51" t="s">
        <v>395</v>
      </c>
      <c r="P51" t="s">
        <v>49</v>
      </c>
      <c r="Q51" t="s">
        <v>396</v>
      </c>
      <c r="R51" t="s">
        <v>397</v>
      </c>
      <c r="S51" t="s">
        <v>65</v>
      </c>
      <c r="T51" t="s">
        <v>81</v>
      </c>
      <c r="U51" t="s">
        <v>398</v>
      </c>
      <c r="V51" t="s">
        <v>129</v>
      </c>
    </row>
    <row r="52" spans="1:22" x14ac:dyDescent="0.35">
      <c r="A52" t="s">
        <v>399</v>
      </c>
      <c r="B52" t="s">
        <v>180</v>
      </c>
      <c r="C52" t="s">
        <v>60</v>
      </c>
      <c r="D52" t="s">
        <v>60</v>
      </c>
      <c r="E52" t="s">
        <v>60</v>
      </c>
      <c r="F52" t="s">
        <v>28</v>
      </c>
      <c r="G52" t="s">
        <v>28</v>
      </c>
      <c r="H52" t="s">
        <v>28</v>
      </c>
      <c r="I52" t="s">
        <v>36</v>
      </c>
      <c r="K52" t="s">
        <v>375</v>
      </c>
      <c r="L52" t="s">
        <v>48</v>
      </c>
      <c r="M52" t="s">
        <v>48</v>
      </c>
      <c r="N52" t="s">
        <v>48</v>
      </c>
      <c r="O52" t="s">
        <v>400</v>
      </c>
      <c r="P52" t="s">
        <v>48</v>
      </c>
      <c r="Q52" t="s">
        <v>401</v>
      </c>
      <c r="R52" t="s">
        <v>402</v>
      </c>
      <c r="S52" t="s">
        <v>65</v>
      </c>
      <c r="T52" t="s">
        <v>81</v>
      </c>
      <c r="U52" t="s">
        <v>403</v>
      </c>
      <c r="V52" t="s">
        <v>129</v>
      </c>
    </row>
    <row r="53" spans="1:22" x14ac:dyDescent="0.35">
      <c r="A53" t="s">
        <v>404</v>
      </c>
      <c r="B53" t="s">
        <v>180</v>
      </c>
      <c r="C53" t="s">
        <v>28</v>
      </c>
      <c r="D53" t="s">
        <v>28</v>
      </c>
      <c r="E53" t="s">
        <v>28</v>
      </c>
      <c r="F53" t="s">
        <v>28</v>
      </c>
      <c r="G53" t="s">
        <v>28</v>
      </c>
      <c r="H53" t="s">
        <v>28</v>
      </c>
      <c r="I53" t="s">
        <v>36</v>
      </c>
      <c r="K53" t="s">
        <v>375</v>
      </c>
      <c r="L53" t="s">
        <v>48</v>
      </c>
      <c r="M53" t="s">
        <v>48</v>
      </c>
      <c r="N53" t="s">
        <v>48</v>
      </c>
      <c r="O53" t="s">
        <v>405</v>
      </c>
      <c r="P53" t="s">
        <v>48</v>
      </c>
      <c r="Q53" t="s">
        <v>406</v>
      </c>
      <c r="R53" t="s">
        <v>407</v>
      </c>
      <c r="S53" t="s">
        <v>65</v>
      </c>
      <c r="T53" t="s">
        <v>81</v>
      </c>
      <c r="U53" t="s">
        <v>408</v>
      </c>
      <c r="V53" t="s">
        <v>129</v>
      </c>
    </row>
    <row r="54" spans="1:22" x14ac:dyDescent="0.35">
      <c r="A54" t="s">
        <v>409</v>
      </c>
      <c r="B54" t="s">
        <v>205</v>
      </c>
      <c r="C54" t="s">
        <v>29</v>
      </c>
      <c r="D54" t="s">
        <v>28</v>
      </c>
      <c r="E54" t="s">
        <v>28</v>
      </c>
      <c r="F54" t="s">
        <v>28</v>
      </c>
      <c r="G54" t="s">
        <v>28</v>
      </c>
      <c r="H54" t="s">
        <v>28</v>
      </c>
      <c r="I54" t="s">
        <v>36</v>
      </c>
      <c r="K54" t="s">
        <v>375</v>
      </c>
      <c r="L54" t="s">
        <v>48</v>
      </c>
      <c r="M54" t="s">
        <v>49</v>
      </c>
      <c r="N54" t="s">
        <v>49</v>
      </c>
      <c r="O54" t="s">
        <v>410</v>
      </c>
      <c r="P54" t="s">
        <v>49</v>
      </c>
      <c r="Q54" t="s">
        <v>411</v>
      </c>
      <c r="R54" t="s">
        <v>412</v>
      </c>
      <c r="S54" t="s">
        <v>65</v>
      </c>
      <c r="T54" t="s">
        <v>81</v>
      </c>
      <c r="U54" t="s">
        <v>413</v>
      </c>
      <c r="V54" t="s">
        <v>57</v>
      </c>
    </row>
    <row r="55" spans="1:22" x14ac:dyDescent="0.35">
      <c r="A55" t="s">
        <v>414</v>
      </c>
      <c r="B55" t="s">
        <v>415</v>
      </c>
      <c r="C55" t="s">
        <v>28</v>
      </c>
      <c r="D55" t="s">
        <v>28</v>
      </c>
      <c r="E55" t="s">
        <v>28</v>
      </c>
      <c r="F55" t="s">
        <v>28</v>
      </c>
      <c r="G55" t="s">
        <v>28</v>
      </c>
      <c r="H55" t="s">
        <v>28</v>
      </c>
      <c r="I55" t="s">
        <v>36</v>
      </c>
      <c r="K55" t="s">
        <v>37</v>
      </c>
      <c r="L55" t="s">
        <v>48</v>
      </c>
      <c r="M55" t="s">
        <v>48</v>
      </c>
      <c r="N55" t="s">
        <v>48</v>
      </c>
      <c r="O55" t="s">
        <v>416</v>
      </c>
      <c r="P55" t="s">
        <v>48</v>
      </c>
      <c r="Q55" t="s">
        <v>417</v>
      </c>
      <c r="R55" t="s">
        <v>418</v>
      </c>
      <c r="S55" t="s">
        <v>79</v>
      </c>
      <c r="T55" t="s">
        <v>109</v>
      </c>
      <c r="U55" t="s">
        <v>56</v>
      </c>
      <c r="V55" t="s">
        <v>57</v>
      </c>
    </row>
    <row r="56" spans="1:22" x14ac:dyDescent="0.35">
      <c r="A56" t="s">
        <v>420</v>
      </c>
      <c r="B56" t="s">
        <v>180</v>
      </c>
      <c r="C56" t="s">
        <v>28</v>
      </c>
      <c r="D56" t="s">
        <v>28</v>
      </c>
      <c r="E56" t="s">
        <v>28</v>
      </c>
      <c r="F56" t="s">
        <v>28</v>
      </c>
      <c r="G56" t="s">
        <v>28</v>
      </c>
      <c r="H56" t="s">
        <v>28</v>
      </c>
      <c r="I56" t="s">
        <v>46</v>
      </c>
      <c r="K56" t="s">
        <v>375</v>
      </c>
      <c r="L56" t="s">
        <v>48</v>
      </c>
      <c r="M56" t="s">
        <v>48</v>
      </c>
      <c r="N56" t="s">
        <v>48</v>
      </c>
      <c r="O56" t="s">
        <v>421</v>
      </c>
      <c r="P56" t="s">
        <v>48</v>
      </c>
      <c r="Q56" t="s">
        <v>422</v>
      </c>
      <c r="R56" t="s">
        <v>423</v>
      </c>
      <c r="S56" t="s">
        <v>65</v>
      </c>
      <c r="T56" t="s">
        <v>81</v>
      </c>
      <c r="U56" t="s">
        <v>424</v>
      </c>
      <c r="V56" t="s">
        <v>91</v>
      </c>
    </row>
    <row r="57" spans="1:22" x14ac:dyDescent="0.35">
      <c r="A57" t="s">
        <v>425</v>
      </c>
      <c r="B57" t="s">
        <v>415</v>
      </c>
      <c r="C57" t="s">
        <v>344</v>
      </c>
      <c r="D57" t="s">
        <v>29</v>
      </c>
      <c r="E57" t="s">
        <v>28</v>
      </c>
      <c r="F57" t="s">
        <v>28</v>
      </c>
      <c r="G57" t="s">
        <v>28</v>
      </c>
      <c r="H57" t="s">
        <v>368</v>
      </c>
      <c r="I57" t="s">
        <v>36</v>
      </c>
      <c r="K57" t="s">
        <v>426</v>
      </c>
      <c r="L57" t="s">
        <v>48</v>
      </c>
      <c r="M57" t="s">
        <v>48</v>
      </c>
      <c r="N57" t="s">
        <v>48</v>
      </c>
      <c r="O57" t="s">
        <v>427</v>
      </c>
      <c r="P57" t="s">
        <v>48</v>
      </c>
      <c r="Q57" t="s">
        <v>428</v>
      </c>
      <c r="R57" t="s">
        <v>429</v>
      </c>
      <c r="S57" t="s">
        <v>87</v>
      </c>
      <c r="T57" t="s">
        <v>109</v>
      </c>
      <c r="U57" t="s">
        <v>431</v>
      </c>
      <c r="V57" t="s">
        <v>57</v>
      </c>
    </row>
    <row r="58" spans="1:22" x14ac:dyDescent="0.35">
      <c r="A58" t="s">
        <v>432</v>
      </c>
      <c r="B58" t="s">
        <v>433</v>
      </c>
      <c r="C58" t="s">
        <v>33</v>
      </c>
      <c r="D58" t="s">
        <v>33</v>
      </c>
      <c r="E58" t="s">
        <v>33</v>
      </c>
      <c r="F58" t="s">
        <v>34</v>
      </c>
      <c r="G58" t="s">
        <v>34</v>
      </c>
      <c r="H58" t="s">
        <v>73</v>
      </c>
      <c r="I58" t="s">
        <v>36</v>
      </c>
      <c r="K58" t="s">
        <v>434</v>
      </c>
      <c r="L58" t="s">
        <v>48</v>
      </c>
      <c r="M58" t="s">
        <v>48</v>
      </c>
      <c r="N58" t="s">
        <v>49</v>
      </c>
      <c r="O58" t="s">
        <v>435</v>
      </c>
      <c r="P58" t="s">
        <v>48</v>
      </c>
      <c r="Q58" t="s">
        <v>436</v>
      </c>
      <c r="R58" t="s">
        <v>437</v>
      </c>
      <c r="S58" t="s">
        <v>135</v>
      </c>
      <c r="T58" t="s">
        <v>250</v>
      </c>
      <c r="U58" t="s">
        <v>439</v>
      </c>
      <c r="V58" t="s">
        <v>57</v>
      </c>
    </row>
    <row r="59" spans="1:22" x14ac:dyDescent="0.35">
      <c r="A59" t="s">
        <v>440</v>
      </c>
      <c r="B59" t="s">
        <v>441</v>
      </c>
      <c r="C59" t="s">
        <v>28</v>
      </c>
      <c r="D59" t="s">
        <v>28</v>
      </c>
      <c r="E59" t="s">
        <v>60</v>
      </c>
      <c r="F59" t="s">
        <v>196</v>
      </c>
      <c r="G59" t="s">
        <v>28</v>
      </c>
      <c r="H59" t="s">
        <v>61</v>
      </c>
      <c r="I59" t="s">
        <v>36</v>
      </c>
      <c r="K59" t="s">
        <v>442</v>
      </c>
      <c r="L59" t="s">
        <v>49</v>
      </c>
      <c r="M59" t="s">
        <v>49</v>
      </c>
      <c r="N59" t="s">
        <v>49</v>
      </c>
      <c r="O59" t="s">
        <v>443</v>
      </c>
      <c r="P59" t="s">
        <v>49</v>
      </c>
      <c r="Q59" t="s">
        <v>444</v>
      </c>
      <c r="R59" t="s">
        <v>445</v>
      </c>
      <c r="S59" t="s">
        <v>79</v>
      </c>
      <c r="T59" t="s">
        <v>447</v>
      </c>
      <c r="U59" t="s">
        <v>441</v>
      </c>
      <c r="V59" t="s">
        <v>57</v>
      </c>
    </row>
    <row r="60" spans="1:22" x14ac:dyDescent="0.35">
      <c r="B60" t="s">
        <v>448</v>
      </c>
      <c r="C60" t="s">
        <v>449</v>
      </c>
      <c r="D60" t="s">
        <v>28</v>
      </c>
      <c r="E60" t="s">
        <v>28</v>
      </c>
      <c r="F60" t="s">
        <v>28</v>
      </c>
      <c r="G60" t="s">
        <v>45</v>
      </c>
      <c r="H60" t="s">
        <v>45</v>
      </c>
      <c r="I60" t="s">
        <v>46</v>
      </c>
      <c r="K60" t="s">
        <v>375</v>
      </c>
      <c r="S60" t="s">
        <v>53</v>
      </c>
      <c r="T60" t="s">
        <v>81</v>
      </c>
      <c r="U60" t="s">
        <v>450</v>
      </c>
      <c r="V60" t="s">
        <v>91</v>
      </c>
    </row>
    <row r="61" spans="1:22" x14ac:dyDescent="0.35">
      <c r="B61" t="s">
        <v>448</v>
      </c>
      <c r="C61" t="s">
        <v>28</v>
      </c>
      <c r="D61" t="s">
        <v>60</v>
      </c>
      <c r="E61" t="s">
        <v>206</v>
      </c>
      <c r="F61" t="s">
        <v>34</v>
      </c>
      <c r="G61" t="s">
        <v>28</v>
      </c>
      <c r="H61" t="s">
        <v>368</v>
      </c>
      <c r="I61" t="s">
        <v>46</v>
      </c>
      <c r="K61" t="s">
        <v>375</v>
      </c>
      <c r="L61" t="s">
        <v>48</v>
      </c>
      <c r="M61" t="s">
        <v>38</v>
      </c>
      <c r="N61" t="s">
        <v>38</v>
      </c>
      <c r="O61" t="s">
        <v>451</v>
      </c>
      <c r="P61" t="s">
        <v>48</v>
      </c>
      <c r="Q61" t="s">
        <v>452</v>
      </c>
      <c r="R61" t="s">
        <v>453</v>
      </c>
      <c r="S61" t="s">
        <v>65</v>
      </c>
      <c r="T61" t="s">
        <v>81</v>
      </c>
      <c r="U61" t="s">
        <v>454</v>
      </c>
      <c r="V61" t="s">
        <v>129</v>
      </c>
    </row>
    <row r="62" spans="1:22" x14ac:dyDescent="0.35">
      <c r="B62" t="s">
        <v>448</v>
      </c>
      <c r="C62" t="s">
        <v>28</v>
      </c>
      <c r="D62" t="s">
        <v>33</v>
      </c>
      <c r="E62" t="s">
        <v>28</v>
      </c>
      <c r="F62" t="s">
        <v>30</v>
      </c>
      <c r="G62" t="s">
        <v>28</v>
      </c>
      <c r="H62" t="s">
        <v>368</v>
      </c>
      <c r="I62" t="s">
        <v>36</v>
      </c>
      <c r="K62" t="s">
        <v>455</v>
      </c>
      <c r="S62" t="s">
        <v>79</v>
      </c>
      <c r="T62" t="s">
        <v>81</v>
      </c>
      <c r="U62" t="s">
        <v>456</v>
      </c>
      <c r="V62" t="s">
        <v>129</v>
      </c>
    </row>
    <row r="63" spans="1:22" x14ac:dyDescent="0.35">
      <c r="A63" t="s">
        <v>457</v>
      </c>
      <c r="B63" t="s">
        <v>180</v>
      </c>
      <c r="C63" t="s">
        <v>28</v>
      </c>
      <c r="D63" t="s">
        <v>33</v>
      </c>
      <c r="E63" t="s">
        <v>28</v>
      </c>
      <c r="F63" t="s">
        <v>34</v>
      </c>
      <c r="G63" t="s">
        <v>28</v>
      </c>
      <c r="H63" t="s">
        <v>368</v>
      </c>
      <c r="I63" t="s">
        <v>36</v>
      </c>
      <c r="K63" t="s">
        <v>458</v>
      </c>
      <c r="L63" t="s">
        <v>49</v>
      </c>
      <c r="M63" t="s">
        <v>49</v>
      </c>
      <c r="N63" t="s">
        <v>38</v>
      </c>
      <c r="O63" t="s">
        <v>459</v>
      </c>
      <c r="P63" t="s">
        <v>48</v>
      </c>
      <c r="Q63" t="s">
        <v>460</v>
      </c>
      <c r="R63" t="s">
        <v>461</v>
      </c>
      <c r="S63" t="s">
        <v>65</v>
      </c>
      <c r="T63" t="s">
        <v>81</v>
      </c>
      <c r="U63" t="s">
        <v>462</v>
      </c>
      <c r="V63" t="s">
        <v>57</v>
      </c>
    </row>
    <row r="64" spans="1:22" x14ac:dyDescent="0.35">
      <c r="B64" t="s">
        <v>448</v>
      </c>
      <c r="C64" t="s">
        <v>28</v>
      </c>
      <c r="D64" t="s">
        <v>28</v>
      </c>
      <c r="E64" t="s">
        <v>28</v>
      </c>
      <c r="F64" t="s">
        <v>28</v>
      </c>
      <c r="G64" t="s">
        <v>34</v>
      </c>
      <c r="H64" t="s">
        <v>28</v>
      </c>
      <c r="I64" t="s">
        <v>36</v>
      </c>
      <c r="K64" t="s">
        <v>463</v>
      </c>
      <c r="L64" t="s">
        <v>38</v>
      </c>
      <c r="M64" t="s">
        <v>38</v>
      </c>
      <c r="N64" t="s">
        <v>48</v>
      </c>
      <c r="O64" t="s">
        <v>464</v>
      </c>
      <c r="P64" t="s">
        <v>49</v>
      </c>
      <c r="Q64" t="s">
        <v>465</v>
      </c>
      <c r="R64" t="s">
        <v>466</v>
      </c>
      <c r="S64" t="s">
        <v>87</v>
      </c>
      <c r="T64" t="s">
        <v>463</v>
      </c>
      <c r="U64" t="s">
        <v>467</v>
      </c>
      <c r="V64" t="s">
        <v>91</v>
      </c>
    </row>
    <row r="65" spans="2:22" x14ac:dyDescent="0.35">
      <c r="B65" t="s">
        <v>448</v>
      </c>
      <c r="C65" t="s">
        <v>28</v>
      </c>
      <c r="D65" t="s">
        <v>28</v>
      </c>
      <c r="E65" t="s">
        <v>28</v>
      </c>
      <c r="F65" t="s">
        <v>28</v>
      </c>
      <c r="G65" t="s">
        <v>28</v>
      </c>
      <c r="H65" t="s">
        <v>28</v>
      </c>
      <c r="I65" t="s">
        <v>46</v>
      </c>
      <c r="K65" t="s">
        <v>468</v>
      </c>
      <c r="L65" t="s">
        <v>38</v>
      </c>
      <c r="M65" t="s">
        <v>38</v>
      </c>
      <c r="N65" t="s">
        <v>38</v>
      </c>
      <c r="O65" t="s">
        <v>469</v>
      </c>
      <c r="P65" t="s">
        <v>38</v>
      </c>
      <c r="Q65" t="s">
        <v>470</v>
      </c>
      <c r="R65" t="s">
        <v>471</v>
      </c>
      <c r="S65" t="s">
        <v>53</v>
      </c>
      <c r="T65" t="s">
        <v>250</v>
      </c>
      <c r="U65" t="s">
        <v>472</v>
      </c>
      <c r="V65" t="s">
        <v>129</v>
      </c>
    </row>
    <row r="66" spans="2:22" x14ac:dyDescent="0.35">
      <c r="B66" t="s">
        <v>180</v>
      </c>
      <c r="C66" t="s">
        <v>28</v>
      </c>
      <c r="D66" t="s">
        <v>29</v>
      </c>
      <c r="E66" t="s">
        <v>73</v>
      </c>
      <c r="F66" t="s">
        <v>34</v>
      </c>
      <c r="G66" t="s">
        <v>28</v>
      </c>
      <c r="H66" t="s">
        <v>368</v>
      </c>
      <c r="I66" t="s">
        <v>36</v>
      </c>
      <c r="K66" t="s">
        <v>473</v>
      </c>
      <c r="L66" t="s">
        <v>48</v>
      </c>
      <c r="M66" t="s">
        <v>48</v>
      </c>
      <c r="N66" t="s">
        <v>38</v>
      </c>
      <c r="O66" t="s">
        <v>474</v>
      </c>
      <c r="P66" t="s">
        <v>48</v>
      </c>
      <c r="Q66" t="s">
        <v>475</v>
      </c>
      <c r="R66" t="s">
        <v>476</v>
      </c>
      <c r="S66" t="s">
        <v>65</v>
      </c>
      <c r="T66" t="s">
        <v>81</v>
      </c>
      <c r="U66" t="s">
        <v>477</v>
      </c>
      <c r="V66" t="s">
        <v>129</v>
      </c>
    </row>
    <row r="67" spans="2:22" x14ac:dyDescent="0.35">
      <c r="B67" t="s">
        <v>180</v>
      </c>
      <c r="C67" t="s">
        <v>28</v>
      </c>
      <c r="D67" t="s">
        <v>33</v>
      </c>
      <c r="E67" t="s">
        <v>28</v>
      </c>
      <c r="F67" t="s">
        <v>30</v>
      </c>
      <c r="G67" t="s">
        <v>28</v>
      </c>
      <c r="H67" t="s">
        <v>94</v>
      </c>
      <c r="I67" t="s">
        <v>36</v>
      </c>
      <c r="K67" t="s">
        <v>478</v>
      </c>
      <c r="L67" t="s">
        <v>49</v>
      </c>
      <c r="M67" t="s">
        <v>48</v>
      </c>
      <c r="N67" t="s">
        <v>40</v>
      </c>
      <c r="O67" t="s">
        <v>479</v>
      </c>
      <c r="P67" t="s">
        <v>48</v>
      </c>
      <c r="Q67" t="s">
        <v>480</v>
      </c>
      <c r="R67" t="s">
        <v>481</v>
      </c>
      <c r="S67" t="s">
        <v>65</v>
      </c>
      <c r="T67" t="s">
        <v>81</v>
      </c>
      <c r="U67" t="s">
        <v>482</v>
      </c>
      <c r="V67" t="s">
        <v>129</v>
      </c>
    </row>
    <row r="68" spans="2:22" x14ac:dyDescent="0.35">
      <c r="B68" t="s">
        <v>180</v>
      </c>
      <c r="C68" t="s">
        <v>60</v>
      </c>
      <c r="D68" t="s">
        <v>33</v>
      </c>
      <c r="E68" t="s">
        <v>284</v>
      </c>
      <c r="F68" t="s">
        <v>34</v>
      </c>
      <c r="G68" t="s">
        <v>28</v>
      </c>
      <c r="H68" t="s">
        <v>94</v>
      </c>
      <c r="I68" t="s">
        <v>36</v>
      </c>
      <c r="K68" t="s">
        <v>483</v>
      </c>
      <c r="L68" t="s">
        <v>48</v>
      </c>
      <c r="M68" t="s">
        <v>48</v>
      </c>
      <c r="N68" t="s">
        <v>38</v>
      </c>
      <c r="O68" t="s">
        <v>484</v>
      </c>
      <c r="P68" t="s">
        <v>49</v>
      </c>
      <c r="Q68" t="s">
        <v>485</v>
      </c>
      <c r="R68" t="s">
        <v>486</v>
      </c>
      <c r="S68" t="s">
        <v>65</v>
      </c>
      <c r="T68" t="s">
        <v>81</v>
      </c>
      <c r="U68" t="s">
        <v>487</v>
      </c>
      <c r="V68" t="s">
        <v>57</v>
      </c>
    </row>
    <row r="69" spans="2:22" x14ac:dyDescent="0.35">
      <c r="B69" t="s">
        <v>180</v>
      </c>
      <c r="C69" t="s">
        <v>28</v>
      </c>
      <c r="D69" t="s">
        <v>33</v>
      </c>
      <c r="E69" t="s">
        <v>284</v>
      </c>
      <c r="F69" t="s">
        <v>34</v>
      </c>
      <c r="G69" t="s">
        <v>103</v>
      </c>
      <c r="H69" t="s">
        <v>368</v>
      </c>
      <c r="I69" t="s">
        <v>36</v>
      </c>
      <c r="K69" t="s">
        <v>488</v>
      </c>
      <c r="L69" t="s">
        <v>49</v>
      </c>
      <c r="M69" t="s">
        <v>48</v>
      </c>
      <c r="N69" t="s">
        <v>40</v>
      </c>
      <c r="O69" t="s">
        <v>489</v>
      </c>
      <c r="P69" t="s">
        <v>49</v>
      </c>
      <c r="Q69" t="s">
        <v>490</v>
      </c>
      <c r="R69" t="s">
        <v>491</v>
      </c>
      <c r="S69" t="s">
        <v>53</v>
      </c>
      <c r="T69" t="s">
        <v>81</v>
      </c>
      <c r="U69" t="s">
        <v>492</v>
      </c>
      <c r="V69" t="s">
        <v>129</v>
      </c>
    </row>
    <row r="70" spans="2:22" x14ac:dyDescent="0.35">
      <c r="B70" t="s">
        <v>493</v>
      </c>
      <c r="C70" t="s">
        <v>28</v>
      </c>
      <c r="D70" t="s">
        <v>29</v>
      </c>
      <c r="E70" t="s">
        <v>28</v>
      </c>
      <c r="F70" t="s">
        <v>30</v>
      </c>
      <c r="G70" t="s">
        <v>45</v>
      </c>
      <c r="H70" t="s">
        <v>368</v>
      </c>
      <c r="I70" t="s">
        <v>46</v>
      </c>
      <c r="K70" t="s">
        <v>494</v>
      </c>
      <c r="L70" t="s">
        <v>48</v>
      </c>
      <c r="M70" t="s">
        <v>48</v>
      </c>
      <c r="N70" t="s">
        <v>49</v>
      </c>
      <c r="O70" t="s">
        <v>495</v>
      </c>
      <c r="P70" t="s">
        <v>49</v>
      </c>
      <c r="Q70" t="s">
        <v>496</v>
      </c>
      <c r="R70" t="s">
        <v>497</v>
      </c>
      <c r="S70" t="s">
        <v>65</v>
      </c>
      <c r="T70" t="s">
        <v>81</v>
      </c>
      <c r="U70" t="s">
        <v>498</v>
      </c>
      <c r="V70" t="s">
        <v>57</v>
      </c>
    </row>
    <row r="71" spans="2:22" x14ac:dyDescent="0.35">
      <c r="B71" t="s">
        <v>180</v>
      </c>
      <c r="C71" t="s">
        <v>28</v>
      </c>
      <c r="D71" t="s">
        <v>60</v>
      </c>
      <c r="E71" t="s">
        <v>28</v>
      </c>
      <c r="F71" t="s">
        <v>158</v>
      </c>
      <c r="G71" t="s">
        <v>173</v>
      </c>
      <c r="H71" t="s">
        <v>94</v>
      </c>
      <c r="I71" t="s">
        <v>36</v>
      </c>
      <c r="K71" t="s">
        <v>499</v>
      </c>
      <c r="L71" t="s">
        <v>49</v>
      </c>
      <c r="M71" t="s">
        <v>49</v>
      </c>
      <c r="N71" t="s">
        <v>38</v>
      </c>
      <c r="O71" t="s">
        <v>500</v>
      </c>
      <c r="P71" t="s">
        <v>38</v>
      </c>
      <c r="Q71" t="s">
        <v>501</v>
      </c>
      <c r="R71" t="s">
        <v>502</v>
      </c>
      <c r="S71" t="s">
        <v>79</v>
      </c>
      <c r="T71" t="s">
        <v>81</v>
      </c>
      <c r="U71" t="s">
        <v>482</v>
      </c>
      <c r="V71" t="s">
        <v>129</v>
      </c>
    </row>
    <row r="72" spans="2:22" x14ac:dyDescent="0.35">
      <c r="B72" t="s">
        <v>503</v>
      </c>
      <c r="C72" t="s">
        <v>28</v>
      </c>
      <c r="D72" t="s">
        <v>60</v>
      </c>
      <c r="E72" t="s">
        <v>284</v>
      </c>
      <c r="F72" t="s">
        <v>34</v>
      </c>
      <c r="G72" t="s">
        <v>28</v>
      </c>
      <c r="H72" t="s">
        <v>94</v>
      </c>
      <c r="I72" t="s">
        <v>36</v>
      </c>
      <c r="K72" t="s">
        <v>504</v>
      </c>
      <c r="L72" t="s">
        <v>49</v>
      </c>
      <c r="M72" t="s">
        <v>38</v>
      </c>
      <c r="N72" t="s">
        <v>49</v>
      </c>
      <c r="O72" t="s">
        <v>505</v>
      </c>
      <c r="P72" t="s">
        <v>48</v>
      </c>
      <c r="Q72" t="s">
        <v>506</v>
      </c>
      <c r="R72" t="s">
        <v>507</v>
      </c>
      <c r="S72" t="s">
        <v>79</v>
      </c>
      <c r="T72" t="s">
        <v>81</v>
      </c>
      <c r="U72" t="s">
        <v>508</v>
      </c>
      <c r="V72" t="s">
        <v>129</v>
      </c>
    </row>
    <row r="73" spans="2:22" x14ac:dyDescent="0.35">
      <c r="B73" t="s">
        <v>205</v>
      </c>
      <c r="C73" t="s">
        <v>28</v>
      </c>
      <c r="D73" t="s">
        <v>29</v>
      </c>
      <c r="E73" t="s">
        <v>28</v>
      </c>
      <c r="F73" t="s">
        <v>173</v>
      </c>
      <c r="G73" t="s">
        <v>173</v>
      </c>
      <c r="H73" t="s">
        <v>368</v>
      </c>
      <c r="I73" t="s">
        <v>36</v>
      </c>
      <c r="K73" t="s">
        <v>509</v>
      </c>
      <c r="L73" t="s">
        <v>49</v>
      </c>
      <c r="M73" t="s">
        <v>48</v>
      </c>
      <c r="N73" t="s">
        <v>49</v>
      </c>
      <c r="O73" t="s">
        <v>510</v>
      </c>
      <c r="P73" t="s">
        <v>49</v>
      </c>
      <c r="Q73" t="s">
        <v>511</v>
      </c>
      <c r="R73" t="s">
        <v>512</v>
      </c>
      <c r="S73" t="s">
        <v>65</v>
      </c>
      <c r="T73" t="s">
        <v>81</v>
      </c>
      <c r="U73" t="s">
        <v>513</v>
      </c>
      <c r="V73" t="s">
        <v>57</v>
      </c>
    </row>
    <row r="74" spans="2:22" x14ac:dyDescent="0.35">
      <c r="B74" t="s">
        <v>205</v>
      </c>
      <c r="C74" t="s">
        <v>28</v>
      </c>
      <c r="D74" t="s">
        <v>60</v>
      </c>
      <c r="E74" t="s">
        <v>28</v>
      </c>
      <c r="F74" t="s">
        <v>173</v>
      </c>
      <c r="G74" t="s">
        <v>28</v>
      </c>
      <c r="H74" t="s">
        <v>368</v>
      </c>
      <c r="I74" t="s">
        <v>46</v>
      </c>
      <c r="K74" t="s">
        <v>514</v>
      </c>
      <c r="L74" t="s">
        <v>48</v>
      </c>
      <c r="M74" t="s">
        <v>48</v>
      </c>
      <c r="N74" t="s">
        <v>38</v>
      </c>
      <c r="O74" t="s">
        <v>515</v>
      </c>
      <c r="P74" t="s">
        <v>48</v>
      </c>
      <c r="Q74" t="s">
        <v>516</v>
      </c>
      <c r="R74" t="s">
        <v>517</v>
      </c>
      <c r="S74" t="s">
        <v>65</v>
      </c>
      <c r="T74" t="s">
        <v>81</v>
      </c>
      <c r="U74" t="s">
        <v>518</v>
      </c>
      <c r="V74" t="s">
        <v>57</v>
      </c>
    </row>
    <row r="75" spans="2:22" x14ac:dyDescent="0.35">
      <c r="B75" t="s">
        <v>448</v>
      </c>
      <c r="C75" t="s">
        <v>28</v>
      </c>
      <c r="D75" t="s">
        <v>28</v>
      </c>
      <c r="E75" t="s">
        <v>28</v>
      </c>
      <c r="F75" t="s">
        <v>28</v>
      </c>
      <c r="G75" t="s">
        <v>28</v>
      </c>
      <c r="H75" t="s">
        <v>28</v>
      </c>
      <c r="I75" t="s">
        <v>36</v>
      </c>
      <c r="K75" t="s">
        <v>519</v>
      </c>
      <c r="L75" t="s">
        <v>49</v>
      </c>
      <c r="M75" t="s">
        <v>49</v>
      </c>
      <c r="N75" t="s">
        <v>49</v>
      </c>
      <c r="O75" t="s">
        <v>520</v>
      </c>
      <c r="P75" t="s">
        <v>49</v>
      </c>
      <c r="Q75" t="s">
        <v>521</v>
      </c>
      <c r="R75" t="s">
        <v>522</v>
      </c>
      <c r="S75" t="s">
        <v>53</v>
      </c>
      <c r="T75" t="s">
        <v>127</v>
      </c>
      <c r="U75" t="s">
        <v>523</v>
      </c>
      <c r="V75" t="s">
        <v>91</v>
      </c>
    </row>
    <row r="76" spans="2:22" x14ac:dyDescent="0.35">
      <c r="B76" t="s">
        <v>448</v>
      </c>
      <c r="C76" t="s">
        <v>28</v>
      </c>
      <c r="D76" t="s">
        <v>28</v>
      </c>
      <c r="E76" t="s">
        <v>28</v>
      </c>
      <c r="F76" t="s">
        <v>28</v>
      </c>
      <c r="G76" t="s">
        <v>28</v>
      </c>
      <c r="H76" t="s">
        <v>28</v>
      </c>
      <c r="I76" t="s">
        <v>46</v>
      </c>
      <c r="K76" t="s">
        <v>524</v>
      </c>
      <c r="L76" t="s">
        <v>49</v>
      </c>
      <c r="M76" t="s">
        <v>49</v>
      </c>
      <c r="N76" t="s">
        <v>49</v>
      </c>
      <c r="O76" t="s">
        <v>525</v>
      </c>
      <c r="P76" t="s">
        <v>49</v>
      </c>
      <c r="Q76" t="s">
        <v>526</v>
      </c>
      <c r="R76" t="s">
        <v>527</v>
      </c>
      <c r="S76" t="s">
        <v>87</v>
      </c>
      <c r="T76" t="s">
        <v>250</v>
      </c>
      <c r="U76" t="s">
        <v>528</v>
      </c>
      <c r="V76" t="s">
        <v>91</v>
      </c>
    </row>
    <row r="77" spans="2:22" x14ac:dyDescent="0.35">
      <c r="B77" t="s">
        <v>448</v>
      </c>
      <c r="C77" t="s">
        <v>28</v>
      </c>
      <c r="D77" t="s">
        <v>28</v>
      </c>
      <c r="E77" t="s">
        <v>28</v>
      </c>
      <c r="F77" t="s">
        <v>28</v>
      </c>
      <c r="G77" t="s">
        <v>28</v>
      </c>
      <c r="H77" t="s">
        <v>45</v>
      </c>
      <c r="I77" t="s">
        <v>36</v>
      </c>
      <c r="K77" t="s">
        <v>529</v>
      </c>
      <c r="L77" t="s">
        <v>38</v>
      </c>
      <c r="M77" t="s">
        <v>49</v>
      </c>
      <c r="N77" t="s">
        <v>48</v>
      </c>
      <c r="O77" t="s">
        <v>530</v>
      </c>
      <c r="P77" t="s">
        <v>49</v>
      </c>
      <c r="Q77" t="s">
        <v>531</v>
      </c>
      <c r="R77" t="s">
        <v>532</v>
      </c>
      <c r="S77" t="s">
        <v>79</v>
      </c>
      <c r="T77" t="s">
        <v>250</v>
      </c>
      <c r="U77" t="s">
        <v>533</v>
      </c>
      <c r="V77" t="s">
        <v>129</v>
      </c>
    </row>
    <row r="78" spans="2:22" x14ac:dyDescent="0.35">
      <c r="B78" t="s">
        <v>448</v>
      </c>
      <c r="C78" t="s">
        <v>28</v>
      </c>
      <c r="D78" t="s">
        <v>28</v>
      </c>
      <c r="E78" t="s">
        <v>28</v>
      </c>
      <c r="F78" t="s">
        <v>28</v>
      </c>
      <c r="G78" t="s">
        <v>28</v>
      </c>
      <c r="H78" t="s">
        <v>28</v>
      </c>
      <c r="I78" t="s">
        <v>36</v>
      </c>
      <c r="K78" t="s">
        <v>534</v>
      </c>
      <c r="L78" t="s">
        <v>49</v>
      </c>
      <c r="M78" t="s">
        <v>38</v>
      </c>
      <c r="N78" t="s">
        <v>49</v>
      </c>
      <c r="O78" t="s">
        <v>535</v>
      </c>
      <c r="P78" t="s">
        <v>38</v>
      </c>
      <c r="Q78" t="s">
        <v>536</v>
      </c>
      <c r="R78" t="s">
        <v>537</v>
      </c>
      <c r="S78" t="s">
        <v>79</v>
      </c>
      <c r="T78" t="s">
        <v>538</v>
      </c>
      <c r="U78" t="s">
        <v>539</v>
      </c>
      <c r="V78" t="s">
        <v>129</v>
      </c>
    </row>
    <row r="79" spans="2:22" x14ac:dyDescent="0.35">
      <c r="B79" t="s">
        <v>448</v>
      </c>
      <c r="C79" t="s">
        <v>28</v>
      </c>
      <c r="D79" t="s">
        <v>29</v>
      </c>
      <c r="E79" t="s">
        <v>44</v>
      </c>
      <c r="F79" t="s">
        <v>28</v>
      </c>
      <c r="G79" t="s">
        <v>94</v>
      </c>
      <c r="H79" t="s">
        <v>45</v>
      </c>
      <c r="I79" t="s">
        <v>46</v>
      </c>
      <c r="K79" t="s">
        <v>95</v>
      </c>
      <c r="L79" t="s">
        <v>49</v>
      </c>
      <c r="M79" t="s">
        <v>49</v>
      </c>
      <c r="N79" t="s">
        <v>38</v>
      </c>
      <c r="O79" t="s">
        <v>540</v>
      </c>
      <c r="P79" t="s">
        <v>48</v>
      </c>
      <c r="Q79" t="s">
        <v>541</v>
      </c>
      <c r="R79" t="s">
        <v>542</v>
      </c>
      <c r="S79" t="s">
        <v>65</v>
      </c>
      <c r="T79" t="s">
        <v>543</v>
      </c>
      <c r="U79" t="s">
        <v>544</v>
      </c>
      <c r="V79" t="s">
        <v>129</v>
      </c>
    </row>
    <row r="80" spans="2:22" x14ac:dyDescent="0.35">
      <c r="B80" t="s">
        <v>448</v>
      </c>
      <c r="C80" t="s">
        <v>28</v>
      </c>
      <c r="D80" t="s">
        <v>44</v>
      </c>
      <c r="E80" t="s">
        <v>284</v>
      </c>
      <c r="F80" t="s">
        <v>103</v>
      </c>
      <c r="G80" t="s">
        <v>28</v>
      </c>
      <c r="H80" t="s">
        <v>28</v>
      </c>
      <c r="I80" t="s">
        <v>46</v>
      </c>
      <c r="K80" t="s">
        <v>463</v>
      </c>
      <c r="L80" t="s">
        <v>48</v>
      </c>
      <c r="M80" t="s">
        <v>49</v>
      </c>
      <c r="N80" t="s">
        <v>49</v>
      </c>
      <c r="O80" t="s">
        <v>545</v>
      </c>
      <c r="P80" t="s">
        <v>38</v>
      </c>
      <c r="Q80" t="s">
        <v>546</v>
      </c>
      <c r="R80" t="s">
        <v>547</v>
      </c>
      <c r="S80" t="s">
        <v>87</v>
      </c>
      <c r="T80" t="s">
        <v>463</v>
      </c>
      <c r="U80" t="s">
        <v>548</v>
      </c>
      <c r="V80" t="s">
        <v>91</v>
      </c>
    </row>
    <row r="81" spans="1:22" x14ac:dyDescent="0.35">
      <c r="B81" t="s">
        <v>448</v>
      </c>
      <c r="C81" t="s">
        <v>28</v>
      </c>
      <c r="D81" t="s">
        <v>158</v>
      </c>
      <c r="E81" t="s">
        <v>28</v>
      </c>
      <c r="F81" t="s">
        <v>28</v>
      </c>
      <c r="G81" t="s">
        <v>368</v>
      </c>
      <c r="H81" t="s">
        <v>28</v>
      </c>
      <c r="I81" t="s">
        <v>36</v>
      </c>
      <c r="K81" t="s">
        <v>549</v>
      </c>
      <c r="L81" t="s">
        <v>49</v>
      </c>
      <c r="M81" t="s">
        <v>48</v>
      </c>
      <c r="N81" t="s">
        <v>48</v>
      </c>
      <c r="O81" t="s">
        <v>550</v>
      </c>
      <c r="P81" t="s">
        <v>48</v>
      </c>
      <c r="Q81" t="s">
        <v>551</v>
      </c>
      <c r="R81" t="s">
        <v>552</v>
      </c>
      <c r="S81" t="s">
        <v>53</v>
      </c>
      <c r="T81" t="s">
        <v>553</v>
      </c>
      <c r="U81" t="s">
        <v>554</v>
      </c>
      <c r="V81" t="s">
        <v>129</v>
      </c>
    </row>
    <row r="82" spans="1:22" x14ac:dyDescent="0.35">
      <c r="B82" t="s">
        <v>448</v>
      </c>
      <c r="C82" t="s">
        <v>28</v>
      </c>
      <c r="D82" t="s">
        <v>28</v>
      </c>
      <c r="E82" t="s">
        <v>157</v>
      </c>
      <c r="F82" t="s">
        <v>158</v>
      </c>
      <c r="G82" t="s">
        <v>28</v>
      </c>
      <c r="H82" t="s">
        <v>28</v>
      </c>
      <c r="I82" t="s">
        <v>46</v>
      </c>
      <c r="K82" t="s">
        <v>555</v>
      </c>
      <c r="L82" t="s">
        <v>48</v>
      </c>
      <c r="M82" t="s">
        <v>49</v>
      </c>
      <c r="N82" t="s">
        <v>48</v>
      </c>
      <c r="O82" t="s">
        <v>556</v>
      </c>
      <c r="P82" t="s">
        <v>49</v>
      </c>
      <c r="Q82" t="s">
        <v>557</v>
      </c>
      <c r="R82" t="s">
        <v>558</v>
      </c>
      <c r="S82" t="s">
        <v>87</v>
      </c>
      <c r="T82" t="s">
        <v>538</v>
      </c>
      <c r="U82" t="s">
        <v>559</v>
      </c>
      <c r="V82" t="s">
        <v>91</v>
      </c>
    </row>
    <row r="83" spans="1:22" x14ac:dyDescent="0.35">
      <c r="B83" t="s">
        <v>448</v>
      </c>
      <c r="C83" t="s">
        <v>28</v>
      </c>
      <c r="D83" t="s">
        <v>28</v>
      </c>
      <c r="E83" t="s">
        <v>28</v>
      </c>
      <c r="F83" t="s">
        <v>28</v>
      </c>
      <c r="G83" t="s">
        <v>173</v>
      </c>
      <c r="H83" t="s">
        <v>28</v>
      </c>
      <c r="I83" t="s">
        <v>36</v>
      </c>
      <c r="K83" t="s">
        <v>81</v>
      </c>
      <c r="L83" t="s">
        <v>38</v>
      </c>
      <c r="M83" t="s">
        <v>49</v>
      </c>
      <c r="N83" t="s">
        <v>38</v>
      </c>
      <c r="O83" t="s">
        <v>560</v>
      </c>
      <c r="P83" t="s">
        <v>49</v>
      </c>
      <c r="Q83" t="s">
        <v>561</v>
      </c>
      <c r="R83" t="s">
        <v>562</v>
      </c>
      <c r="S83" t="s">
        <v>79</v>
      </c>
      <c r="T83" t="s">
        <v>81</v>
      </c>
      <c r="U83" t="s">
        <v>467</v>
      </c>
      <c r="V83" t="s">
        <v>129</v>
      </c>
    </row>
    <row r="84" spans="1:22" x14ac:dyDescent="0.35">
      <c r="B84" t="s">
        <v>448</v>
      </c>
      <c r="C84" t="s">
        <v>28</v>
      </c>
      <c r="D84" t="s">
        <v>28</v>
      </c>
      <c r="E84" t="s">
        <v>28</v>
      </c>
      <c r="F84" t="s">
        <v>158</v>
      </c>
      <c r="G84" t="s">
        <v>45</v>
      </c>
      <c r="H84" t="s">
        <v>35</v>
      </c>
      <c r="I84" t="s">
        <v>36</v>
      </c>
      <c r="K84" t="s">
        <v>81</v>
      </c>
      <c r="L84" t="s">
        <v>49</v>
      </c>
      <c r="M84" t="s">
        <v>49</v>
      </c>
      <c r="N84" t="s">
        <v>49</v>
      </c>
      <c r="O84" t="s">
        <v>563</v>
      </c>
      <c r="P84" t="s">
        <v>38</v>
      </c>
      <c r="Q84" t="s">
        <v>564</v>
      </c>
      <c r="R84" t="s">
        <v>565</v>
      </c>
      <c r="S84" t="s">
        <v>79</v>
      </c>
      <c r="T84" t="s">
        <v>81</v>
      </c>
      <c r="U84" t="s">
        <v>566</v>
      </c>
      <c r="V84" t="s">
        <v>129</v>
      </c>
    </row>
    <row r="85" spans="1:22" x14ac:dyDescent="0.35">
      <c r="B85" t="s">
        <v>448</v>
      </c>
      <c r="C85" t="s">
        <v>28</v>
      </c>
      <c r="D85" t="s">
        <v>44</v>
      </c>
      <c r="E85" t="s">
        <v>284</v>
      </c>
      <c r="F85" t="s">
        <v>28</v>
      </c>
      <c r="G85" t="s">
        <v>28</v>
      </c>
      <c r="H85" t="s">
        <v>292</v>
      </c>
      <c r="I85" t="s">
        <v>36</v>
      </c>
      <c r="K85" t="s">
        <v>81</v>
      </c>
      <c r="M85" t="s">
        <v>38</v>
      </c>
      <c r="N85" t="s">
        <v>49</v>
      </c>
      <c r="O85" t="s">
        <v>567</v>
      </c>
      <c r="P85" t="s">
        <v>38</v>
      </c>
      <c r="Q85" t="s">
        <v>568</v>
      </c>
      <c r="R85" t="s">
        <v>569</v>
      </c>
      <c r="S85" t="s">
        <v>79</v>
      </c>
      <c r="T85" t="s">
        <v>81</v>
      </c>
      <c r="U85" t="s">
        <v>523</v>
      </c>
      <c r="V85" t="s">
        <v>129</v>
      </c>
    </row>
    <row r="86" spans="1:22" x14ac:dyDescent="0.35">
      <c r="B86" t="s">
        <v>570</v>
      </c>
      <c r="C86" t="s">
        <v>28</v>
      </c>
      <c r="D86" t="s">
        <v>60</v>
      </c>
      <c r="E86" t="s">
        <v>157</v>
      </c>
      <c r="F86" t="s">
        <v>173</v>
      </c>
      <c r="G86" t="s">
        <v>45</v>
      </c>
      <c r="H86" t="s">
        <v>292</v>
      </c>
      <c r="I86" t="s">
        <v>36</v>
      </c>
      <c r="K86" t="s">
        <v>571</v>
      </c>
      <c r="L86" t="s">
        <v>49</v>
      </c>
      <c r="M86" t="s">
        <v>49</v>
      </c>
      <c r="N86" t="s">
        <v>49</v>
      </c>
      <c r="O86" t="s">
        <v>572</v>
      </c>
      <c r="P86" t="s">
        <v>49</v>
      </c>
      <c r="Q86" t="s">
        <v>573</v>
      </c>
      <c r="R86" t="s">
        <v>527</v>
      </c>
      <c r="S86" t="s">
        <v>79</v>
      </c>
      <c r="T86" t="s">
        <v>81</v>
      </c>
      <c r="U86" t="s">
        <v>574</v>
      </c>
      <c r="V86" t="s">
        <v>129</v>
      </c>
    </row>
    <row r="87" spans="1:22" x14ac:dyDescent="0.35">
      <c r="B87" t="s">
        <v>448</v>
      </c>
      <c r="C87" t="s">
        <v>28</v>
      </c>
      <c r="D87" t="s">
        <v>28</v>
      </c>
      <c r="E87" t="s">
        <v>157</v>
      </c>
      <c r="F87" t="s">
        <v>197</v>
      </c>
      <c r="G87" t="s">
        <v>173</v>
      </c>
      <c r="H87" t="s">
        <v>74</v>
      </c>
      <c r="I87" t="s">
        <v>46</v>
      </c>
      <c r="K87" t="s">
        <v>81</v>
      </c>
      <c r="L87" t="s">
        <v>38</v>
      </c>
      <c r="M87" t="s">
        <v>40</v>
      </c>
      <c r="N87" t="s">
        <v>38</v>
      </c>
      <c r="O87" t="s">
        <v>575</v>
      </c>
      <c r="P87" t="s">
        <v>38</v>
      </c>
      <c r="Q87" t="s">
        <v>576</v>
      </c>
      <c r="R87" t="s">
        <v>577</v>
      </c>
      <c r="S87" t="s">
        <v>79</v>
      </c>
      <c r="T87" t="s">
        <v>81</v>
      </c>
      <c r="U87" t="s">
        <v>578</v>
      </c>
      <c r="V87" t="s">
        <v>129</v>
      </c>
    </row>
    <row r="88" spans="1:22" x14ac:dyDescent="0.35">
      <c r="B88" t="s">
        <v>448</v>
      </c>
      <c r="C88" t="s">
        <v>28</v>
      </c>
      <c r="D88" t="s">
        <v>60</v>
      </c>
      <c r="E88" t="s">
        <v>29</v>
      </c>
      <c r="F88" t="s">
        <v>158</v>
      </c>
      <c r="G88" t="s">
        <v>45</v>
      </c>
      <c r="H88" t="s">
        <v>28</v>
      </c>
      <c r="I88" t="s">
        <v>46</v>
      </c>
      <c r="K88" t="s">
        <v>81</v>
      </c>
      <c r="L88" t="s">
        <v>48</v>
      </c>
      <c r="M88" t="s">
        <v>49</v>
      </c>
      <c r="N88" t="s">
        <v>49</v>
      </c>
      <c r="O88" t="s">
        <v>579</v>
      </c>
      <c r="P88" t="s">
        <v>38</v>
      </c>
      <c r="Q88" t="s">
        <v>580</v>
      </c>
      <c r="R88" t="s">
        <v>581</v>
      </c>
      <c r="S88" t="s">
        <v>79</v>
      </c>
      <c r="T88" t="s">
        <v>81</v>
      </c>
      <c r="U88" t="s">
        <v>539</v>
      </c>
      <c r="V88" t="s">
        <v>129</v>
      </c>
    </row>
    <row r="89" spans="1:22" x14ac:dyDescent="0.35">
      <c r="B89" t="s">
        <v>448</v>
      </c>
      <c r="C89" t="s">
        <v>28</v>
      </c>
      <c r="D89" t="s">
        <v>28</v>
      </c>
      <c r="E89" t="s">
        <v>60</v>
      </c>
      <c r="F89" t="s">
        <v>30</v>
      </c>
      <c r="G89" t="s">
        <v>30</v>
      </c>
      <c r="H89" t="s">
        <v>61</v>
      </c>
      <c r="I89" t="s">
        <v>36</v>
      </c>
      <c r="K89" t="s">
        <v>81</v>
      </c>
      <c r="L89" t="s">
        <v>38</v>
      </c>
      <c r="M89" t="s">
        <v>49</v>
      </c>
      <c r="N89" t="s">
        <v>49</v>
      </c>
      <c r="O89" t="s">
        <v>582</v>
      </c>
      <c r="P89" t="s">
        <v>49</v>
      </c>
      <c r="Q89" t="s">
        <v>583</v>
      </c>
      <c r="R89" t="s">
        <v>577</v>
      </c>
      <c r="S89" t="s">
        <v>65</v>
      </c>
      <c r="T89" t="s">
        <v>81</v>
      </c>
      <c r="U89" t="s">
        <v>584</v>
      </c>
      <c r="V89" t="s">
        <v>57</v>
      </c>
    </row>
    <row r="90" spans="1:22" x14ac:dyDescent="0.35">
      <c r="B90" t="s">
        <v>570</v>
      </c>
      <c r="C90" t="s">
        <v>29</v>
      </c>
      <c r="D90" t="s">
        <v>60</v>
      </c>
      <c r="E90" t="s">
        <v>33</v>
      </c>
      <c r="F90" t="s">
        <v>34</v>
      </c>
      <c r="G90" t="s">
        <v>28</v>
      </c>
      <c r="H90" t="s">
        <v>45</v>
      </c>
      <c r="I90" t="s">
        <v>36</v>
      </c>
      <c r="K90" t="s">
        <v>81</v>
      </c>
      <c r="L90" t="s">
        <v>49</v>
      </c>
      <c r="M90" t="s">
        <v>48</v>
      </c>
      <c r="N90" t="s">
        <v>40</v>
      </c>
      <c r="O90" t="s">
        <v>585</v>
      </c>
      <c r="P90" t="s">
        <v>38</v>
      </c>
      <c r="Q90" t="s">
        <v>586</v>
      </c>
      <c r="R90" t="s">
        <v>587</v>
      </c>
      <c r="S90" t="s">
        <v>65</v>
      </c>
      <c r="T90" t="s">
        <v>81</v>
      </c>
      <c r="U90" t="s">
        <v>588</v>
      </c>
      <c r="V90" t="s">
        <v>57</v>
      </c>
    </row>
    <row r="91" spans="1:22" x14ac:dyDescent="0.35">
      <c r="B91" t="s">
        <v>448</v>
      </c>
      <c r="C91" t="s">
        <v>29</v>
      </c>
      <c r="D91" t="s">
        <v>60</v>
      </c>
      <c r="E91" t="s">
        <v>33</v>
      </c>
      <c r="F91" t="s">
        <v>34</v>
      </c>
      <c r="G91" t="s">
        <v>28</v>
      </c>
      <c r="H91" t="s">
        <v>28</v>
      </c>
      <c r="I91" t="s">
        <v>36</v>
      </c>
      <c r="K91" t="s">
        <v>81</v>
      </c>
      <c r="L91" t="s">
        <v>38</v>
      </c>
      <c r="M91" t="s">
        <v>38</v>
      </c>
      <c r="N91" t="s">
        <v>38</v>
      </c>
      <c r="O91" t="s">
        <v>589</v>
      </c>
      <c r="P91" t="s">
        <v>39</v>
      </c>
      <c r="Q91" t="s">
        <v>590</v>
      </c>
      <c r="R91" t="s">
        <v>591</v>
      </c>
      <c r="S91" t="s">
        <v>65</v>
      </c>
      <c r="T91" t="s">
        <v>81</v>
      </c>
      <c r="U91" t="s">
        <v>592</v>
      </c>
      <c r="V91" t="s">
        <v>57</v>
      </c>
    </row>
    <row r="92" spans="1:22" x14ac:dyDescent="0.35">
      <c r="B92" t="s">
        <v>448</v>
      </c>
      <c r="C92" t="s">
        <v>28</v>
      </c>
      <c r="D92" t="s">
        <v>28</v>
      </c>
      <c r="E92" t="s">
        <v>28</v>
      </c>
      <c r="F92" t="s">
        <v>28</v>
      </c>
      <c r="G92" t="s">
        <v>103</v>
      </c>
      <c r="H92" t="s">
        <v>28</v>
      </c>
      <c r="I92" t="s">
        <v>36</v>
      </c>
      <c r="K92" t="s">
        <v>81</v>
      </c>
      <c r="L92" t="s">
        <v>49</v>
      </c>
      <c r="M92" t="s">
        <v>49</v>
      </c>
      <c r="N92" t="s">
        <v>48</v>
      </c>
      <c r="O92" t="s">
        <v>593</v>
      </c>
      <c r="P92" t="s">
        <v>48</v>
      </c>
      <c r="Q92" t="s">
        <v>594</v>
      </c>
      <c r="R92" t="s">
        <v>595</v>
      </c>
      <c r="S92" t="s">
        <v>65</v>
      </c>
      <c r="T92" t="s">
        <v>81</v>
      </c>
      <c r="U92" t="s">
        <v>596</v>
      </c>
      <c r="V92" t="s">
        <v>57</v>
      </c>
    </row>
    <row r="93" spans="1:22" x14ac:dyDescent="0.35">
      <c r="A93" t="s">
        <v>597</v>
      </c>
      <c r="B93" t="s">
        <v>598</v>
      </c>
      <c r="C93" t="s">
        <v>28</v>
      </c>
      <c r="D93" t="s">
        <v>44</v>
      </c>
      <c r="E93" t="s">
        <v>44</v>
      </c>
      <c r="F93" t="s">
        <v>173</v>
      </c>
      <c r="G93" t="s">
        <v>30</v>
      </c>
      <c r="H93" t="s">
        <v>61</v>
      </c>
      <c r="I93" t="s">
        <v>46</v>
      </c>
      <c r="K93" t="s">
        <v>599</v>
      </c>
      <c r="L93" t="s">
        <v>49</v>
      </c>
      <c r="M93" t="s">
        <v>49</v>
      </c>
      <c r="N93" t="s">
        <v>49</v>
      </c>
      <c r="O93" t="s">
        <v>600</v>
      </c>
      <c r="P93" t="s">
        <v>49</v>
      </c>
      <c r="Q93" t="s">
        <v>601</v>
      </c>
      <c r="R93" t="s">
        <v>602</v>
      </c>
      <c r="S93" t="s">
        <v>65</v>
      </c>
      <c r="T93" t="s">
        <v>603</v>
      </c>
      <c r="U93" t="s">
        <v>349</v>
      </c>
      <c r="V93" t="s">
        <v>129</v>
      </c>
    </row>
    <row r="94" spans="1:22" x14ac:dyDescent="0.35">
      <c r="A94" t="s">
        <v>604</v>
      </c>
      <c r="B94" t="s">
        <v>598</v>
      </c>
      <c r="C94" t="s">
        <v>344</v>
      </c>
      <c r="D94" t="s">
        <v>29</v>
      </c>
      <c r="E94" t="s">
        <v>29</v>
      </c>
      <c r="F94" t="s">
        <v>30</v>
      </c>
      <c r="G94" t="s">
        <v>30</v>
      </c>
      <c r="H94" t="s">
        <v>94</v>
      </c>
      <c r="I94" t="s">
        <v>36</v>
      </c>
      <c r="K94" t="s">
        <v>605</v>
      </c>
      <c r="L94" t="s">
        <v>48</v>
      </c>
      <c r="M94" t="s">
        <v>48</v>
      </c>
      <c r="N94" t="s">
        <v>48</v>
      </c>
      <c r="O94" t="s">
        <v>606</v>
      </c>
      <c r="P94" t="s">
        <v>48</v>
      </c>
      <c r="Q94" t="s">
        <v>607</v>
      </c>
      <c r="R94" t="s">
        <v>608</v>
      </c>
      <c r="S94" t="s">
        <v>65</v>
      </c>
      <c r="T94" t="s">
        <v>603</v>
      </c>
      <c r="U94" t="s">
        <v>609</v>
      </c>
      <c r="V94" t="s">
        <v>91</v>
      </c>
    </row>
    <row r="95" spans="1:22" x14ac:dyDescent="0.35">
      <c r="A95" t="s">
        <v>610</v>
      </c>
      <c r="B95" t="s">
        <v>598</v>
      </c>
      <c r="C95" t="s">
        <v>28</v>
      </c>
      <c r="D95" t="s">
        <v>29</v>
      </c>
      <c r="E95" t="s">
        <v>33</v>
      </c>
      <c r="F95" t="s">
        <v>30</v>
      </c>
      <c r="G95" t="s">
        <v>94</v>
      </c>
      <c r="H95" t="s">
        <v>94</v>
      </c>
      <c r="I95" t="s">
        <v>46</v>
      </c>
      <c r="K95" t="s">
        <v>611</v>
      </c>
      <c r="L95" t="s">
        <v>49</v>
      </c>
      <c r="M95" t="s">
        <v>49</v>
      </c>
      <c r="N95" t="s">
        <v>49</v>
      </c>
      <c r="O95" t="s">
        <v>612</v>
      </c>
      <c r="P95" t="s">
        <v>49</v>
      </c>
      <c r="Q95" t="s">
        <v>613</v>
      </c>
      <c r="R95" t="s">
        <v>614</v>
      </c>
      <c r="S95" t="s">
        <v>79</v>
      </c>
      <c r="T95" t="s">
        <v>603</v>
      </c>
      <c r="U95" t="s">
        <v>616</v>
      </c>
      <c r="V95" t="s">
        <v>129</v>
      </c>
    </row>
    <row r="96" spans="1:22" x14ac:dyDescent="0.35">
      <c r="A96" t="s">
        <v>617</v>
      </c>
      <c r="B96" t="s">
        <v>598</v>
      </c>
      <c r="C96" t="s">
        <v>71</v>
      </c>
      <c r="D96" t="s">
        <v>33</v>
      </c>
      <c r="E96" t="s">
        <v>33</v>
      </c>
      <c r="F96" t="s">
        <v>34</v>
      </c>
      <c r="G96" t="s">
        <v>34</v>
      </c>
      <c r="H96" t="s">
        <v>73</v>
      </c>
      <c r="I96" t="s">
        <v>46</v>
      </c>
      <c r="K96" t="s">
        <v>605</v>
      </c>
      <c r="L96" t="s">
        <v>49</v>
      </c>
      <c r="M96" t="s">
        <v>49</v>
      </c>
      <c r="N96" t="s">
        <v>49</v>
      </c>
      <c r="O96" t="s">
        <v>618</v>
      </c>
      <c r="P96" t="s">
        <v>49</v>
      </c>
      <c r="Q96" t="s">
        <v>619</v>
      </c>
      <c r="R96" t="s">
        <v>620</v>
      </c>
      <c r="S96" t="s">
        <v>53</v>
      </c>
      <c r="T96" t="s">
        <v>603</v>
      </c>
      <c r="U96" t="s">
        <v>622</v>
      </c>
      <c r="V96" t="s">
        <v>129</v>
      </c>
    </row>
    <row r="97" spans="1:22" x14ac:dyDescent="0.35">
      <c r="A97" t="s">
        <v>623</v>
      </c>
      <c r="B97" t="s">
        <v>598</v>
      </c>
      <c r="C97" t="s">
        <v>29</v>
      </c>
      <c r="D97" t="s">
        <v>29</v>
      </c>
      <c r="E97" t="s">
        <v>29</v>
      </c>
      <c r="F97" t="s">
        <v>30</v>
      </c>
      <c r="G97" t="s">
        <v>30</v>
      </c>
      <c r="H97" t="s">
        <v>94</v>
      </c>
      <c r="I97" t="s">
        <v>46</v>
      </c>
      <c r="K97" t="s">
        <v>624</v>
      </c>
      <c r="L97" t="s">
        <v>49</v>
      </c>
      <c r="M97" t="s">
        <v>48</v>
      </c>
      <c r="N97" t="s">
        <v>49</v>
      </c>
      <c r="O97" t="s">
        <v>625</v>
      </c>
      <c r="P97" t="s">
        <v>48</v>
      </c>
      <c r="Q97" t="s">
        <v>626</v>
      </c>
      <c r="R97" t="s">
        <v>627</v>
      </c>
      <c r="S97" t="s">
        <v>65</v>
      </c>
      <c r="T97" t="s">
        <v>603</v>
      </c>
      <c r="U97" t="s">
        <v>629</v>
      </c>
      <c r="V97" t="s">
        <v>91</v>
      </c>
    </row>
    <row r="98" spans="1:22" x14ac:dyDescent="0.35">
      <c r="A98" t="s">
        <v>630</v>
      </c>
      <c r="B98" t="s">
        <v>598</v>
      </c>
      <c r="C98" t="s">
        <v>344</v>
      </c>
      <c r="D98" t="s">
        <v>29</v>
      </c>
      <c r="E98" t="s">
        <v>206</v>
      </c>
      <c r="F98" t="s">
        <v>30</v>
      </c>
      <c r="G98" t="s">
        <v>173</v>
      </c>
      <c r="H98" t="s">
        <v>94</v>
      </c>
      <c r="I98" t="s">
        <v>46</v>
      </c>
      <c r="K98" t="s">
        <v>631</v>
      </c>
      <c r="L98" t="s">
        <v>49</v>
      </c>
      <c r="M98" t="s">
        <v>49</v>
      </c>
      <c r="N98" t="s">
        <v>49</v>
      </c>
      <c r="O98" t="s">
        <v>632</v>
      </c>
      <c r="P98" t="s">
        <v>49</v>
      </c>
      <c r="Q98" t="s">
        <v>633</v>
      </c>
      <c r="R98" t="s">
        <v>634</v>
      </c>
      <c r="S98" t="s">
        <v>87</v>
      </c>
      <c r="T98" t="s">
        <v>603</v>
      </c>
      <c r="U98" t="s">
        <v>616</v>
      </c>
      <c r="V98" t="s">
        <v>129</v>
      </c>
    </row>
    <row r="99" spans="1:22" x14ac:dyDescent="0.35">
      <c r="A99" t="s">
        <v>636</v>
      </c>
      <c r="B99" t="s">
        <v>598</v>
      </c>
      <c r="C99" t="s">
        <v>344</v>
      </c>
      <c r="D99" t="s">
        <v>29</v>
      </c>
      <c r="E99" t="s">
        <v>29</v>
      </c>
      <c r="F99" t="s">
        <v>30</v>
      </c>
      <c r="G99" t="s">
        <v>30</v>
      </c>
      <c r="H99" t="s">
        <v>94</v>
      </c>
      <c r="I99" t="s">
        <v>36</v>
      </c>
      <c r="K99" t="s">
        <v>624</v>
      </c>
      <c r="L99" t="s">
        <v>49</v>
      </c>
      <c r="M99" t="s">
        <v>49</v>
      </c>
      <c r="N99" t="s">
        <v>49</v>
      </c>
      <c r="O99" t="s">
        <v>637</v>
      </c>
      <c r="P99" t="s">
        <v>49</v>
      </c>
      <c r="Q99" t="s">
        <v>638</v>
      </c>
      <c r="R99" t="s">
        <v>639</v>
      </c>
      <c r="S99" t="s">
        <v>79</v>
      </c>
      <c r="T99" t="s">
        <v>603</v>
      </c>
      <c r="U99" t="s">
        <v>622</v>
      </c>
      <c r="V99" t="s">
        <v>129</v>
      </c>
    </row>
    <row r="100" spans="1:22" x14ac:dyDescent="0.35">
      <c r="A100" t="s">
        <v>641</v>
      </c>
      <c r="B100" t="s">
        <v>598</v>
      </c>
      <c r="C100" t="s">
        <v>344</v>
      </c>
      <c r="D100" t="s">
        <v>196</v>
      </c>
      <c r="E100" t="s">
        <v>206</v>
      </c>
      <c r="F100" t="s">
        <v>34</v>
      </c>
      <c r="G100" t="s">
        <v>34</v>
      </c>
      <c r="H100" t="s">
        <v>94</v>
      </c>
      <c r="I100" t="s">
        <v>36</v>
      </c>
      <c r="K100" t="s">
        <v>642</v>
      </c>
      <c r="L100" t="s">
        <v>49</v>
      </c>
      <c r="M100" t="s">
        <v>49</v>
      </c>
      <c r="N100" t="s">
        <v>48</v>
      </c>
      <c r="O100" t="s">
        <v>643</v>
      </c>
      <c r="P100" t="s">
        <v>48</v>
      </c>
      <c r="Q100" t="s">
        <v>644</v>
      </c>
      <c r="R100" t="s">
        <v>645</v>
      </c>
      <c r="S100" t="s">
        <v>65</v>
      </c>
      <c r="T100" t="s">
        <v>603</v>
      </c>
      <c r="U100" t="s">
        <v>647</v>
      </c>
      <c r="V100" t="s">
        <v>129</v>
      </c>
    </row>
    <row r="101" spans="1:22" x14ac:dyDescent="0.35">
      <c r="A101" t="s">
        <v>648</v>
      </c>
      <c r="B101" t="s">
        <v>598</v>
      </c>
      <c r="C101" t="s">
        <v>29</v>
      </c>
      <c r="D101" t="s">
        <v>29</v>
      </c>
      <c r="E101" t="s">
        <v>29</v>
      </c>
      <c r="F101" t="s">
        <v>30</v>
      </c>
      <c r="G101" t="s">
        <v>30</v>
      </c>
      <c r="H101" t="s">
        <v>94</v>
      </c>
      <c r="I101" t="s">
        <v>46</v>
      </c>
      <c r="K101" t="s">
        <v>642</v>
      </c>
      <c r="L101" t="s">
        <v>49</v>
      </c>
      <c r="M101" t="s">
        <v>49</v>
      </c>
      <c r="N101" t="s">
        <v>49</v>
      </c>
      <c r="O101" t="s">
        <v>649</v>
      </c>
      <c r="P101" t="s">
        <v>49</v>
      </c>
      <c r="Q101" t="s">
        <v>650</v>
      </c>
      <c r="R101" t="s">
        <v>651</v>
      </c>
      <c r="S101" t="s">
        <v>53</v>
      </c>
      <c r="T101" t="s">
        <v>603</v>
      </c>
      <c r="U101" t="s">
        <v>616</v>
      </c>
      <c r="V101" t="s">
        <v>129</v>
      </c>
    </row>
    <row r="102" spans="1:22" x14ac:dyDescent="0.35">
      <c r="A102" t="s">
        <v>652</v>
      </c>
      <c r="B102" t="s">
        <v>598</v>
      </c>
      <c r="C102" t="s">
        <v>71</v>
      </c>
      <c r="D102" t="s">
        <v>33</v>
      </c>
      <c r="E102" t="s">
        <v>33</v>
      </c>
      <c r="F102" t="s">
        <v>34</v>
      </c>
      <c r="G102" t="s">
        <v>34</v>
      </c>
      <c r="H102" t="s">
        <v>73</v>
      </c>
      <c r="I102" t="s">
        <v>36</v>
      </c>
      <c r="K102" t="s">
        <v>442</v>
      </c>
      <c r="L102" t="s">
        <v>48</v>
      </c>
      <c r="M102" t="s">
        <v>48</v>
      </c>
      <c r="N102" t="s">
        <v>48</v>
      </c>
      <c r="O102" t="s">
        <v>653</v>
      </c>
      <c r="P102" t="s">
        <v>48</v>
      </c>
      <c r="Q102" t="s">
        <v>654</v>
      </c>
      <c r="R102" t="s">
        <v>655</v>
      </c>
      <c r="S102" t="s">
        <v>53</v>
      </c>
      <c r="T102" t="s">
        <v>603</v>
      </c>
      <c r="U102" t="s">
        <v>622</v>
      </c>
      <c r="V102" t="s">
        <v>129</v>
      </c>
    </row>
    <row r="103" spans="1:22" x14ac:dyDescent="0.35">
      <c r="A103" t="s">
        <v>657</v>
      </c>
      <c r="B103" t="s">
        <v>658</v>
      </c>
      <c r="C103" t="s">
        <v>28</v>
      </c>
      <c r="D103" t="s">
        <v>28</v>
      </c>
      <c r="E103" t="s">
        <v>28</v>
      </c>
      <c r="F103" t="s">
        <v>28</v>
      </c>
      <c r="G103" t="s">
        <v>28</v>
      </c>
      <c r="H103" t="s">
        <v>28</v>
      </c>
      <c r="I103" t="s">
        <v>46</v>
      </c>
      <c r="K103" t="s">
        <v>442</v>
      </c>
      <c r="L103" t="s">
        <v>49</v>
      </c>
      <c r="M103" t="s">
        <v>49</v>
      </c>
      <c r="N103" t="s">
        <v>49</v>
      </c>
      <c r="O103" t="s">
        <v>659</v>
      </c>
      <c r="P103" t="s">
        <v>49</v>
      </c>
      <c r="Q103" t="s">
        <v>660</v>
      </c>
      <c r="R103" t="s">
        <v>661</v>
      </c>
      <c r="S103" t="s">
        <v>79</v>
      </c>
      <c r="T103" t="s">
        <v>603</v>
      </c>
      <c r="U103" t="s">
        <v>629</v>
      </c>
      <c r="V103" t="s">
        <v>91</v>
      </c>
    </row>
    <row r="104" spans="1:22" x14ac:dyDescent="0.35">
      <c r="A104" t="s">
        <v>662</v>
      </c>
      <c r="B104" t="s">
        <v>598</v>
      </c>
      <c r="C104" t="s">
        <v>71</v>
      </c>
      <c r="D104" t="s">
        <v>33</v>
      </c>
      <c r="E104" t="s">
        <v>33</v>
      </c>
      <c r="F104" t="s">
        <v>34</v>
      </c>
      <c r="G104" t="s">
        <v>34</v>
      </c>
      <c r="H104" t="s">
        <v>73</v>
      </c>
      <c r="I104" t="s">
        <v>36</v>
      </c>
      <c r="K104" t="s">
        <v>442</v>
      </c>
      <c r="L104" t="s">
        <v>48</v>
      </c>
      <c r="M104" t="s">
        <v>48</v>
      </c>
      <c r="N104" t="s">
        <v>48</v>
      </c>
      <c r="O104" t="s">
        <v>663</v>
      </c>
      <c r="P104" t="s">
        <v>48</v>
      </c>
      <c r="Q104" t="s">
        <v>664</v>
      </c>
      <c r="R104" t="s">
        <v>665</v>
      </c>
      <c r="S104" t="s">
        <v>79</v>
      </c>
      <c r="T104" t="s">
        <v>603</v>
      </c>
      <c r="U104" t="s">
        <v>629</v>
      </c>
      <c r="V104" t="s">
        <v>129</v>
      </c>
    </row>
    <row r="105" spans="1:22" x14ac:dyDescent="0.35">
      <c r="A105" t="s">
        <v>667</v>
      </c>
      <c r="B105" t="s">
        <v>598</v>
      </c>
      <c r="C105" t="s">
        <v>28</v>
      </c>
      <c r="D105" t="s">
        <v>28</v>
      </c>
      <c r="E105" t="s">
        <v>28</v>
      </c>
      <c r="F105" t="s">
        <v>28</v>
      </c>
      <c r="G105" t="s">
        <v>28</v>
      </c>
      <c r="H105" t="s">
        <v>28</v>
      </c>
      <c r="I105" t="s">
        <v>36</v>
      </c>
      <c r="K105" t="s">
        <v>668</v>
      </c>
      <c r="L105" t="s">
        <v>49</v>
      </c>
      <c r="M105" t="s">
        <v>48</v>
      </c>
      <c r="N105" t="s">
        <v>49</v>
      </c>
      <c r="O105" t="s">
        <v>669</v>
      </c>
      <c r="P105" t="s">
        <v>48</v>
      </c>
      <c r="Q105" t="s">
        <v>670</v>
      </c>
      <c r="R105" t="s">
        <v>671</v>
      </c>
      <c r="S105" t="s">
        <v>65</v>
      </c>
      <c r="T105" t="s">
        <v>603</v>
      </c>
      <c r="U105" t="s">
        <v>647</v>
      </c>
      <c r="V105" t="s">
        <v>129</v>
      </c>
    </row>
    <row r="106" spans="1:22" x14ac:dyDescent="0.35">
      <c r="A106" t="s">
        <v>673</v>
      </c>
      <c r="B106" t="s">
        <v>180</v>
      </c>
      <c r="C106" t="s">
        <v>29</v>
      </c>
      <c r="D106" t="s">
        <v>29</v>
      </c>
      <c r="E106" t="s">
        <v>29</v>
      </c>
      <c r="F106" t="s">
        <v>30</v>
      </c>
      <c r="G106" t="s">
        <v>30</v>
      </c>
      <c r="H106" t="s">
        <v>94</v>
      </c>
      <c r="I106" t="s">
        <v>46</v>
      </c>
      <c r="K106" t="s">
        <v>442</v>
      </c>
      <c r="L106" t="s">
        <v>48</v>
      </c>
      <c r="M106" t="s">
        <v>48</v>
      </c>
      <c r="N106" t="s">
        <v>48</v>
      </c>
      <c r="O106" t="s">
        <v>674</v>
      </c>
      <c r="P106" t="s">
        <v>48</v>
      </c>
      <c r="Q106" t="s">
        <v>675</v>
      </c>
      <c r="R106" t="s">
        <v>676</v>
      </c>
      <c r="S106" t="s">
        <v>87</v>
      </c>
      <c r="T106" t="s">
        <v>603</v>
      </c>
      <c r="U106" t="s">
        <v>616</v>
      </c>
      <c r="V106" t="s">
        <v>57</v>
      </c>
    </row>
    <row r="107" spans="1:22" x14ac:dyDescent="0.35">
      <c r="A107" t="s">
        <v>678</v>
      </c>
      <c r="B107" t="s">
        <v>493</v>
      </c>
      <c r="C107" t="s">
        <v>344</v>
      </c>
      <c r="D107" t="s">
        <v>196</v>
      </c>
      <c r="E107" t="s">
        <v>206</v>
      </c>
      <c r="F107" t="s">
        <v>30</v>
      </c>
      <c r="G107" t="s">
        <v>30</v>
      </c>
      <c r="H107" t="s">
        <v>94</v>
      </c>
      <c r="I107" t="s">
        <v>46</v>
      </c>
      <c r="K107" t="s">
        <v>679</v>
      </c>
      <c r="L107" t="s">
        <v>49</v>
      </c>
      <c r="M107" t="s">
        <v>49</v>
      </c>
      <c r="N107" t="s">
        <v>49</v>
      </c>
      <c r="O107" t="s">
        <v>680</v>
      </c>
      <c r="P107" t="s">
        <v>49</v>
      </c>
      <c r="Q107" t="s">
        <v>681</v>
      </c>
      <c r="R107" t="s">
        <v>682</v>
      </c>
      <c r="S107" t="s">
        <v>53</v>
      </c>
      <c r="T107" t="s">
        <v>603</v>
      </c>
      <c r="U107" t="s">
        <v>683</v>
      </c>
      <c r="V107" t="s">
        <v>91</v>
      </c>
    </row>
    <row r="108" spans="1:22" x14ac:dyDescent="0.35">
      <c r="A108" t="s">
        <v>684</v>
      </c>
      <c r="B108" t="s">
        <v>598</v>
      </c>
      <c r="C108" t="s">
        <v>71</v>
      </c>
      <c r="D108" t="s">
        <v>33</v>
      </c>
      <c r="E108" t="s">
        <v>33</v>
      </c>
      <c r="F108" t="s">
        <v>34</v>
      </c>
      <c r="G108" t="s">
        <v>34</v>
      </c>
      <c r="H108" t="s">
        <v>73</v>
      </c>
      <c r="I108" t="s">
        <v>36</v>
      </c>
      <c r="K108" t="s">
        <v>668</v>
      </c>
      <c r="L108" t="s">
        <v>48</v>
      </c>
      <c r="M108" t="s">
        <v>48</v>
      </c>
      <c r="N108" t="s">
        <v>48</v>
      </c>
      <c r="O108" t="s">
        <v>685</v>
      </c>
      <c r="P108" t="s">
        <v>48</v>
      </c>
      <c r="Q108" t="s">
        <v>686</v>
      </c>
      <c r="R108" t="s">
        <v>687</v>
      </c>
      <c r="S108" t="s">
        <v>65</v>
      </c>
      <c r="T108" t="s">
        <v>603</v>
      </c>
      <c r="U108" t="s">
        <v>688</v>
      </c>
      <c r="V108" t="s">
        <v>91</v>
      </c>
    </row>
    <row r="109" spans="1:22" x14ac:dyDescent="0.35">
      <c r="A109" t="s">
        <v>689</v>
      </c>
      <c r="B109" t="s">
        <v>180</v>
      </c>
      <c r="C109" t="s">
        <v>29</v>
      </c>
      <c r="D109" t="s">
        <v>29</v>
      </c>
      <c r="E109" t="s">
        <v>29</v>
      </c>
      <c r="F109" t="s">
        <v>30</v>
      </c>
      <c r="G109" t="s">
        <v>30</v>
      </c>
      <c r="H109" t="s">
        <v>94</v>
      </c>
      <c r="I109" t="s">
        <v>46</v>
      </c>
      <c r="K109" t="s">
        <v>442</v>
      </c>
      <c r="L109" t="s">
        <v>49</v>
      </c>
      <c r="M109" t="s">
        <v>48</v>
      </c>
      <c r="N109" t="s">
        <v>48</v>
      </c>
      <c r="O109" t="s">
        <v>690</v>
      </c>
      <c r="P109" t="s">
        <v>49</v>
      </c>
      <c r="Q109" t="s">
        <v>691</v>
      </c>
      <c r="R109" t="s">
        <v>692</v>
      </c>
      <c r="S109" t="s">
        <v>79</v>
      </c>
      <c r="T109" t="s">
        <v>603</v>
      </c>
      <c r="U109" t="s">
        <v>694</v>
      </c>
      <c r="V109" t="s">
        <v>57</v>
      </c>
    </row>
    <row r="110" spans="1:22" x14ac:dyDescent="0.35">
      <c r="A110" t="s">
        <v>695</v>
      </c>
      <c r="B110" t="s">
        <v>598</v>
      </c>
      <c r="C110" t="s">
        <v>71</v>
      </c>
      <c r="D110" t="s">
        <v>33</v>
      </c>
      <c r="E110" t="s">
        <v>33</v>
      </c>
      <c r="F110" t="s">
        <v>34</v>
      </c>
      <c r="G110" t="s">
        <v>34</v>
      </c>
      <c r="H110" t="s">
        <v>73</v>
      </c>
      <c r="I110" t="s">
        <v>36</v>
      </c>
      <c r="K110" t="s">
        <v>696</v>
      </c>
      <c r="L110" t="s">
        <v>48</v>
      </c>
      <c r="M110" t="s">
        <v>49</v>
      </c>
      <c r="N110" t="s">
        <v>49</v>
      </c>
      <c r="O110" t="s">
        <v>697</v>
      </c>
      <c r="P110" t="s">
        <v>48</v>
      </c>
      <c r="Q110" t="s">
        <v>698</v>
      </c>
      <c r="R110" t="s">
        <v>699</v>
      </c>
      <c r="S110" t="s">
        <v>79</v>
      </c>
      <c r="T110" t="s">
        <v>603</v>
      </c>
      <c r="U110" t="s">
        <v>193</v>
      </c>
      <c r="V110" t="s">
        <v>129</v>
      </c>
    </row>
    <row r="111" spans="1:22" x14ac:dyDescent="0.35">
      <c r="A111" t="s">
        <v>700</v>
      </c>
      <c r="B111" t="s">
        <v>598</v>
      </c>
      <c r="C111" t="s">
        <v>29</v>
      </c>
      <c r="D111" t="s">
        <v>29</v>
      </c>
      <c r="E111" t="s">
        <v>29</v>
      </c>
      <c r="F111" t="s">
        <v>30</v>
      </c>
      <c r="G111" t="s">
        <v>30</v>
      </c>
      <c r="H111" t="s">
        <v>94</v>
      </c>
      <c r="I111" t="s">
        <v>46</v>
      </c>
      <c r="K111" t="s">
        <v>442</v>
      </c>
      <c r="L111" t="s">
        <v>49</v>
      </c>
      <c r="M111" t="s">
        <v>49</v>
      </c>
      <c r="N111" t="s">
        <v>49</v>
      </c>
      <c r="O111" t="s">
        <v>701</v>
      </c>
      <c r="P111" t="s">
        <v>49</v>
      </c>
      <c r="Q111" t="s">
        <v>702</v>
      </c>
      <c r="R111" t="s">
        <v>703</v>
      </c>
      <c r="S111" t="s">
        <v>65</v>
      </c>
      <c r="T111" t="s">
        <v>603</v>
      </c>
      <c r="U111" t="s">
        <v>704</v>
      </c>
      <c r="V111" t="s">
        <v>57</v>
      </c>
    </row>
    <row r="112" spans="1:22" x14ac:dyDescent="0.35">
      <c r="A112" t="s">
        <v>705</v>
      </c>
      <c r="B112" t="s">
        <v>706</v>
      </c>
      <c r="C112" t="s">
        <v>344</v>
      </c>
      <c r="D112" t="s">
        <v>33</v>
      </c>
      <c r="E112" t="s">
        <v>29</v>
      </c>
      <c r="F112" t="s">
        <v>34</v>
      </c>
      <c r="G112" t="s">
        <v>34</v>
      </c>
      <c r="H112" t="s">
        <v>73</v>
      </c>
      <c r="I112" t="s">
        <v>36</v>
      </c>
      <c r="K112" t="s">
        <v>679</v>
      </c>
      <c r="L112" t="s">
        <v>48</v>
      </c>
      <c r="M112" t="s">
        <v>48</v>
      </c>
      <c r="N112" t="s">
        <v>48</v>
      </c>
      <c r="O112" t="s">
        <v>707</v>
      </c>
      <c r="P112" t="s">
        <v>48</v>
      </c>
      <c r="Q112" t="s">
        <v>708</v>
      </c>
      <c r="R112" t="s">
        <v>709</v>
      </c>
      <c r="S112" t="s">
        <v>65</v>
      </c>
      <c r="T112" t="s">
        <v>603</v>
      </c>
      <c r="U112" t="s">
        <v>629</v>
      </c>
      <c r="V112" t="s">
        <v>129</v>
      </c>
    </row>
    <row r="113" spans="1:22" x14ac:dyDescent="0.35">
      <c r="A113" t="s">
        <v>711</v>
      </c>
      <c r="B113" t="s">
        <v>712</v>
      </c>
      <c r="C113" t="s">
        <v>33</v>
      </c>
      <c r="D113" t="s">
        <v>33</v>
      </c>
      <c r="E113" t="s">
        <v>33</v>
      </c>
      <c r="F113" t="s">
        <v>34</v>
      </c>
      <c r="G113" t="s">
        <v>34</v>
      </c>
      <c r="H113" t="s">
        <v>74</v>
      </c>
      <c r="I113" t="s">
        <v>46</v>
      </c>
      <c r="K113" t="s">
        <v>442</v>
      </c>
      <c r="L113" t="s">
        <v>48</v>
      </c>
      <c r="M113" t="s">
        <v>48</v>
      </c>
      <c r="N113" t="s">
        <v>48</v>
      </c>
      <c r="O113" t="s">
        <v>713</v>
      </c>
      <c r="P113" t="s">
        <v>48</v>
      </c>
      <c r="Q113" t="s">
        <v>714</v>
      </c>
      <c r="R113" t="s">
        <v>715</v>
      </c>
      <c r="S113" t="s">
        <v>79</v>
      </c>
      <c r="T113" t="s">
        <v>603</v>
      </c>
      <c r="U113" t="s">
        <v>647</v>
      </c>
      <c r="V113" t="s">
        <v>57</v>
      </c>
    </row>
    <row r="114" spans="1:22" x14ac:dyDescent="0.35">
      <c r="A114" t="s">
        <v>717</v>
      </c>
      <c r="B114" t="s">
        <v>598</v>
      </c>
      <c r="C114" t="s">
        <v>29</v>
      </c>
      <c r="D114" t="s">
        <v>29</v>
      </c>
      <c r="E114" t="s">
        <v>29</v>
      </c>
      <c r="F114" t="s">
        <v>30</v>
      </c>
      <c r="G114" t="s">
        <v>30</v>
      </c>
      <c r="H114" t="s">
        <v>61</v>
      </c>
      <c r="I114" t="s">
        <v>46</v>
      </c>
      <c r="K114" t="s">
        <v>442</v>
      </c>
      <c r="L114" t="s">
        <v>49</v>
      </c>
      <c r="M114" t="s">
        <v>49</v>
      </c>
      <c r="N114" t="s">
        <v>49</v>
      </c>
      <c r="O114" t="s">
        <v>718</v>
      </c>
      <c r="P114" t="s">
        <v>49</v>
      </c>
      <c r="Q114" t="s">
        <v>719</v>
      </c>
      <c r="R114" t="s">
        <v>720</v>
      </c>
      <c r="S114" t="s">
        <v>79</v>
      </c>
      <c r="T114" t="s">
        <v>603</v>
      </c>
      <c r="U114" t="s">
        <v>694</v>
      </c>
      <c r="V114" t="s">
        <v>129</v>
      </c>
    </row>
    <row r="115" spans="1:22" x14ac:dyDescent="0.35">
      <c r="A115" t="s">
        <v>721</v>
      </c>
      <c r="B115" t="s">
        <v>180</v>
      </c>
      <c r="C115" t="s">
        <v>29</v>
      </c>
      <c r="D115" t="s">
        <v>29</v>
      </c>
      <c r="E115" t="s">
        <v>29</v>
      </c>
      <c r="F115" t="s">
        <v>30</v>
      </c>
      <c r="G115" t="s">
        <v>30</v>
      </c>
      <c r="H115" t="s">
        <v>61</v>
      </c>
      <c r="I115" t="s">
        <v>36</v>
      </c>
      <c r="K115" t="s">
        <v>696</v>
      </c>
      <c r="L115" t="s">
        <v>49</v>
      </c>
      <c r="M115" t="s">
        <v>49</v>
      </c>
      <c r="N115" t="s">
        <v>49</v>
      </c>
      <c r="O115" t="s">
        <v>722</v>
      </c>
      <c r="P115" t="s">
        <v>49</v>
      </c>
      <c r="Q115" t="s">
        <v>723</v>
      </c>
      <c r="R115" t="s">
        <v>724</v>
      </c>
      <c r="S115" t="s">
        <v>79</v>
      </c>
      <c r="T115" t="s">
        <v>603</v>
      </c>
      <c r="U115" t="s">
        <v>725</v>
      </c>
      <c r="V115" t="s">
        <v>129</v>
      </c>
    </row>
    <row r="116" spans="1:22" x14ac:dyDescent="0.35">
      <c r="B116" t="s">
        <v>180</v>
      </c>
      <c r="C116" t="s">
        <v>28</v>
      </c>
      <c r="D116" t="s">
        <v>60</v>
      </c>
      <c r="E116" t="s">
        <v>284</v>
      </c>
      <c r="F116" t="s">
        <v>197</v>
      </c>
      <c r="G116" t="s">
        <v>173</v>
      </c>
      <c r="H116" t="s">
        <v>368</v>
      </c>
      <c r="I116" t="s">
        <v>36</v>
      </c>
      <c r="K116" t="s">
        <v>726</v>
      </c>
      <c r="L116" t="s">
        <v>49</v>
      </c>
      <c r="M116" t="s">
        <v>49</v>
      </c>
      <c r="N116" t="s">
        <v>49</v>
      </c>
      <c r="O116" t="s">
        <v>727</v>
      </c>
      <c r="P116" t="s">
        <v>49</v>
      </c>
      <c r="Q116" t="s">
        <v>728</v>
      </c>
      <c r="R116" t="s">
        <v>729</v>
      </c>
      <c r="S116" t="s">
        <v>53</v>
      </c>
      <c r="T116" t="s">
        <v>109</v>
      </c>
      <c r="U116" t="s">
        <v>730</v>
      </c>
      <c r="V116" t="s">
        <v>129</v>
      </c>
    </row>
    <row r="117" spans="1:22" x14ac:dyDescent="0.35">
      <c r="B117" t="s">
        <v>205</v>
      </c>
      <c r="C117" t="s">
        <v>28</v>
      </c>
      <c r="D117" t="s">
        <v>60</v>
      </c>
      <c r="E117" t="s">
        <v>28</v>
      </c>
      <c r="F117" t="s">
        <v>30</v>
      </c>
      <c r="G117" t="s">
        <v>28</v>
      </c>
      <c r="H117" t="s">
        <v>94</v>
      </c>
      <c r="I117" t="s">
        <v>46</v>
      </c>
      <c r="K117" t="s">
        <v>731</v>
      </c>
      <c r="L117" t="s">
        <v>49</v>
      </c>
      <c r="M117" t="s">
        <v>49</v>
      </c>
      <c r="N117" t="s">
        <v>38</v>
      </c>
      <c r="O117" t="s">
        <v>732</v>
      </c>
      <c r="P117" t="s">
        <v>49</v>
      </c>
      <c r="Q117" t="s">
        <v>733</v>
      </c>
      <c r="R117" t="s">
        <v>734</v>
      </c>
      <c r="S117" t="s">
        <v>65</v>
      </c>
      <c r="T117" t="s">
        <v>109</v>
      </c>
      <c r="U117" t="s">
        <v>735</v>
      </c>
      <c r="V117" t="s">
        <v>129</v>
      </c>
    </row>
    <row r="118" spans="1:22" x14ac:dyDescent="0.35">
      <c r="B118" t="s">
        <v>205</v>
      </c>
      <c r="C118" t="s">
        <v>28</v>
      </c>
      <c r="D118" t="s">
        <v>60</v>
      </c>
      <c r="E118" t="s">
        <v>60</v>
      </c>
      <c r="F118" t="s">
        <v>34</v>
      </c>
      <c r="G118" t="s">
        <v>30</v>
      </c>
      <c r="H118" t="s">
        <v>45</v>
      </c>
      <c r="I118" t="s">
        <v>36</v>
      </c>
      <c r="K118" t="s">
        <v>726</v>
      </c>
      <c r="L118" t="s">
        <v>48</v>
      </c>
      <c r="M118" t="s">
        <v>49</v>
      </c>
      <c r="N118" t="s">
        <v>39</v>
      </c>
      <c r="O118" t="s">
        <v>736</v>
      </c>
      <c r="P118" t="s">
        <v>40</v>
      </c>
      <c r="Q118" t="s">
        <v>737</v>
      </c>
      <c r="R118" t="s">
        <v>738</v>
      </c>
      <c r="S118" t="s">
        <v>79</v>
      </c>
      <c r="T118" t="s">
        <v>109</v>
      </c>
      <c r="U118" t="s">
        <v>739</v>
      </c>
      <c r="V118" t="s">
        <v>129</v>
      </c>
    </row>
    <row r="119" spans="1:22" x14ac:dyDescent="0.35">
      <c r="B119" t="s">
        <v>740</v>
      </c>
      <c r="C119" t="s">
        <v>28</v>
      </c>
      <c r="D119" t="s">
        <v>29</v>
      </c>
      <c r="E119" t="s">
        <v>29</v>
      </c>
      <c r="F119" t="s">
        <v>34</v>
      </c>
      <c r="G119" t="s">
        <v>173</v>
      </c>
      <c r="H119" t="s">
        <v>45</v>
      </c>
      <c r="I119" t="s">
        <v>36</v>
      </c>
      <c r="K119" t="s">
        <v>726</v>
      </c>
      <c r="L119" t="s">
        <v>48</v>
      </c>
      <c r="M119" t="s">
        <v>48</v>
      </c>
      <c r="N119" t="s">
        <v>39</v>
      </c>
      <c r="O119" t="s">
        <v>741</v>
      </c>
      <c r="P119" t="s">
        <v>38</v>
      </c>
      <c r="Q119" t="s">
        <v>742</v>
      </c>
      <c r="R119" t="s">
        <v>743</v>
      </c>
      <c r="S119" t="s">
        <v>65</v>
      </c>
      <c r="T119" t="s">
        <v>109</v>
      </c>
      <c r="U119" t="s">
        <v>744</v>
      </c>
      <c r="V119" t="s">
        <v>129</v>
      </c>
    </row>
    <row r="120" spans="1:22" x14ac:dyDescent="0.35">
      <c r="B120" t="s">
        <v>180</v>
      </c>
      <c r="C120" t="s">
        <v>449</v>
      </c>
      <c r="D120" t="s">
        <v>29</v>
      </c>
      <c r="E120" t="s">
        <v>44</v>
      </c>
      <c r="F120" t="s">
        <v>173</v>
      </c>
      <c r="G120" t="s">
        <v>34</v>
      </c>
      <c r="H120" t="s">
        <v>28</v>
      </c>
      <c r="I120" t="s">
        <v>36</v>
      </c>
      <c r="K120" t="s">
        <v>726</v>
      </c>
      <c r="L120" t="s">
        <v>49</v>
      </c>
      <c r="M120" t="s">
        <v>48</v>
      </c>
      <c r="N120" t="s">
        <v>49</v>
      </c>
      <c r="O120" t="s">
        <v>745</v>
      </c>
      <c r="P120" t="s">
        <v>48</v>
      </c>
      <c r="Q120" t="s">
        <v>746</v>
      </c>
      <c r="R120" t="s">
        <v>747</v>
      </c>
      <c r="S120" t="s">
        <v>53</v>
      </c>
      <c r="T120" t="s">
        <v>109</v>
      </c>
      <c r="U120" t="s">
        <v>730</v>
      </c>
      <c r="V120" t="s">
        <v>129</v>
      </c>
    </row>
    <row r="121" spans="1:22" x14ac:dyDescent="0.35">
      <c r="B121" t="s">
        <v>180</v>
      </c>
      <c r="C121" t="s">
        <v>60</v>
      </c>
      <c r="D121" t="s">
        <v>158</v>
      </c>
      <c r="E121" t="s">
        <v>29</v>
      </c>
      <c r="F121" t="s">
        <v>34</v>
      </c>
      <c r="G121" t="s">
        <v>103</v>
      </c>
      <c r="H121" t="s">
        <v>35</v>
      </c>
      <c r="I121" t="s">
        <v>36</v>
      </c>
      <c r="K121" t="s">
        <v>187</v>
      </c>
      <c r="L121" t="s">
        <v>49</v>
      </c>
      <c r="M121" t="s">
        <v>49</v>
      </c>
      <c r="N121" t="s">
        <v>49</v>
      </c>
      <c r="O121" t="s">
        <v>748</v>
      </c>
      <c r="P121" t="s">
        <v>49</v>
      </c>
      <c r="Q121" t="s">
        <v>749</v>
      </c>
      <c r="R121" t="s">
        <v>750</v>
      </c>
      <c r="S121" t="s">
        <v>87</v>
      </c>
      <c r="T121" t="s">
        <v>109</v>
      </c>
      <c r="U121" t="s">
        <v>751</v>
      </c>
      <c r="V121" t="s">
        <v>91</v>
      </c>
    </row>
    <row r="122" spans="1:22" x14ac:dyDescent="0.35">
      <c r="B122" t="s">
        <v>205</v>
      </c>
      <c r="C122" t="s">
        <v>29</v>
      </c>
      <c r="D122" t="s">
        <v>29</v>
      </c>
      <c r="E122" t="s">
        <v>29</v>
      </c>
      <c r="F122" t="s">
        <v>34</v>
      </c>
      <c r="G122" t="s">
        <v>34</v>
      </c>
      <c r="H122" t="s">
        <v>45</v>
      </c>
      <c r="I122" t="s">
        <v>36</v>
      </c>
      <c r="K122" t="s">
        <v>726</v>
      </c>
      <c r="L122" t="s">
        <v>48</v>
      </c>
      <c r="M122" t="s">
        <v>48</v>
      </c>
      <c r="N122" t="s">
        <v>39</v>
      </c>
      <c r="O122" t="s">
        <v>752</v>
      </c>
      <c r="P122" t="s">
        <v>40</v>
      </c>
      <c r="Q122" t="s">
        <v>753</v>
      </c>
      <c r="R122" t="s">
        <v>754</v>
      </c>
      <c r="S122" t="s">
        <v>65</v>
      </c>
      <c r="T122" t="s">
        <v>109</v>
      </c>
      <c r="U122" t="s">
        <v>755</v>
      </c>
      <c r="V122" t="s">
        <v>91</v>
      </c>
    </row>
    <row r="123" spans="1:22" x14ac:dyDescent="0.35">
      <c r="B123" t="s">
        <v>180</v>
      </c>
      <c r="C123" t="s">
        <v>449</v>
      </c>
      <c r="D123" t="s">
        <v>44</v>
      </c>
      <c r="E123" t="s">
        <v>29</v>
      </c>
      <c r="F123" t="s">
        <v>103</v>
      </c>
      <c r="G123" t="s">
        <v>30</v>
      </c>
      <c r="H123" t="s">
        <v>35</v>
      </c>
      <c r="I123" t="s">
        <v>46</v>
      </c>
      <c r="K123" t="s">
        <v>304</v>
      </c>
      <c r="L123" t="s">
        <v>48</v>
      </c>
      <c r="M123" t="s">
        <v>48</v>
      </c>
      <c r="N123" t="s">
        <v>49</v>
      </c>
      <c r="O123" t="s">
        <v>756</v>
      </c>
      <c r="P123" t="s">
        <v>48</v>
      </c>
      <c r="Q123" t="s">
        <v>757</v>
      </c>
      <c r="R123" t="s">
        <v>758</v>
      </c>
      <c r="S123" t="s">
        <v>87</v>
      </c>
      <c r="T123" t="s">
        <v>109</v>
      </c>
      <c r="U123" t="s">
        <v>759</v>
      </c>
      <c r="V123" t="s">
        <v>129</v>
      </c>
    </row>
    <row r="124" spans="1:22" x14ac:dyDescent="0.35">
      <c r="B124" t="s">
        <v>448</v>
      </c>
      <c r="C124" t="s">
        <v>28</v>
      </c>
      <c r="D124" t="s">
        <v>29</v>
      </c>
      <c r="E124" t="s">
        <v>29</v>
      </c>
      <c r="F124" t="s">
        <v>30</v>
      </c>
      <c r="G124" t="s">
        <v>173</v>
      </c>
      <c r="H124" t="s">
        <v>28</v>
      </c>
      <c r="I124" t="s">
        <v>36</v>
      </c>
      <c r="K124" t="s">
        <v>726</v>
      </c>
      <c r="L124" t="s">
        <v>48</v>
      </c>
      <c r="M124" t="s">
        <v>49</v>
      </c>
      <c r="N124" t="s">
        <v>38</v>
      </c>
      <c r="O124" t="s">
        <v>760</v>
      </c>
      <c r="P124" t="s">
        <v>49</v>
      </c>
      <c r="Q124" t="s">
        <v>761</v>
      </c>
      <c r="R124" t="s">
        <v>762</v>
      </c>
      <c r="S124" t="s">
        <v>53</v>
      </c>
      <c r="T124" t="s">
        <v>109</v>
      </c>
      <c r="U124" t="s">
        <v>193</v>
      </c>
      <c r="V124" t="s">
        <v>91</v>
      </c>
    </row>
    <row r="125" spans="1:22" x14ac:dyDescent="0.35">
      <c r="B125" t="s">
        <v>763</v>
      </c>
      <c r="C125" t="s">
        <v>28</v>
      </c>
      <c r="D125" t="s">
        <v>60</v>
      </c>
      <c r="E125" t="s">
        <v>60</v>
      </c>
      <c r="F125" t="s">
        <v>30</v>
      </c>
      <c r="G125" t="s">
        <v>34</v>
      </c>
      <c r="H125" t="s">
        <v>61</v>
      </c>
      <c r="I125" t="s">
        <v>36</v>
      </c>
      <c r="K125" t="s">
        <v>764</v>
      </c>
      <c r="L125" t="s">
        <v>49</v>
      </c>
      <c r="M125" t="s">
        <v>48</v>
      </c>
      <c r="N125" t="s">
        <v>49</v>
      </c>
      <c r="O125" t="s">
        <v>765</v>
      </c>
      <c r="P125" t="s">
        <v>49</v>
      </c>
      <c r="Q125" t="s">
        <v>766</v>
      </c>
      <c r="R125" t="s">
        <v>767</v>
      </c>
      <c r="S125" t="s">
        <v>53</v>
      </c>
      <c r="T125" t="s">
        <v>109</v>
      </c>
      <c r="U125" t="s">
        <v>768</v>
      </c>
      <c r="V125" t="s">
        <v>129</v>
      </c>
    </row>
    <row r="126" spans="1:22" x14ac:dyDescent="0.35">
      <c r="B126" t="s">
        <v>205</v>
      </c>
      <c r="C126" t="s">
        <v>28</v>
      </c>
      <c r="D126" t="s">
        <v>33</v>
      </c>
      <c r="E126" t="s">
        <v>33</v>
      </c>
      <c r="F126" t="s">
        <v>34</v>
      </c>
      <c r="G126" t="s">
        <v>34</v>
      </c>
      <c r="H126" t="s">
        <v>45</v>
      </c>
      <c r="I126" t="s">
        <v>46</v>
      </c>
      <c r="K126" t="s">
        <v>769</v>
      </c>
      <c r="L126" t="s">
        <v>48</v>
      </c>
      <c r="M126" t="s">
        <v>48</v>
      </c>
      <c r="N126" t="s">
        <v>39</v>
      </c>
      <c r="O126" t="s">
        <v>770</v>
      </c>
      <c r="P126" t="s">
        <v>40</v>
      </c>
      <c r="Q126" t="s">
        <v>771</v>
      </c>
      <c r="R126" t="s">
        <v>772</v>
      </c>
      <c r="S126" t="s">
        <v>65</v>
      </c>
      <c r="T126" t="s">
        <v>109</v>
      </c>
      <c r="U126" t="s">
        <v>773</v>
      </c>
      <c r="V126" t="s">
        <v>129</v>
      </c>
    </row>
    <row r="127" spans="1:22" x14ac:dyDescent="0.35">
      <c r="B127" t="s">
        <v>180</v>
      </c>
      <c r="C127" t="s">
        <v>28</v>
      </c>
      <c r="D127" t="s">
        <v>29</v>
      </c>
      <c r="E127" t="s">
        <v>29</v>
      </c>
      <c r="F127" t="s">
        <v>30</v>
      </c>
      <c r="G127" t="s">
        <v>30</v>
      </c>
      <c r="H127" t="s">
        <v>35</v>
      </c>
      <c r="I127" t="s">
        <v>36</v>
      </c>
      <c r="K127" t="s">
        <v>304</v>
      </c>
      <c r="L127" t="s">
        <v>48</v>
      </c>
      <c r="M127" t="s">
        <v>48</v>
      </c>
      <c r="N127" t="s">
        <v>49</v>
      </c>
      <c r="O127" t="s">
        <v>774</v>
      </c>
      <c r="P127" t="s">
        <v>49</v>
      </c>
      <c r="Q127" t="s">
        <v>775</v>
      </c>
      <c r="R127" t="s">
        <v>776</v>
      </c>
      <c r="S127" t="s">
        <v>65</v>
      </c>
      <c r="T127" t="s">
        <v>109</v>
      </c>
      <c r="U127" t="s">
        <v>230</v>
      </c>
      <c r="V127" t="s">
        <v>129</v>
      </c>
    </row>
    <row r="128" spans="1:22" x14ac:dyDescent="0.35">
      <c r="B128" t="s">
        <v>763</v>
      </c>
      <c r="C128" t="s">
        <v>60</v>
      </c>
      <c r="D128" t="s">
        <v>29</v>
      </c>
      <c r="E128" t="s">
        <v>29</v>
      </c>
      <c r="F128" t="s">
        <v>173</v>
      </c>
      <c r="G128" t="s">
        <v>173</v>
      </c>
      <c r="H128" t="s">
        <v>45</v>
      </c>
      <c r="I128" t="s">
        <v>36</v>
      </c>
      <c r="K128" t="s">
        <v>777</v>
      </c>
      <c r="L128" t="s">
        <v>49</v>
      </c>
      <c r="M128" t="s">
        <v>49</v>
      </c>
      <c r="N128" t="s">
        <v>49</v>
      </c>
      <c r="O128" t="s">
        <v>778</v>
      </c>
      <c r="P128" t="s">
        <v>49</v>
      </c>
      <c r="Q128" t="s">
        <v>779</v>
      </c>
      <c r="R128" t="s">
        <v>780</v>
      </c>
      <c r="S128" t="s">
        <v>53</v>
      </c>
      <c r="T128" t="s">
        <v>192</v>
      </c>
      <c r="U128" t="s">
        <v>751</v>
      </c>
      <c r="V128" t="s">
        <v>91</v>
      </c>
    </row>
    <row r="129" spans="1:22" x14ac:dyDescent="0.35">
      <c r="B129" t="s">
        <v>763</v>
      </c>
      <c r="C129" t="s">
        <v>28</v>
      </c>
      <c r="D129" t="s">
        <v>60</v>
      </c>
      <c r="E129" t="s">
        <v>60</v>
      </c>
      <c r="F129" t="s">
        <v>173</v>
      </c>
      <c r="G129" t="s">
        <v>173</v>
      </c>
      <c r="H129" t="s">
        <v>28</v>
      </c>
      <c r="I129" t="s">
        <v>46</v>
      </c>
      <c r="K129" t="s">
        <v>304</v>
      </c>
      <c r="L129" t="s">
        <v>48</v>
      </c>
      <c r="M129" t="s">
        <v>48</v>
      </c>
      <c r="N129" t="s">
        <v>38</v>
      </c>
      <c r="O129" t="s">
        <v>781</v>
      </c>
      <c r="P129" t="s">
        <v>38</v>
      </c>
      <c r="Q129" t="s">
        <v>782</v>
      </c>
      <c r="R129" t="s">
        <v>783</v>
      </c>
      <c r="S129" t="s">
        <v>53</v>
      </c>
      <c r="T129" t="s">
        <v>109</v>
      </c>
      <c r="U129" t="s">
        <v>784</v>
      </c>
      <c r="V129" t="s">
        <v>129</v>
      </c>
    </row>
    <row r="130" spans="1:22" x14ac:dyDescent="0.35">
      <c r="B130" t="s">
        <v>180</v>
      </c>
      <c r="C130" t="s">
        <v>344</v>
      </c>
      <c r="D130" t="s">
        <v>29</v>
      </c>
      <c r="E130" t="s">
        <v>60</v>
      </c>
      <c r="F130" t="s">
        <v>34</v>
      </c>
      <c r="G130" t="s">
        <v>34</v>
      </c>
      <c r="H130" t="s">
        <v>28</v>
      </c>
      <c r="I130" t="s">
        <v>36</v>
      </c>
      <c r="K130" t="s">
        <v>764</v>
      </c>
      <c r="L130" t="s">
        <v>48</v>
      </c>
      <c r="M130" t="s">
        <v>48</v>
      </c>
      <c r="N130" t="s">
        <v>49</v>
      </c>
      <c r="O130" t="s">
        <v>785</v>
      </c>
      <c r="P130" t="s">
        <v>49</v>
      </c>
      <c r="Q130" t="s">
        <v>786</v>
      </c>
      <c r="R130" t="s">
        <v>787</v>
      </c>
      <c r="S130" t="s">
        <v>87</v>
      </c>
      <c r="T130" t="s">
        <v>109</v>
      </c>
      <c r="U130" t="s">
        <v>751</v>
      </c>
      <c r="V130" t="s">
        <v>91</v>
      </c>
    </row>
    <row r="131" spans="1:22" x14ac:dyDescent="0.35">
      <c r="B131" t="s">
        <v>180</v>
      </c>
      <c r="C131" t="s">
        <v>344</v>
      </c>
      <c r="D131" t="s">
        <v>44</v>
      </c>
      <c r="E131" t="s">
        <v>44</v>
      </c>
      <c r="F131" t="s">
        <v>30</v>
      </c>
      <c r="G131" t="s">
        <v>30</v>
      </c>
      <c r="H131" t="s">
        <v>292</v>
      </c>
      <c r="I131" t="s">
        <v>36</v>
      </c>
      <c r="K131" t="s">
        <v>788</v>
      </c>
      <c r="L131" t="s">
        <v>49</v>
      </c>
      <c r="M131" t="s">
        <v>48</v>
      </c>
      <c r="N131" t="s">
        <v>49</v>
      </c>
      <c r="O131" t="s">
        <v>789</v>
      </c>
      <c r="P131" t="s">
        <v>49</v>
      </c>
      <c r="Q131" t="s">
        <v>790</v>
      </c>
      <c r="R131" t="s">
        <v>791</v>
      </c>
      <c r="S131" t="s">
        <v>87</v>
      </c>
      <c r="T131" t="s">
        <v>109</v>
      </c>
      <c r="U131" t="s">
        <v>193</v>
      </c>
      <c r="V131" t="s">
        <v>91</v>
      </c>
    </row>
    <row r="132" spans="1:22" x14ac:dyDescent="0.35">
      <c r="B132" t="s">
        <v>448</v>
      </c>
      <c r="C132" t="s">
        <v>28</v>
      </c>
      <c r="D132" t="s">
        <v>44</v>
      </c>
      <c r="E132" t="s">
        <v>29</v>
      </c>
      <c r="F132" t="s">
        <v>30</v>
      </c>
      <c r="G132" t="s">
        <v>30</v>
      </c>
      <c r="H132" t="s">
        <v>35</v>
      </c>
      <c r="I132" t="s">
        <v>36</v>
      </c>
      <c r="K132" t="s">
        <v>726</v>
      </c>
      <c r="L132" t="s">
        <v>49</v>
      </c>
      <c r="M132" t="s">
        <v>49</v>
      </c>
      <c r="N132" t="s">
        <v>49</v>
      </c>
      <c r="O132" t="s">
        <v>792</v>
      </c>
      <c r="P132" t="s">
        <v>49</v>
      </c>
      <c r="Q132" t="s">
        <v>793</v>
      </c>
      <c r="R132" t="s">
        <v>794</v>
      </c>
      <c r="S132" t="s">
        <v>87</v>
      </c>
      <c r="T132" t="s">
        <v>109</v>
      </c>
      <c r="U132" t="s">
        <v>193</v>
      </c>
      <c r="V132" t="s">
        <v>91</v>
      </c>
    </row>
    <row r="133" spans="1:22" x14ac:dyDescent="0.35">
      <c r="B133" t="s">
        <v>180</v>
      </c>
      <c r="C133" t="s">
        <v>28</v>
      </c>
      <c r="D133" t="s">
        <v>60</v>
      </c>
      <c r="E133" t="s">
        <v>60</v>
      </c>
      <c r="F133" t="s">
        <v>173</v>
      </c>
      <c r="G133" t="s">
        <v>173</v>
      </c>
      <c r="H133" t="s">
        <v>28</v>
      </c>
      <c r="I133" t="s">
        <v>36</v>
      </c>
      <c r="K133" t="s">
        <v>304</v>
      </c>
      <c r="L133" t="s">
        <v>48</v>
      </c>
      <c r="M133" t="s">
        <v>48</v>
      </c>
      <c r="N133" t="s">
        <v>49</v>
      </c>
      <c r="O133" t="s">
        <v>795</v>
      </c>
      <c r="P133" t="s">
        <v>38</v>
      </c>
      <c r="Q133" t="s">
        <v>796</v>
      </c>
      <c r="R133" t="s">
        <v>797</v>
      </c>
      <c r="S133" t="s">
        <v>53</v>
      </c>
      <c r="T133" t="s">
        <v>109</v>
      </c>
      <c r="U133" t="s">
        <v>759</v>
      </c>
      <c r="V133" t="s">
        <v>129</v>
      </c>
    </row>
    <row r="134" spans="1:22" x14ac:dyDescent="0.35">
      <c r="B134" t="s">
        <v>205</v>
      </c>
      <c r="C134" t="s">
        <v>28</v>
      </c>
      <c r="D134" t="s">
        <v>29</v>
      </c>
      <c r="E134" t="s">
        <v>29</v>
      </c>
      <c r="F134" t="s">
        <v>34</v>
      </c>
      <c r="G134" t="s">
        <v>30</v>
      </c>
      <c r="H134" t="s">
        <v>45</v>
      </c>
      <c r="I134" t="s">
        <v>36</v>
      </c>
      <c r="K134" t="s">
        <v>304</v>
      </c>
      <c r="L134" t="s">
        <v>48</v>
      </c>
      <c r="M134" t="s">
        <v>48</v>
      </c>
      <c r="N134" t="s">
        <v>40</v>
      </c>
      <c r="O134" t="s">
        <v>798</v>
      </c>
      <c r="P134" t="s">
        <v>38</v>
      </c>
      <c r="Q134" t="s">
        <v>799</v>
      </c>
      <c r="R134" t="s">
        <v>800</v>
      </c>
      <c r="S134" t="s">
        <v>53</v>
      </c>
      <c r="T134" t="s">
        <v>109</v>
      </c>
      <c r="U134" t="s">
        <v>768</v>
      </c>
      <c r="V134" t="s">
        <v>129</v>
      </c>
    </row>
    <row r="135" spans="1:22" x14ac:dyDescent="0.35">
      <c r="B135" t="s">
        <v>205</v>
      </c>
      <c r="C135" t="s">
        <v>28</v>
      </c>
      <c r="D135" t="s">
        <v>33</v>
      </c>
      <c r="E135" t="s">
        <v>33</v>
      </c>
      <c r="F135" t="s">
        <v>34</v>
      </c>
      <c r="G135" t="s">
        <v>34</v>
      </c>
      <c r="H135" t="s">
        <v>45</v>
      </c>
      <c r="I135" t="s">
        <v>36</v>
      </c>
      <c r="K135" t="s">
        <v>726</v>
      </c>
      <c r="L135" t="s">
        <v>48</v>
      </c>
      <c r="M135" t="s">
        <v>48</v>
      </c>
      <c r="N135" t="s">
        <v>38</v>
      </c>
      <c r="O135" t="s">
        <v>801</v>
      </c>
      <c r="P135" t="s">
        <v>38</v>
      </c>
      <c r="Q135" t="s">
        <v>802</v>
      </c>
      <c r="R135" t="s">
        <v>803</v>
      </c>
      <c r="S135" t="s">
        <v>53</v>
      </c>
      <c r="T135" t="s">
        <v>109</v>
      </c>
      <c r="U135" t="s">
        <v>804</v>
      </c>
      <c r="V135" t="s">
        <v>129</v>
      </c>
    </row>
    <row r="136" spans="1:22" x14ac:dyDescent="0.35">
      <c r="B136" t="s">
        <v>180</v>
      </c>
      <c r="C136" t="s">
        <v>28</v>
      </c>
      <c r="D136" t="s">
        <v>29</v>
      </c>
      <c r="E136" t="s">
        <v>33</v>
      </c>
      <c r="F136" t="s">
        <v>34</v>
      </c>
      <c r="G136" t="s">
        <v>30</v>
      </c>
      <c r="H136" t="s">
        <v>45</v>
      </c>
      <c r="I136" t="s">
        <v>36</v>
      </c>
      <c r="K136" t="s">
        <v>788</v>
      </c>
      <c r="L136" t="s">
        <v>48</v>
      </c>
      <c r="M136" t="s">
        <v>48</v>
      </c>
      <c r="N136" t="s">
        <v>38</v>
      </c>
      <c r="O136" t="s">
        <v>805</v>
      </c>
      <c r="P136" t="s">
        <v>38</v>
      </c>
      <c r="Q136" t="s">
        <v>806</v>
      </c>
      <c r="R136" t="s">
        <v>807</v>
      </c>
      <c r="S136" t="s">
        <v>79</v>
      </c>
      <c r="T136" t="s">
        <v>109</v>
      </c>
      <c r="U136" t="s">
        <v>808</v>
      </c>
      <c r="V136" t="s">
        <v>129</v>
      </c>
    </row>
    <row r="137" spans="1:22" x14ac:dyDescent="0.35">
      <c r="B137" t="s">
        <v>205</v>
      </c>
      <c r="C137" t="s">
        <v>28</v>
      </c>
      <c r="D137" t="s">
        <v>60</v>
      </c>
      <c r="E137" t="s">
        <v>28</v>
      </c>
      <c r="F137" t="s">
        <v>173</v>
      </c>
      <c r="G137" t="s">
        <v>28</v>
      </c>
      <c r="H137" t="s">
        <v>368</v>
      </c>
      <c r="I137" t="s">
        <v>46</v>
      </c>
      <c r="K137" t="s">
        <v>304</v>
      </c>
      <c r="L137" t="s">
        <v>49</v>
      </c>
      <c r="M137" t="s">
        <v>49</v>
      </c>
      <c r="N137" t="s">
        <v>38</v>
      </c>
      <c r="O137" t="s">
        <v>809</v>
      </c>
      <c r="P137" t="s">
        <v>38</v>
      </c>
      <c r="Q137" t="s">
        <v>810</v>
      </c>
      <c r="R137" t="s">
        <v>811</v>
      </c>
      <c r="S137" t="s">
        <v>87</v>
      </c>
      <c r="T137" t="s">
        <v>109</v>
      </c>
      <c r="U137" t="s">
        <v>812</v>
      </c>
      <c r="V137" t="s">
        <v>129</v>
      </c>
    </row>
    <row r="138" spans="1:22" x14ac:dyDescent="0.35">
      <c r="A138" t="s">
        <v>813</v>
      </c>
      <c r="B138" t="s">
        <v>598</v>
      </c>
      <c r="C138" t="s">
        <v>29</v>
      </c>
      <c r="D138" t="s">
        <v>29</v>
      </c>
      <c r="E138" t="s">
        <v>29</v>
      </c>
      <c r="F138" t="s">
        <v>30</v>
      </c>
      <c r="G138" t="s">
        <v>30</v>
      </c>
      <c r="H138" t="s">
        <v>94</v>
      </c>
      <c r="I138" t="s">
        <v>36</v>
      </c>
      <c r="K138" t="s">
        <v>642</v>
      </c>
      <c r="L138" t="s">
        <v>49</v>
      </c>
      <c r="M138" t="s">
        <v>49</v>
      </c>
      <c r="N138" t="s">
        <v>49</v>
      </c>
      <c r="O138" t="s">
        <v>814</v>
      </c>
      <c r="P138" t="s">
        <v>49</v>
      </c>
      <c r="Q138" t="s">
        <v>815</v>
      </c>
      <c r="R138" t="s">
        <v>816</v>
      </c>
      <c r="S138" t="s">
        <v>79</v>
      </c>
      <c r="T138" t="s">
        <v>603</v>
      </c>
      <c r="U138" t="s">
        <v>622</v>
      </c>
      <c r="V138" t="s">
        <v>129</v>
      </c>
    </row>
    <row r="139" spans="1:22" x14ac:dyDescent="0.35">
      <c r="A139" t="s">
        <v>817</v>
      </c>
      <c r="B139" t="s">
        <v>180</v>
      </c>
      <c r="C139" t="s">
        <v>71</v>
      </c>
      <c r="D139" t="s">
        <v>33</v>
      </c>
      <c r="E139" t="s">
        <v>33</v>
      </c>
      <c r="F139" t="s">
        <v>34</v>
      </c>
      <c r="G139" t="s">
        <v>34</v>
      </c>
      <c r="H139" t="s">
        <v>94</v>
      </c>
      <c r="I139" t="s">
        <v>46</v>
      </c>
      <c r="K139" t="s">
        <v>442</v>
      </c>
      <c r="L139" t="s">
        <v>48</v>
      </c>
      <c r="M139" t="s">
        <v>48</v>
      </c>
      <c r="N139" t="s">
        <v>49</v>
      </c>
      <c r="O139" t="s">
        <v>818</v>
      </c>
      <c r="P139" t="s">
        <v>49</v>
      </c>
      <c r="Q139" t="s">
        <v>819</v>
      </c>
      <c r="R139" t="s">
        <v>820</v>
      </c>
      <c r="S139" t="s">
        <v>79</v>
      </c>
      <c r="T139" t="s">
        <v>603</v>
      </c>
      <c r="U139" t="s">
        <v>694</v>
      </c>
      <c r="V139" t="s">
        <v>57</v>
      </c>
    </row>
    <row r="140" spans="1:22" x14ac:dyDescent="0.35">
      <c r="A140" t="s">
        <v>821</v>
      </c>
      <c r="B140" t="s">
        <v>598</v>
      </c>
      <c r="C140" t="s">
        <v>344</v>
      </c>
      <c r="D140" t="s">
        <v>29</v>
      </c>
      <c r="E140" t="s">
        <v>29</v>
      </c>
      <c r="F140" t="s">
        <v>30</v>
      </c>
      <c r="G140" t="s">
        <v>30</v>
      </c>
      <c r="H140" t="s">
        <v>94</v>
      </c>
      <c r="I140" t="s">
        <v>46</v>
      </c>
      <c r="K140" t="s">
        <v>642</v>
      </c>
      <c r="L140" t="s">
        <v>48</v>
      </c>
      <c r="M140" t="s">
        <v>48</v>
      </c>
      <c r="N140" t="s">
        <v>48</v>
      </c>
      <c r="O140" t="s">
        <v>822</v>
      </c>
      <c r="P140" t="s">
        <v>48</v>
      </c>
      <c r="Q140" t="s">
        <v>823</v>
      </c>
      <c r="R140" t="s">
        <v>824</v>
      </c>
      <c r="S140" t="s">
        <v>79</v>
      </c>
      <c r="T140" t="s">
        <v>603</v>
      </c>
      <c r="U140" t="s">
        <v>629</v>
      </c>
      <c r="V140" t="s">
        <v>129</v>
      </c>
    </row>
    <row r="141" spans="1:22" x14ac:dyDescent="0.35">
      <c r="A141" t="s">
        <v>825</v>
      </c>
      <c r="B141" t="s">
        <v>712</v>
      </c>
      <c r="C141" t="s">
        <v>29</v>
      </c>
      <c r="D141" t="s">
        <v>29</v>
      </c>
      <c r="E141" t="s">
        <v>29</v>
      </c>
      <c r="F141" t="s">
        <v>30</v>
      </c>
      <c r="G141" t="s">
        <v>30</v>
      </c>
      <c r="H141" t="s">
        <v>61</v>
      </c>
      <c r="I141" t="s">
        <v>36</v>
      </c>
      <c r="K141" t="s">
        <v>679</v>
      </c>
      <c r="L141" t="s">
        <v>49</v>
      </c>
      <c r="M141" t="s">
        <v>49</v>
      </c>
      <c r="N141" t="s">
        <v>49</v>
      </c>
      <c r="O141" t="s">
        <v>826</v>
      </c>
      <c r="P141" t="s">
        <v>49</v>
      </c>
      <c r="Q141" t="s">
        <v>827</v>
      </c>
      <c r="R141" t="s">
        <v>828</v>
      </c>
      <c r="S141" t="s">
        <v>87</v>
      </c>
      <c r="T141" t="s">
        <v>603</v>
      </c>
      <c r="U141" t="s">
        <v>647</v>
      </c>
      <c r="V141" t="s">
        <v>129</v>
      </c>
    </row>
    <row r="142" spans="1:22" x14ac:dyDescent="0.35">
      <c r="A142" t="s">
        <v>829</v>
      </c>
      <c r="B142" t="s">
        <v>598</v>
      </c>
      <c r="C142" t="s">
        <v>33</v>
      </c>
      <c r="D142" t="s">
        <v>33</v>
      </c>
      <c r="E142" t="s">
        <v>33</v>
      </c>
      <c r="F142" t="s">
        <v>34</v>
      </c>
      <c r="G142" t="s">
        <v>34</v>
      </c>
      <c r="H142" t="s">
        <v>73</v>
      </c>
      <c r="I142" t="s">
        <v>36</v>
      </c>
      <c r="K142" t="s">
        <v>442</v>
      </c>
      <c r="L142" t="s">
        <v>48</v>
      </c>
      <c r="M142" t="s">
        <v>48</v>
      </c>
      <c r="N142" t="s">
        <v>48</v>
      </c>
      <c r="O142" t="s">
        <v>830</v>
      </c>
      <c r="P142" t="s">
        <v>48</v>
      </c>
      <c r="Q142" t="s">
        <v>831</v>
      </c>
      <c r="R142" t="s">
        <v>832</v>
      </c>
      <c r="S142" t="s">
        <v>53</v>
      </c>
      <c r="T142" t="s">
        <v>603</v>
      </c>
      <c r="U142" t="s">
        <v>629</v>
      </c>
      <c r="V142" t="s">
        <v>57</v>
      </c>
    </row>
    <row r="143" spans="1:22" x14ac:dyDescent="0.35">
      <c r="A143" t="s">
        <v>833</v>
      </c>
      <c r="B143" t="s">
        <v>598</v>
      </c>
      <c r="C143" t="s">
        <v>33</v>
      </c>
      <c r="D143" t="s">
        <v>33</v>
      </c>
      <c r="E143" t="s">
        <v>33</v>
      </c>
      <c r="F143" t="s">
        <v>34</v>
      </c>
      <c r="G143" t="s">
        <v>34</v>
      </c>
      <c r="H143" t="s">
        <v>73</v>
      </c>
      <c r="I143" t="s">
        <v>36</v>
      </c>
      <c r="K143" t="s">
        <v>834</v>
      </c>
      <c r="L143" t="s">
        <v>48</v>
      </c>
      <c r="M143" t="s">
        <v>48</v>
      </c>
      <c r="N143" t="s">
        <v>49</v>
      </c>
      <c r="O143" t="s">
        <v>835</v>
      </c>
      <c r="P143" t="s">
        <v>49</v>
      </c>
      <c r="Q143" t="s">
        <v>836</v>
      </c>
      <c r="R143" t="s">
        <v>837</v>
      </c>
      <c r="S143" t="s">
        <v>53</v>
      </c>
      <c r="T143" t="s">
        <v>834</v>
      </c>
      <c r="U143" t="s">
        <v>629</v>
      </c>
      <c r="V143" t="s">
        <v>57</v>
      </c>
    </row>
    <row r="144" spans="1:22" x14ac:dyDescent="0.35">
      <c r="A144" t="s">
        <v>838</v>
      </c>
      <c r="B144" t="s">
        <v>839</v>
      </c>
      <c r="C144" t="s">
        <v>33</v>
      </c>
      <c r="D144" t="s">
        <v>28</v>
      </c>
      <c r="E144" t="s">
        <v>29</v>
      </c>
      <c r="F144" t="s">
        <v>30</v>
      </c>
      <c r="G144" t="s">
        <v>103</v>
      </c>
      <c r="H144" t="s">
        <v>74</v>
      </c>
      <c r="I144" t="s">
        <v>46</v>
      </c>
      <c r="K144" t="s">
        <v>840</v>
      </c>
      <c r="L144" t="s">
        <v>48</v>
      </c>
      <c r="M144" t="s">
        <v>48</v>
      </c>
      <c r="N144" t="s">
        <v>49</v>
      </c>
      <c r="O144" t="s">
        <v>841</v>
      </c>
      <c r="P144" t="s">
        <v>49</v>
      </c>
      <c r="Q144" t="s">
        <v>842</v>
      </c>
      <c r="R144" t="s">
        <v>843</v>
      </c>
      <c r="S144" t="s">
        <v>135</v>
      </c>
      <c r="T144" t="s">
        <v>845</v>
      </c>
      <c r="U144" t="s">
        <v>846</v>
      </c>
      <c r="V144" t="s">
        <v>129</v>
      </c>
    </row>
    <row r="145" spans="1:22" x14ac:dyDescent="0.35">
      <c r="A145" t="s">
        <v>847</v>
      </c>
      <c r="B145" t="s">
        <v>598</v>
      </c>
      <c r="C145" t="s">
        <v>29</v>
      </c>
      <c r="D145" t="s">
        <v>29</v>
      </c>
      <c r="E145" t="s">
        <v>29</v>
      </c>
      <c r="F145" t="s">
        <v>30</v>
      </c>
      <c r="G145" t="s">
        <v>30</v>
      </c>
      <c r="H145" t="s">
        <v>94</v>
      </c>
      <c r="I145" t="s">
        <v>46</v>
      </c>
      <c r="K145" t="s">
        <v>834</v>
      </c>
      <c r="L145" t="s">
        <v>49</v>
      </c>
      <c r="M145" t="s">
        <v>48</v>
      </c>
      <c r="N145" t="s">
        <v>49</v>
      </c>
      <c r="O145" t="s">
        <v>848</v>
      </c>
      <c r="P145" t="s">
        <v>48</v>
      </c>
      <c r="Q145" t="s">
        <v>849</v>
      </c>
      <c r="R145" t="s">
        <v>850</v>
      </c>
      <c r="S145" t="s">
        <v>87</v>
      </c>
      <c r="T145" t="s">
        <v>834</v>
      </c>
      <c r="U145" t="s">
        <v>694</v>
      </c>
      <c r="V145" t="s">
        <v>129</v>
      </c>
    </row>
    <row r="146" spans="1:22" x14ac:dyDescent="0.35">
      <c r="A146" t="s">
        <v>851</v>
      </c>
      <c r="B146" t="s">
        <v>598</v>
      </c>
      <c r="C146" t="s">
        <v>33</v>
      </c>
      <c r="D146" t="s">
        <v>33</v>
      </c>
      <c r="E146" t="s">
        <v>33</v>
      </c>
      <c r="F146" t="s">
        <v>34</v>
      </c>
      <c r="G146" t="s">
        <v>34</v>
      </c>
      <c r="H146" t="s">
        <v>74</v>
      </c>
      <c r="I146" t="s">
        <v>36</v>
      </c>
      <c r="K146" t="s">
        <v>834</v>
      </c>
      <c r="L146" t="s">
        <v>48</v>
      </c>
      <c r="M146" t="s">
        <v>48</v>
      </c>
      <c r="N146" t="s">
        <v>48</v>
      </c>
      <c r="O146" t="s">
        <v>852</v>
      </c>
      <c r="P146" t="s">
        <v>48</v>
      </c>
      <c r="Q146" t="s">
        <v>853</v>
      </c>
      <c r="R146" t="s">
        <v>854</v>
      </c>
      <c r="S146" t="s">
        <v>87</v>
      </c>
      <c r="T146" t="s">
        <v>834</v>
      </c>
      <c r="U146" t="s">
        <v>629</v>
      </c>
      <c r="V146" t="s">
        <v>91</v>
      </c>
    </row>
    <row r="147" spans="1:22" x14ac:dyDescent="0.35">
      <c r="A147" t="s">
        <v>855</v>
      </c>
      <c r="B147" t="s">
        <v>598</v>
      </c>
      <c r="C147" t="s">
        <v>29</v>
      </c>
      <c r="D147" t="s">
        <v>29</v>
      </c>
      <c r="E147" t="s">
        <v>29</v>
      </c>
      <c r="F147" t="s">
        <v>30</v>
      </c>
      <c r="G147" t="s">
        <v>30</v>
      </c>
      <c r="H147" t="s">
        <v>94</v>
      </c>
      <c r="I147" t="s">
        <v>46</v>
      </c>
      <c r="K147" t="s">
        <v>834</v>
      </c>
      <c r="L147" t="s">
        <v>49</v>
      </c>
      <c r="M147" t="s">
        <v>49</v>
      </c>
      <c r="N147" t="s">
        <v>49</v>
      </c>
      <c r="O147" t="s">
        <v>856</v>
      </c>
      <c r="P147" t="s">
        <v>49</v>
      </c>
      <c r="Q147" t="s">
        <v>857</v>
      </c>
      <c r="R147" t="s">
        <v>858</v>
      </c>
      <c r="S147" t="s">
        <v>53</v>
      </c>
      <c r="T147" t="s">
        <v>834</v>
      </c>
      <c r="U147" t="s">
        <v>647</v>
      </c>
      <c r="V147" t="s">
        <v>129</v>
      </c>
    </row>
    <row r="148" spans="1:22" x14ac:dyDescent="0.35">
      <c r="B148" t="s">
        <v>859</v>
      </c>
      <c r="C148" t="s">
        <v>71</v>
      </c>
      <c r="D148" t="s">
        <v>33</v>
      </c>
      <c r="E148" t="s">
        <v>284</v>
      </c>
      <c r="F148" t="s">
        <v>34</v>
      </c>
      <c r="G148" t="s">
        <v>34</v>
      </c>
      <c r="H148" t="s">
        <v>74</v>
      </c>
      <c r="I148" t="s">
        <v>36</v>
      </c>
      <c r="K148" t="s">
        <v>104</v>
      </c>
      <c r="L148" t="s">
        <v>49</v>
      </c>
      <c r="M148" t="s">
        <v>49</v>
      </c>
      <c r="N148" t="s">
        <v>49</v>
      </c>
      <c r="P148" t="s">
        <v>49</v>
      </c>
      <c r="S148" t="s">
        <v>79</v>
      </c>
      <c r="T148" t="s">
        <v>109</v>
      </c>
      <c r="U148" t="s">
        <v>861</v>
      </c>
      <c r="V148" t="s">
        <v>91</v>
      </c>
    </row>
    <row r="149" spans="1:22" x14ac:dyDescent="0.35">
      <c r="A149" t="s">
        <v>862</v>
      </c>
      <c r="B149" t="s">
        <v>598</v>
      </c>
      <c r="C149" t="s">
        <v>33</v>
      </c>
      <c r="D149" t="s">
        <v>33</v>
      </c>
      <c r="E149" t="s">
        <v>33</v>
      </c>
      <c r="F149" t="s">
        <v>30</v>
      </c>
      <c r="G149" t="s">
        <v>30</v>
      </c>
      <c r="H149" t="s">
        <v>61</v>
      </c>
      <c r="I149" t="s">
        <v>46</v>
      </c>
      <c r="K149" t="s">
        <v>834</v>
      </c>
      <c r="L149" t="s">
        <v>49</v>
      </c>
      <c r="M149" t="s">
        <v>48</v>
      </c>
      <c r="N149" t="s">
        <v>49</v>
      </c>
      <c r="O149" t="s">
        <v>863</v>
      </c>
      <c r="P149" t="s">
        <v>48</v>
      </c>
      <c r="Q149" t="s">
        <v>864</v>
      </c>
      <c r="R149" t="s">
        <v>865</v>
      </c>
      <c r="S149" t="s">
        <v>87</v>
      </c>
      <c r="T149" t="s">
        <v>834</v>
      </c>
      <c r="U149" t="s">
        <v>629</v>
      </c>
      <c r="V149" t="s">
        <v>129</v>
      </c>
    </row>
    <row r="150" spans="1:22" x14ac:dyDescent="0.35">
      <c r="A150" t="s">
        <v>866</v>
      </c>
      <c r="B150" t="s">
        <v>598</v>
      </c>
      <c r="C150" t="s">
        <v>33</v>
      </c>
      <c r="D150" t="s">
        <v>33</v>
      </c>
      <c r="E150" t="s">
        <v>33</v>
      </c>
      <c r="F150" t="s">
        <v>34</v>
      </c>
      <c r="G150" t="s">
        <v>34</v>
      </c>
      <c r="H150" t="s">
        <v>74</v>
      </c>
      <c r="I150" t="s">
        <v>36</v>
      </c>
      <c r="K150" t="s">
        <v>834</v>
      </c>
      <c r="L150" t="s">
        <v>49</v>
      </c>
      <c r="M150" t="s">
        <v>48</v>
      </c>
      <c r="N150" t="s">
        <v>48</v>
      </c>
      <c r="O150" t="s">
        <v>867</v>
      </c>
      <c r="P150" t="s">
        <v>49</v>
      </c>
      <c r="Q150" t="s">
        <v>868</v>
      </c>
      <c r="R150" t="s">
        <v>869</v>
      </c>
      <c r="S150" t="s">
        <v>53</v>
      </c>
      <c r="T150" t="s">
        <v>834</v>
      </c>
      <c r="U150" t="s">
        <v>629</v>
      </c>
      <c r="V150" t="s">
        <v>91</v>
      </c>
    </row>
    <row r="151" spans="1:22" x14ac:dyDescent="0.35">
      <c r="A151" t="s">
        <v>870</v>
      </c>
      <c r="B151" t="s">
        <v>871</v>
      </c>
      <c r="C151" t="s">
        <v>29</v>
      </c>
      <c r="D151" t="s">
        <v>29</v>
      </c>
      <c r="E151" t="s">
        <v>29</v>
      </c>
      <c r="F151" t="s">
        <v>30</v>
      </c>
      <c r="G151" t="s">
        <v>30</v>
      </c>
      <c r="H151" t="s">
        <v>94</v>
      </c>
      <c r="I151" t="s">
        <v>46</v>
      </c>
      <c r="K151" t="s">
        <v>834</v>
      </c>
      <c r="L151" t="s">
        <v>48</v>
      </c>
      <c r="M151" t="s">
        <v>48</v>
      </c>
      <c r="N151" t="s">
        <v>48</v>
      </c>
      <c r="O151" t="s">
        <v>872</v>
      </c>
      <c r="P151" t="s">
        <v>48</v>
      </c>
      <c r="Q151" t="s">
        <v>873</v>
      </c>
      <c r="R151" t="s">
        <v>874</v>
      </c>
      <c r="S151" t="s">
        <v>87</v>
      </c>
      <c r="T151" t="s">
        <v>834</v>
      </c>
      <c r="U151" t="s">
        <v>616</v>
      </c>
      <c r="V151" t="s">
        <v>129</v>
      </c>
    </row>
    <row r="152" spans="1:22" x14ac:dyDescent="0.35">
      <c r="A152" t="s">
        <v>875</v>
      </c>
      <c r="B152" t="s">
        <v>598</v>
      </c>
      <c r="C152" t="s">
        <v>33</v>
      </c>
      <c r="D152" t="s">
        <v>33</v>
      </c>
      <c r="E152" t="s">
        <v>33</v>
      </c>
      <c r="F152" t="s">
        <v>34</v>
      </c>
      <c r="G152" t="s">
        <v>34</v>
      </c>
      <c r="H152" t="s">
        <v>73</v>
      </c>
      <c r="I152" t="s">
        <v>46</v>
      </c>
      <c r="K152" t="s">
        <v>834</v>
      </c>
      <c r="L152" t="s">
        <v>48</v>
      </c>
      <c r="M152" t="s">
        <v>48</v>
      </c>
      <c r="N152" t="s">
        <v>48</v>
      </c>
      <c r="O152" t="s">
        <v>876</v>
      </c>
      <c r="P152" t="s">
        <v>48</v>
      </c>
      <c r="Q152" t="s">
        <v>877</v>
      </c>
      <c r="R152" t="s">
        <v>878</v>
      </c>
      <c r="S152" t="s">
        <v>65</v>
      </c>
      <c r="T152" t="s">
        <v>834</v>
      </c>
      <c r="U152" t="s">
        <v>629</v>
      </c>
      <c r="V152" t="s">
        <v>129</v>
      </c>
    </row>
    <row r="153" spans="1:22" x14ac:dyDescent="0.35">
      <c r="A153" t="s">
        <v>879</v>
      </c>
      <c r="B153" t="s">
        <v>598</v>
      </c>
      <c r="C153" t="s">
        <v>29</v>
      </c>
      <c r="D153" t="s">
        <v>29</v>
      </c>
      <c r="E153" t="s">
        <v>29</v>
      </c>
      <c r="F153" t="s">
        <v>30</v>
      </c>
      <c r="G153" t="s">
        <v>30</v>
      </c>
      <c r="H153" t="s">
        <v>61</v>
      </c>
      <c r="I153" t="s">
        <v>46</v>
      </c>
      <c r="K153" t="s">
        <v>834</v>
      </c>
      <c r="L153" t="s">
        <v>49</v>
      </c>
      <c r="M153" t="s">
        <v>49</v>
      </c>
      <c r="N153" t="s">
        <v>49</v>
      </c>
      <c r="O153" t="s">
        <v>880</v>
      </c>
      <c r="P153" t="s">
        <v>49</v>
      </c>
      <c r="Q153" t="s">
        <v>881</v>
      </c>
      <c r="R153" t="s">
        <v>882</v>
      </c>
      <c r="S153" t="s">
        <v>65</v>
      </c>
      <c r="T153" t="s">
        <v>834</v>
      </c>
      <c r="U153" t="s">
        <v>694</v>
      </c>
      <c r="V153" t="s">
        <v>129</v>
      </c>
    </row>
    <row r="154" spans="1:22" x14ac:dyDescent="0.35">
      <c r="A154" t="s">
        <v>883</v>
      </c>
      <c r="B154" t="s">
        <v>598</v>
      </c>
      <c r="C154" t="s">
        <v>29</v>
      </c>
      <c r="D154" t="s">
        <v>29</v>
      </c>
      <c r="E154" t="s">
        <v>29</v>
      </c>
      <c r="F154" t="s">
        <v>30</v>
      </c>
      <c r="G154" t="s">
        <v>30</v>
      </c>
      <c r="H154" t="s">
        <v>61</v>
      </c>
      <c r="I154" t="s">
        <v>46</v>
      </c>
      <c r="K154" t="s">
        <v>834</v>
      </c>
      <c r="L154" t="s">
        <v>49</v>
      </c>
      <c r="M154" t="s">
        <v>49</v>
      </c>
      <c r="N154" t="s">
        <v>49</v>
      </c>
      <c r="O154" t="s">
        <v>884</v>
      </c>
      <c r="P154" t="s">
        <v>49</v>
      </c>
      <c r="Q154" t="s">
        <v>885</v>
      </c>
      <c r="R154" t="s">
        <v>886</v>
      </c>
      <c r="S154" t="s">
        <v>87</v>
      </c>
      <c r="T154" t="s">
        <v>834</v>
      </c>
      <c r="U154" t="s">
        <v>694</v>
      </c>
      <c r="V154" t="s">
        <v>129</v>
      </c>
    </row>
    <row r="155" spans="1:22" x14ac:dyDescent="0.35">
      <c r="A155" t="s">
        <v>887</v>
      </c>
      <c r="B155" t="s">
        <v>598</v>
      </c>
      <c r="C155" t="s">
        <v>33</v>
      </c>
      <c r="D155" t="s">
        <v>33</v>
      </c>
      <c r="E155" t="s">
        <v>33</v>
      </c>
      <c r="F155" t="s">
        <v>34</v>
      </c>
      <c r="G155" t="s">
        <v>34</v>
      </c>
      <c r="H155" t="s">
        <v>74</v>
      </c>
      <c r="I155" t="s">
        <v>46</v>
      </c>
      <c r="K155" t="s">
        <v>834</v>
      </c>
      <c r="L155" t="s">
        <v>48</v>
      </c>
      <c r="M155" t="s">
        <v>49</v>
      </c>
      <c r="N155" t="s">
        <v>48</v>
      </c>
      <c r="O155" t="s">
        <v>888</v>
      </c>
      <c r="P155" t="s">
        <v>48</v>
      </c>
      <c r="Q155" t="s">
        <v>889</v>
      </c>
      <c r="R155" t="s">
        <v>890</v>
      </c>
      <c r="S155" t="s">
        <v>87</v>
      </c>
      <c r="T155" t="s">
        <v>834</v>
      </c>
      <c r="U155" t="s">
        <v>694</v>
      </c>
      <c r="V155" t="s">
        <v>129</v>
      </c>
    </row>
    <row r="156" spans="1:22" x14ac:dyDescent="0.35">
      <c r="A156" t="s">
        <v>891</v>
      </c>
      <c r="B156" t="s">
        <v>598</v>
      </c>
      <c r="C156" t="s">
        <v>33</v>
      </c>
      <c r="D156" t="s">
        <v>33</v>
      </c>
      <c r="E156" t="s">
        <v>33</v>
      </c>
      <c r="F156" t="s">
        <v>34</v>
      </c>
      <c r="G156" t="s">
        <v>34</v>
      </c>
      <c r="H156" t="s">
        <v>73</v>
      </c>
      <c r="I156" t="s">
        <v>36</v>
      </c>
      <c r="K156" t="s">
        <v>834</v>
      </c>
      <c r="L156" t="s">
        <v>48</v>
      </c>
      <c r="M156" t="s">
        <v>48</v>
      </c>
      <c r="N156" t="s">
        <v>48</v>
      </c>
      <c r="O156" t="s">
        <v>892</v>
      </c>
      <c r="P156" t="s">
        <v>48</v>
      </c>
      <c r="Q156" t="s">
        <v>893</v>
      </c>
      <c r="R156" t="s">
        <v>894</v>
      </c>
      <c r="S156" t="s">
        <v>65</v>
      </c>
      <c r="T156" t="s">
        <v>834</v>
      </c>
      <c r="U156" t="s">
        <v>647</v>
      </c>
      <c r="V156" t="s">
        <v>129</v>
      </c>
    </row>
    <row r="157" spans="1:22" x14ac:dyDescent="0.35">
      <c r="A157" t="s">
        <v>895</v>
      </c>
      <c r="B157" t="s">
        <v>598</v>
      </c>
      <c r="C157" t="s">
        <v>29</v>
      </c>
      <c r="D157" t="s">
        <v>29</v>
      </c>
      <c r="E157" t="s">
        <v>29</v>
      </c>
      <c r="F157" t="s">
        <v>30</v>
      </c>
      <c r="G157" t="s">
        <v>30</v>
      </c>
      <c r="H157" t="s">
        <v>94</v>
      </c>
      <c r="I157" t="s">
        <v>46</v>
      </c>
      <c r="K157" t="s">
        <v>834</v>
      </c>
      <c r="L157" t="s">
        <v>49</v>
      </c>
      <c r="M157" t="s">
        <v>49</v>
      </c>
      <c r="N157" t="s">
        <v>49</v>
      </c>
      <c r="O157" t="s">
        <v>896</v>
      </c>
      <c r="P157" t="s">
        <v>49</v>
      </c>
      <c r="Q157" t="s">
        <v>897</v>
      </c>
      <c r="R157" t="s">
        <v>898</v>
      </c>
      <c r="S157" t="s">
        <v>135</v>
      </c>
      <c r="T157" t="s">
        <v>834</v>
      </c>
      <c r="U157" t="s">
        <v>688</v>
      </c>
      <c r="V157" t="s">
        <v>91</v>
      </c>
    </row>
    <row r="158" spans="1:22" x14ac:dyDescent="0.35">
      <c r="A158" t="s">
        <v>899</v>
      </c>
      <c r="B158" t="s">
        <v>598</v>
      </c>
      <c r="C158" t="s">
        <v>29</v>
      </c>
      <c r="D158" t="s">
        <v>29</v>
      </c>
      <c r="E158" t="s">
        <v>29</v>
      </c>
      <c r="F158" t="s">
        <v>30</v>
      </c>
      <c r="G158" t="s">
        <v>30</v>
      </c>
      <c r="H158" t="s">
        <v>61</v>
      </c>
      <c r="I158" t="s">
        <v>46</v>
      </c>
      <c r="K158" t="s">
        <v>834</v>
      </c>
      <c r="L158" t="s">
        <v>48</v>
      </c>
      <c r="M158" t="s">
        <v>49</v>
      </c>
      <c r="N158" t="s">
        <v>49</v>
      </c>
      <c r="O158" t="s">
        <v>900</v>
      </c>
      <c r="P158" t="s">
        <v>48</v>
      </c>
      <c r="Q158" t="s">
        <v>901</v>
      </c>
      <c r="R158" t="s">
        <v>902</v>
      </c>
      <c r="S158" t="s">
        <v>53</v>
      </c>
      <c r="T158" t="s">
        <v>834</v>
      </c>
      <c r="U158" t="s">
        <v>629</v>
      </c>
      <c r="V158" t="s">
        <v>129</v>
      </c>
    </row>
    <row r="159" spans="1:22" x14ac:dyDescent="0.35">
      <c r="A159" t="s">
        <v>903</v>
      </c>
      <c r="B159" t="s">
        <v>598</v>
      </c>
      <c r="C159" t="s">
        <v>33</v>
      </c>
      <c r="D159" t="s">
        <v>33</v>
      </c>
      <c r="E159" t="s">
        <v>33</v>
      </c>
      <c r="F159" t="s">
        <v>34</v>
      </c>
      <c r="G159" t="s">
        <v>34</v>
      </c>
      <c r="H159" t="s">
        <v>74</v>
      </c>
      <c r="I159" t="s">
        <v>46</v>
      </c>
      <c r="K159" t="s">
        <v>834</v>
      </c>
      <c r="L159" t="s">
        <v>48</v>
      </c>
      <c r="M159" t="s">
        <v>48</v>
      </c>
      <c r="N159" t="s">
        <v>48</v>
      </c>
      <c r="O159" t="s">
        <v>904</v>
      </c>
      <c r="P159" t="s">
        <v>48</v>
      </c>
      <c r="Q159" t="s">
        <v>905</v>
      </c>
      <c r="R159" t="s">
        <v>906</v>
      </c>
      <c r="S159" t="s">
        <v>53</v>
      </c>
      <c r="T159" t="s">
        <v>834</v>
      </c>
      <c r="U159" t="s">
        <v>694</v>
      </c>
      <c r="V159" t="s">
        <v>57</v>
      </c>
    </row>
    <row r="160" spans="1:22" x14ac:dyDescent="0.35">
      <c r="A160" t="s">
        <v>907</v>
      </c>
      <c r="B160" t="s">
        <v>598</v>
      </c>
      <c r="C160" t="s">
        <v>29</v>
      </c>
      <c r="D160" t="s">
        <v>29</v>
      </c>
      <c r="E160" t="s">
        <v>29</v>
      </c>
      <c r="F160" t="s">
        <v>30</v>
      </c>
      <c r="G160" t="s">
        <v>30</v>
      </c>
      <c r="H160" t="s">
        <v>61</v>
      </c>
      <c r="I160" t="s">
        <v>46</v>
      </c>
      <c r="K160" t="s">
        <v>834</v>
      </c>
      <c r="L160" t="s">
        <v>49</v>
      </c>
      <c r="M160" t="s">
        <v>49</v>
      </c>
      <c r="N160" t="s">
        <v>49</v>
      </c>
      <c r="O160" t="s">
        <v>908</v>
      </c>
      <c r="P160" t="s">
        <v>49</v>
      </c>
      <c r="Q160" t="s">
        <v>909</v>
      </c>
      <c r="R160" t="s">
        <v>910</v>
      </c>
      <c r="S160" t="s">
        <v>53</v>
      </c>
      <c r="T160" t="s">
        <v>834</v>
      </c>
      <c r="U160" t="s">
        <v>629</v>
      </c>
      <c r="V160" t="s">
        <v>129</v>
      </c>
    </row>
    <row r="161" spans="1:22" x14ac:dyDescent="0.35">
      <c r="A161" t="s">
        <v>911</v>
      </c>
      <c r="B161" t="s">
        <v>598</v>
      </c>
      <c r="C161" t="s">
        <v>33</v>
      </c>
      <c r="D161" t="s">
        <v>33</v>
      </c>
      <c r="E161" t="s">
        <v>33</v>
      </c>
      <c r="F161" t="s">
        <v>34</v>
      </c>
      <c r="G161" t="s">
        <v>34</v>
      </c>
      <c r="H161" t="s">
        <v>74</v>
      </c>
      <c r="I161" t="s">
        <v>36</v>
      </c>
      <c r="K161" t="s">
        <v>834</v>
      </c>
      <c r="L161" t="s">
        <v>48</v>
      </c>
      <c r="M161" t="s">
        <v>48</v>
      </c>
      <c r="N161" t="s">
        <v>48</v>
      </c>
      <c r="O161" t="s">
        <v>912</v>
      </c>
      <c r="P161" t="s">
        <v>48</v>
      </c>
      <c r="Q161" t="s">
        <v>913</v>
      </c>
      <c r="R161" t="s">
        <v>914</v>
      </c>
      <c r="S161" t="s">
        <v>135</v>
      </c>
      <c r="T161" t="s">
        <v>834</v>
      </c>
      <c r="U161" t="s">
        <v>622</v>
      </c>
      <c r="V161" t="s">
        <v>129</v>
      </c>
    </row>
    <row r="162" spans="1:22" x14ac:dyDescent="0.35">
      <c r="A162" t="s">
        <v>915</v>
      </c>
      <c r="B162" t="s">
        <v>598</v>
      </c>
      <c r="C162" t="s">
        <v>29</v>
      </c>
      <c r="D162" t="s">
        <v>29</v>
      </c>
      <c r="E162" t="s">
        <v>29</v>
      </c>
      <c r="F162" t="s">
        <v>30</v>
      </c>
      <c r="G162" t="s">
        <v>30</v>
      </c>
      <c r="H162" t="s">
        <v>61</v>
      </c>
      <c r="I162" t="s">
        <v>36</v>
      </c>
      <c r="K162" t="s">
        <v>442</v>
      </c>
      <c r="L162" t="s">
        <v>49</v>
      </c>
      <c r="M162" t="s">
        <v>49</v>
      </c>
      <c r="N162" t="s">
        <v>49</v>
      </c>
      <c r="O162" t="s">
        <v>916</v>
      </c>
      <c r="P162" t="s">
        <v>49</v>
      </c>
      <c r="Q162" t="s">
        <v>917</v>
      </c>
      <c r="R162" t="s">
        <v>918</v>
      </c>
      <c r="S162" t="s">
        <v>79</v>
      </c>
      <c r="T162" t="s">
        <v>603</v>
      </c>
      <c r="U162" t="s">
        <v>919</v>
      </c>
      <c r="V162" t="s">
        <v>129</v>
      </c>
    </row>
    <row r="163" spans="1:22" x14ac:dyDescent="0.35">
      <c r="B163" t="s">
        <v>180</v>
      </c>
      <c r="C163" t="s">
        <v>44</v>
      </c>
      <c r="D163" t="s">
        <v>60</v>
      </c>
      <c r="E163" t="s">
        <v>44</v>
      </c>
      <c r="F163" t="s">
        <v>30</v>
      </c>
      <c r="G163" t="s">
        <v>103</v>
      </c>
      <c r="H163" t="s">
        <v>28</v>
      </c>
      <c r="I163" t="s">
        <v>36</v>
      </c>
      <c r="K163" t="s">
        <v>726</v>
      </c>
      <c r="L163" t="s">
        <v>49</v>
      </c>
      <c r="M163" t="s">
        <v>48</v>
      </c>
      <c r="N163" t="s">
        <v>38</v>
      </c>
      <c r="O163" t="s">
        <v>920</v>
      </c>
      <c r="P163" t="s">
        <v>38</v>
      </c>
      <c r="Q163" t="s">
        <v>921</v>
      </c>
      <c r="R163" t="s">
        <v>922</v>
      </c>
      <c r="S163" t="s">
        <v>53</v>
      </c>
      <c r="T163" t="s">
        <v>109</v>
      </c>
      <c r="U163" t="s">
        <v>759</v>
      </c>
      <c r="V163" t="s">
        <v>129</v>
      </c>
    </row>
    <row r="164" spans="1:22" x14ac:dyDescent="0.35">
      <c r="B164" t="s">
        <v>180</v>
      </c>
      <c r="C164" t="s">
        <v>28</v>
      </c>
      <c r="D164" t="s">
        <v>44</v>
      </c>
      <c r="E164" t="s">
        <v>29</v>
      </c>
      <c r="F164" t="s">
        <v>30</v>
      </c>
      <c r="G164" t="s">
        <v>34</v>
      </c>
      <c r="H164" t="s">
        <v>35</v>
      </c>
      <c r="I164" t="s">
        <v>46</v>
      </c>
      <c r="K164" t="s">
        <v>304</v>
      </c>
      <c r="L164" t="s">
        <v>48</v>
      </c>
      <c r="M164" t="s">
        <v>48</v>
      </c>
      <c r="N164" t="s">
        <v>49</v>
      </c>
      <c r="O164" t="s">
        <v>923</v>
      </c>
      <c r="P164" t="s">
        <v>49</v>
      </c>
      <c r="Q164" t="s">
        <v>924</v>
      </c>
      <c r="R164" t="s">
        <v>925</v>
      </c>
      <c r="S164" t="s">
        <v>79</v>
      </c>
      <c r="T164" t="s">
        <v>109</v>
      </c>
      <c r="U164" t="s">
        <v>694</v>
      </c>
      <c r="V164" t="s">
        <v>129</v>
      </c>
    </row>
    <row r="165" spans="1:22" x14ac:dyDescent="0.35">
      <c r="A165" t="s">
        <v>926</v>
      </c>
      <c r="B165" t="s">
        <v>598</v>
      </c>
      <c r="C165" t="s">
        <v>29</v>
      </c>
      <c r="D165" t="s">
        <v>29</v>
      </c>
      <c r="E165" t="s">
        <v>29</v>
      </c>
      <c r="F165" t="s">
        <v>30</v>
      </c>
      <c r="G165" t="s">
        <v>30</v>
      </c>
      <c r="H165" t="s">
        <v>61</v>
      </c>
      <c r="I165" t="s">
        <v>36</v>
      </c>
      <c r="K165" t="s">
        <v>834</v>
      </c>
      <c r="L165" t="s">
        <v>49</v>
      </c>
      <c r="M165" t="s">
        <v>49</v>
      </c>
      <c r="N165" t="s">
        <v>49</v>
      </c>
      <c r="O165" t="s">
        <v>927</v>
      </c>
      <c r="P165" t="s">
        <v>49</v>
      </c>
      <c r="Q165" t="s">
        <v>928</v>
      </c>
      <c r="R165" t="s">
        <v>929</v>
      </c>
      <c r="S165" t="s">
        <v>79</v>
      </c>
      <c r="T165" t="s">
        <v>834</v>
      </c>
      <c r="U165" t="s">
        <v>930</v>
      </c>
      <c r="V165" t="s">
        <v>129</v>
      </c>
    </row>
    <row r="166" spans="1:22" x14ac:dyDescent="0.35">
      <c r="B166" t="s">
        <v>180</v>
      </c>
      <c r="C166" t="s">
        <v>44</v>
      </c>
      <c r="D166" t="s">
        <v>60</v>
      </c>
      <c r="E166" t="s">
        <v>60</v>
      </c>
      <c r="F166" t="s">
        <v>30</v>
      </c>
      <c r="G166" t="s">
        <v>173</v>
      </c>
      <c r="H166" t="s">
        <v>292</v>
      </c>
      <c r="I166" t="s">
        <v>36</v>
      </c>
      <c r="K166" t="s">
        <v>764</v>
      </c>
      <c r="L166" t="s">
        <v>49</v>
      </c>
      <c r="M166" t="s">
        <v>49</v>
      </c>
      <c r="N166" t="s">
        <v>38</v>
      </c>
      <c r="O166" t="s">
        <v>931</v>
      </c>
      <c r="P166" t="s">
        <v>38</v>
      </c>
      <c r="Q166" t="s">
        <v>932</v>
      </c>
      <c r="R166" t="s">
        <v>933</v>
      </c>
      <c r="S166" t="s">
        <v>135</v>
      </c>
      <c r="T166" t="s">
        <v>109</v>
      </c>
      <c r="U166" t="s">
        <v>193</v>
      </c>
      <c r="V166" t="s">
        <v>91</v>
      </c>
    </row>
    <row r="167" spans="1:22" x14ac:dyDescent="0.35">
      <c r="B167" t="s">
        <v>180</v>
      </c>
      <c r="C167" t="s">
        <v>28</v>
      </c>
      <c r="D167" t="s">
        <v>60</v>
      </c>
      <c r="E167" t="s">
        <v>60</v>
      </c>
      <c r="F167" t="s">
        <v>34</v>
      </c>
      <c r="G167" t="s">
        <v>34</v>
      </c>
      <c r="H167" t="s">
        <v>28</v>
      </c>
      <c r="I167" t="s">
        <v>36</v>
      </c>
      <c r="K167" t="s">
        <v>726</v>
      </c>
      <c r="L167" t="s">
        <v>49</v>
      </c>
      <c r="M167" t="s">
        <v>48</v>
      </c>
      <c r="N167" t="s">
        <v>49</v>
      </c>
      <c r="O167" t="s">
        <v>934</v>
      </c>
      <c r="P167" t="s">
        <v>38</v>
      </c>
      <c r="Q167" t="s">
        <v>935</v>
      </c>
      <c r="R167" t="s">
        <v>936</v>
      </c>
      <c r="S167" t="s">
        <v>87</v>
      </c>
      <c r="T167" t="s">
        <v>109</v>
      </c>
      <c r="U167" t="s">
        <v>751</v>
      </c>
      <c r="V167" t="s">
        <v>129</v>
      </c>
    </row>
    <row r="168" spans="1:22" x14ac:dyDescent="0.35">
      <c r="A168" t="s">
        <v>937</v>
      </c>
      <c r="B168" t="s">
        <v>598</v>
      </c>
      <c r="C168" t="s">
        <v>33</v>
      </c>
      <c r="D168" t="s">
        <v>33</v>
      </c>
      <c r="E168" t="s">
        <v>33</v>
      </c>
      <c r="F168" t="s">
        <v>34</v>
      </c>
      <c r="G168" t="s">
        <v>34</v>
      </c>
      <c r="H168" t="s">
        <v>74</v>
      </c>
      <c r="I168" t="s">
        <v>46</v>
      </c>
      <c r="K168" t="s">
        <v>834</v>
      </c>
      <c r="L168" t="s">
        <v>48</v>
      </c>
      <c r="M168" t="s">
        <v>48</v>
      </c>
      <c r="N168" t="s">
        <v>48</v>
      </c>
      <c r="O168" t="s">
        <v>938</v>
      </c>
      <c r="P168" t="s">
        <v>48</v>
      </c>
      <c r="Q168" t="s">
        <v>939</v>
      </c>
      <c r="R168" t="s">
        <v>940</v>
      </c>
      <c r="S168" t="s">
        <v>53</v>
      </c>
      <c r="T168" t="s">
        <v>834</v>
      </c>
      <c r="U168" t="s">
        <v>694</v>
      </c>
      <c r="V168" t="s">
        <v>91</v>
      </c>
    </row>
    <row r="169" spans="1:22" x14ac:dyDescent="0.35">
      <c r="B169" t="s">
        <v>763</v>
      </c>
      <c r="C169" t="s">
        <v>344</v>
      </c>
      <c r="D169" t="s">
        <v>28</v>
      </c>
      <c r="E169" t="s">
        <v>60</v>
      </c>
      <c r="F169" t="s">
        <v>30</v>
      </c>
      <c r="G169" t="s">
        <v>34</v>
      </c>
      <c r="H169" t="s">
        <v>45</v>
      </c>
      <c r="I169" t="s">
        <v>46</v>
      </c>
      <c r="K169" t="s">
        <v>304</v>
      </c>
      <c r="L169" t="s">
        <v>49</v>
      </c>
      <c r="M169" t="s">
        <v>48</v>
      </c>
      <c r="N169" t="s">
        <v>49</v>
      </c>
      <c r="O169" t="s">
        <v>941</v>
      </c>
      <c r="P169" t="s">
        <v>49</v>
      </c>
      <c r="Q169" t="s">
        <v>942</v>
      </c>
      <c r="R169" t="s">
        <v>943</v>
      </c>
      <c r="S169" t="s">
        <v>53</v>
      </c>
      <c r="T169" t="s">
        <v>109</v>
      </c>
      <c r="U169" t="s">
        <v>751</v>
      </c>
      <c r="V169" t="s">
        <v>91</v>
      </c>
    </row>
    <row r="170" spans="1:22" x14ac:dyDescent="0.35">
      <c r="A170" t="s">
        <v>944</v>
      </c>
      <c r="B170" t="s">
        <v>598</v>
      </c>
      <c r="C170" t="s">
        <v>344</v>
      </c>
      <c r="D170" t="s">
        <v>196</v>
      </c>
      <c r="E170" t="s">
        <v>206</v>
      </c>
      <c r="F170" t="s">
        <v>30</v>
      </c>
      <c r="G170" t="s">
        <v>94</v>
      </c>
      <c r="H170" t="s">
        <v>94</v>
      </c>
      <c r="I170" t="s">
        <v>46</v>
      </c>
      <c r="K170" t="s">
        <v>945</v>
      </c>
      <c r="L170" t="s">
        <v>49</v>
      </c>
      <c r="M170" t="s">
        <v>49</v>
      </c>
      <c r="N170" t="s">
        <v>49</v>
      </c>
      <c r="O170" t="s">
        <v>946</v>
      </c>
      <c r="P170" t="s">
        <v>49</v>
      </c>
      <c r="Q170" t="s">
        <v>947</v>
      </c>
      <c r="R170" t="s">
        <v>948</v>
      </c>
      <c r="S170" t="s">
        <v>65</v>
      </c>
      <c r="T170" t="s">
        <v>949</v>
      </c>
      <c r="U170" t="s">
        <v>950</v>
      </c>
      <c r="V170" t="s">
        <v>129</v>
      </c>
    </row>
    <row r="171" spans="1:22" x14ac:dyDescent="0.35">
      <c r="A171" t="s">
        <v>951</v>
      </c>
      <c r="B171" t="s">
        <v>598</v>
      </c>
      <c r="C171" t="s">
        <v>344</v>
      </c>
      <c r="D171" t="s">
        <v>29</v>
      </c>
      <c r="E171" t="s">
        <v>29</v>
      </c>
      <c r="F171" t="s">
        <v>30</v>
      </c>
      <c r="G171" t="s">
        <v>30</v>
      </c>
      <c r="H171" t="s">
        <v>94</v>
      </c>
      <c r="I171" t="s">
        <v>46</v>
      </c>
      <c r="K171" t="s">
        <v>945</v>
      </c>
      <c r="L171" t="s">
        <v>49</v>
      </c>
      <c r="M171" t="s">
        <v>48</v>
      </c>
      <c r="N171" t="s">
        <v>48</v>
      </c>
      <c r="O171" t="s">
        <v>952</v>
      </c>
      <c r="P171" t="s">
        <v>49</v>
      </c>
      <c r="Q171" t="s">
        <v>953</v>
      </c>
      <c r="R171" t="s">
        <v>954</v>
      </c>
      <c r="S171" t="s">
        <v>79</v>
      </c>
      <c r="T171" t="s">
        <v>949</v>
      </c>
      <c r="U171" t="s">
        <v>694</v>
      </c>
      <c r="V171" t="s">
        <v>129</v>
      </c>
    </row>
    <row r="172" spans="1:22" x14ac:dyDescent="0.35">
      <c r="A172" t="s">
        <v>955</v>
      </c>
      <c r="B172" t="s">
        <v>598</v>
      </c>
      <c r="C172" t="s">
        <v>60</v>
      </c>
      <c r="D172" t="s">
        <v>60</v>
      </c>
      <c r="E172" t="s">
        <v>60</v>
      </c>
      <c r="F172" t="s">
        <v>173</v>
      </c>
      <c r="G172" t="s">
        <v>173</v>
      </c>
      <c r="H172" t="s">
        <v>368</v>
      </c>
      <c r="I172" t="s">
        <v>36</v>
      </c>
      <c r="K172" t="s">
        <v>956</v>
      </c>
      <c r="L172" t="s">
        <v>38</v>
      </c>
      <c r="M172" t="s">
        <v>38</v>
      </c>
      <c r="N172" t="s">
        <v>38</v>
      </c>
      <c r="O172" t="s">
        <v>957</v>
      </c>
      <c r="P172" t="s">
        <v>38</v>
      </c>
      <c r="Q172" t="s">
        <v>958</v>
      </c>
      <c r="R172" t="s">
        <v>959</v>
      </c>
      <c r="S172" t="s">
        <v>79</v>
      </c>
      <c r="T172" t="s">
        <v>949</v>
      </c>
      <c r="U172" t="s">
        <v>960</v>
      </c>
      <c r="V172" t="s">
        <v>91</v>
      </c>
    </row>
    <row r="173" spans="1:22" x14ac:dyDescent="0.35">
      <c r="A173" t="s">
        <v>961</v>
      </c>
      <c r="B173" t="s">
        <v>712</v>
      </c>
      <c r="C173" t="s">
        <v>71</v>
      </c>
      <c r="D173" t="s">
        <v>33</v>
      </c>
      <c r="E173" t="s">
        <v>73</v>
      </c>
      <c r="F173" t="s">
        <v>34</v>
      </c>
      <c r="G173" t="s">
        <v>34</v>
      </c>
      <c r="H173" t="s">
        <v>73</v>
      </c>
      <c r="I173" t="s">
        <v>36</v>
      </c>
      <c r="K173" t="s">
        <v>956</v>
      </c>
      <c r="L173" t="s">
        <v>48</v>
      </c>
      <c r="M173" t="s">
        <v>48</v>
      </c>
      <c r="N173" t="s">
        <v>48</v>
      </c>
      <c r="O173" t="s">
        <v>962</v>
      </c>
      <c r="P173" t="s">
        <v>48</v>
      </c>
      <c r="Q173" t="s">
        <v>963</v>
      </c>
      <c r="R173" t="s">
        <v>964</v>
      </c>
      <c r="S173" t="s">
        <v>65</v>
      </c>
      <c r="T173" t="s">
        <v>949</v>
      </c>
      <c r="U173" t="s">
        <v>965</v>
      </c>
      <c r="V173" t="s">
        <v>57</v>
      </c>
    </row>
    <row r="174" spans="1:22" x14ac:dyDescent="0.35">
      <c r="A174" t="s">
        <v>966</v>
      </c>
      <c r="B174" t="s">
        <v>598</v>
      </c>
      <c r="C174" t="s">
        <v>28</v>
      </c>
      <c r="D174" t="s">
        <v>28</v>
      </c>
      <c r="E174" t="s">
        <v>28</v>
      </c>
      <c r="F174" t="s">
        <v>28</v>
      </c>
      <c r="G174" t="s">
        <v>28</v>
      </c>
      <c r="H174" t="s">
        <v>28</v>
      </c>
      <c r="I174" t="s">
        <v>46</v>
      </c>
      <c r="K174" t="s">
        <v>967</v>
      </c>
      <c r="L174" t="s">
        <v>49</v>
      </c>
      <c r="M174" t="s">
        <v>49</v>
      </c>
      <c r="N174" t="s">
        <v>49</v>
      </c>
      <c r="O174" t="s">
        <v>968</v>
      </c>
      <c r="P174" t="s">
        <v>49</v>
      </c>
      <c r="Q174" t="s">
        <v>969</v>
      </c>
      <c r="R174" t="s">
        <v>970</v>
      </c>
      <c r="S174" t="s">
        <v>87</v>
      </c>
      <c r="T174" t="s">
        <v>949</v>
      </c>
      <c r="U174" t="s">
        <v>694</v>
      </c>
      <c r="V174" t="s">
        <v>91</v>
      </c>
    </row>
    <row r="175" spans="1:22" x14ac:dyDescent="0.35">
      <c r="A175" t="s">
        <v>971</v>
      </c>
      <c r="B175" t="s">
        <v>598</v>
      </c>
      <c r="C175" t="s">
        <v>71</v>
      </c>
      <c r="D175" t="s">
        <v>33</v>
      </c>
      <c r="E175" t="s">
        <v>73</v>
      </c>
      <c r="F175" t="s">
        <v>34</v>
      </c>
      <c r="G175" t="s">
        <v>34</v>
      </c>
      <c r="H175" t="s">
        <v>94</v>
      </c>
      <c r="I175" t="s">
        <v>36</v>
      </c>
      <c r="K175" t="s">
        <v>972</v>
      </c>
      <c r="L175" t="s">
        <v>49</v>
      </c>
      <c r="M175" t="s">
        <v>48</v>
      </c>
      <c r="N175" t="s">
        <v>48</v>
      </c>
      <c r="O175" t="s">
        <v>973</v>
      </c>
      <c r="P175" t="s">
        <v>49</v>
      </c>
      <c r="Q175" t="s">
        <v>974</v>
      </c>
      <c r="R175" t="s">
        <v>975</v>
      </c>
      <c r="S175" t="s">
        <v>65</v>
      </c>
      <c r="T175" t="s">
        <v>949</v>
      </c>
      <c r="U175" t="s">
        <v>976</v>
      </c>
      <c r="V175" t="s">
        <v>57</v>
      </c>
    </row>
    <row r="176" spans="1:22" x14ac:dyDescent="0.35">
      <c r="A176" t="s">
        <v>977</v>
      </c>
      <c r="B176" t="s">
        <v>598</v>
      </c>
      <c r="C176" t="s">
        <v>28</v>
      </c>
      <c r="D176" t="s">
        <v>28</v>
      </c>
      <c r="E176" t="s">
        <v>28</v>
      </c>
      <c r="F176" t="s">
        <v>28</v>
      </c>
      <c r="G176" t="s">
        <v>28</v>
      </c>
      <c r="H176" t="s">
        <v>28</v>
      </c>
      <c r="I176" t="s">
        <v>46</v>
      </c>
      <c r="K176" t="s">
        <v>956</v>
      </c>
      <c r="L176" t="s">
        <v>38</v>
      </c>
      <c r="M176" t="s">
        <v>38</v>
      </c>
      <c r="N176" t="s">
        <v>38</v>
      </c>
      <c r="O176" t="s">
        <v>978</v>
      </c>
      <c r="P176" t="s">
        <v>38</v>
      </c>
      <c r="Q176" t="s">
        <v>979</v>
      </c>
      <c r="R176" t="s">
        <v>980</v>
      </c>
      <c r="S176" t="s">
        <v>79</v>
      </c>
      <c r="T176" t="s">
        <v>949</v>
      </c>
      <c r="U176" t="s">
        <v>981</v>
      </c>
      <c r="V176" t="s">
        <v>91</v>
      </c>
    </row>
    <row r="177" spans="1:22" x14ac:dyDescent="0.35">
      <c r="A177" t="s">
        <v>982</v>
      </c>
      <c r="B177" t="s">
        <v>598</v>
      </c>
      <c r="C177" t="s">
        <v>28</v>
      </c>
      <c r="D177" t="s">
        <v>28</v>
      </c>
      <c r="E177" t="s">
        <v>28</v>
      </c>
      <c r="F177" t="s">
        <v>28</v>
      </c>
      <c r="G177" t="s">
        <v>28</v>
      </c>
      <c r="H177" t="s">
        <v>28</v>
      </c>
      <c r="I177" t="s">
        <v>46</v>
      </c>
      <c r="K177" t="s">
        <v>983</v>
      </c>
      <c r="L177" t="s">
        <v>49</v>
      </c>
      <c r="M177" t="s">
        <v>48</v>
      </c>
      <c r="N177" t="s">
        <v>48</v>
      </c>
      <c r="O177" t="s">
        <v>984</v>
      </c>
      <c r="P177" t="s">
        <v>49</v>
      </c>
      <c r="Q177" t="s">
        <v>985</v>
      </c>
      <c r="R177" t="s">
        <v>986</v>
      </c>
      <c r="S177" t="s">
        <v>65</v>
      </c>
      <c r="T177" t="s">
        <v>949</v>
      </c>
      <c r="U177" t="s">
        <v>987</v>
      </c>
      <c r="V177" t="s">
        <v>129</v>
      </c>
    </row>
    <row r="178" spans="1:22" x14ac:dyDescent="0.35">
      <c r="A178" t="s">
        <v>988</v>
      </c>
      <c r="B178" t="s">
        <v>598</v>
      </c>
      <c r="C178" t="s">
        <v>71</v>
      </c>
      <c r="D178" t="s">
        <v>72</v>
      </c>
      <c r="E178" t="s">
        <v>33</v>
      </c>
      <c r="F178" t="s">
        <v>34</v>
      </c>
      <c r="G178" t="s">
        <v>34</v>
      </c>
      <c r="H178" t="s">
        <v>74</v>
      </c>
      <c r="I178" t="s">
        <v>36</v>
      </c>
      <c r="K178" t="s">
        <v>983</v>
      </c>
      <c r="L178" t="s">
        <v>48</v>
      </c>
      <c r="M178" t="s">
        <v>48</v>
      </c>
      <c r="N178" t="s">
        <v>48</v>
      </c>
      <c r="O178" t="s">
        <v>989</v>
      </c>
      <c r="P178" t="s">
        <v>48</v>
      </c>
      <c r="Q178" t="s">
        <v>990</v>
      </c>
      <c r="R178" t="s">
        <v>991</v>
      </c>
      <c r="S178" t="s">
        <v>87</v>
      </c>
      <c r="T178" t="s">
        <v>949</v>
      </c>
      <c r="U178" t="s">
        <v>992</v>
      </c>
      <c r="V178" t="s">
        <v>91</v>
      </c>
    </row>
    <row r="179" spans="1:22" x14ac:dyDescent="0.35">
      <c r="A179" t="s">
        <v>993</v>
      </c>
      <c r="B179" t="s">
        <v>598</v>
      </c>
      <c r="C179" t="s">
        <v>28</v>
      </c>
      <c r="D179" t="s">
        <v>28</v>
      </c>
      <c r="E179" t="s">
        <v>28</v>
      </c>
      <c r="F179" t="s">
        <v>28</v>
      </c>
      <c r="G179" t="s">
        <v>28</v>
      </c>
      <c r="H179" t="s">
        <v>28</v>
      </c>
      <c r="I179" t="s">
        <v>36</v>
      </c>
      <c r="K179" t="s">
        <v>972</v>
      </c>
      <c r="L179" t="s">
        <v>49</v>
      </c>
      <c r="M179" t="s">
        <v>49</v>
      </c>
      <c r="N179" t="s">
        <v>49</v>
      </c>
      <c r="O179" t="s">
        <v>994</v>
      </c>
      <c r="P179" t="s">
        <v>49</v>
      </c>
      <c r="Q179" t="s">
        <v>995</v>
      </c>
      <c r="R179" t="s">
        <v>996</v>
      </c>
      <c r="S179" t="s">
        <v>87</v>
      </c>
      <c r="T179" t="s">
        <v>949</v>
      </c>
      <c r="U179" t="s">
        <v>997</v>
      </c>
      <c r="V179" t="s">
        <v>91</v>
      </c>
    </row>
    <row r="180" spans="1:22" x14ac:dyDescent="0.35">
      <c r="A180" t="s">
        <v>998</v>
      </c>
      <c r="B180" t="s">
        <v>598</v>
      </c>
      <c r="C180" t="s">
        <v>29</v>
      </c>
      <c r="D180" t="s">
        <v>29</v>
      </c>
      <c r="E180" t="s">
        <v>29</v>
      </c>
      <c r="F180" t="s">
        <v>30</v>
      </c>
      <c r="G180" t="s">
        <v>30</v>
      </c>
      <c r="H180" t="s">
        <v>61</v>
      </c>
      <c r="I180" t="s">
        <v>46</v>
      </c>
      <c r="K180" t="s">
        <v>967</v>
      </c>
      <c r="L180" t="s">
        <v>49</v>
      </c>
      <c r="M180" t="s">
        <v>49</v>
      </c>
      <c r="N180" t="s">
        <v>49</v>
      </c>
      <c r="O180" t="s">
        <v>999</v>
      </c>
      <c r="P180" t="s">
        <v>49</v>
      </c>
      <c r="Q180" t="s">
        <v>1000</v>
      </c>
      <c r="R180" t="s">
        <v>1001</v>
      </c>
      <c r="S180" t="s">
        <v>79</v>
      </c>
      <c r="T180" t="s">
        <v>949</v>
      </c>
      <c r="U180" t="s">
        <v>688</v>
      </c>
      <c r="V180" t="s">
        <v>129</v>
      </c>
    </row>
    <row r="181" spans="1:22" x14ac:dyDescent="0.35">
      <c r="A181" t="s">
        <v>1002</v>
      </c>
      <c r="B181" t="s">
        <v>598</v>
      </c>
      <c r="C181" t="s">
        <v>28</v>
      </c>
      <c r="D181" t="s">
        <v>28</v>
      </c>
      <c r="E181" t="s">
        <v>28</v>
      </c>
      <c r="F181" t="s">
        <v>28</v>
      </c>
      <c r="G181" t="s">
        <v>28</v>
      </c>
      <c r="H181" t="s">
        <v>28</v>
      </c>
      <c r="I181" t="s">
        <v>46</v>
      </c>
      <c r="K181" t="s">
        <v>967</v>
      </c>
      <c r="L181" t="s">
        <v>49</v>
      </c>
      <c r="M181" t="s">
        <v>49</v>
      </c>
      <c r="N181" t="s">
        <v>49</v>
      </c>
      <c r="O181" t="s">
        <v>1003</v>
      </c>
      <c r="P181" t="s">
        <v>49</v>
      </c>
      <c r="Q181" t="s">
        <v>1004</v>
      </c>
      <c r="R181" t="s">
        <v>1005</v>
      </c>
      <c r="S181" t="s">
        <v>87</v>
      </c>
      <c r="T181" t="s">
        <v>949</v>
      </c>
      <c r="U181" t="s">
        <v>981</v>
      </c>
      <c r="V181" t="s">
        <v>91</v>
      </c>
    </row>
    <row r="182" spans="1:22" x14ac:dyDescent="0.35">
      <c r="A182" t="s">
        <v>1006</v>
      </c>
      <c r="B182" t="s">
        <v>598</v>
      </c>
      <c r="C182" t="s">
        <v>28</v>
      </c>
      <c r="D182" t="s">
        <v>28</v>
      </c>
      <c r="E182" t="s">
        <v>28</v>
      </c>
      <c r="F182" t="s">
        <v>28</v>
      </c>
      <c r="G182" t="s">
        <v>28</v>
      </c>
      <c r="H182" t="s">
        <v>28</v>
      </c>
      <c r="I182" t="s">
        <v>46</v>
      </c>
      <c r="K182" t="s">
        <v>945</v>
      </c>
      <c r="L182" t="s">
        <v>48</v>
      </c>
      <c r="M182" t="s">
        <v>48</v>
      </c>
      <c r="N182" t="s">
        <v>48</v>
      </c>
      <c r="O182" t="s">
        <v>1007</v>
      </c>
      <c r="P182" t="s">
        <v>48</v>
      </c>
      <c r="Q182" t="s">
        <v>1008</v>
      </c>
      <c r="R182" t="s">
        <v>1009</v>
      </c>
      <c r="S182" t="s">
        <v>135</v>
      </c>
      <c r="T182" t="s">
        <v>949</v>
      </c>
      <c r="U182" t="s">
        <v>694</v>
      </c>
      <c r="V182" t="s">
        <v>129</v>
      </c>
    </row>
    <row r="183" spans="1:22" x14ac:dyDescent="0.35">
      <c r="A183" t="s">
        <v>1010</v>
      </c>
      <c r="B183" t="s">
        <v>598</v>
      </c>
      <c r="C183" t="s">
        <v>71</v>
      </c>
      <c r="D183" t="s">
        <v>33</v>
      </c>
      <c r="E183" t="s">
        <v>33</v>
      </c>
      <c r="F183" t="s">
        <v>34</v>
      </c>
      <c r="G183" t="s">
        <v>34</v>
      </c>
      <c r="H183" t="s">
        <v>73</v>
      </c>
      <c r="I183" t="s">
        <v>36</v>
      </c>
      <c r="K183" t="s">
        <v>983</v>
      </c>
      <c r="L183" t="s">
        <v>48</v>
      </c>
      <c r="M183" t="s">
        <v>48</v>
      </c>
      <c r="N183" t="s">
        <v>48</v>
      </c>
      <c r="O183" t="s">
        <v>1011</v>
      </c>
      <c r="P183" t="s">
        <v>48</v>
      </c>
      <c r="Q183" t="s">
        <v>1012</v>
      </c>
      <c r="R183" t="s">
        <v>1013</v>
      </c>
      <c r="S183" t="s">
        <v>135</v>
      </c>
      <c r="T183" t="s">
        <v>949</v>
      </c>
      <c r="U183" t="s">
        <v>1014</v>
      </c>
      <c r="V183" t="s">
        <v>129</v>
      </c>
    </row>
    <row r="184" spans="1:22" x14ac:dyDescent="0.35">
      <c r="A184" t="s">
        <v>1015</v>
      </c>
      <c r="B184" t="s">
        <v>598</v>
      </c>
      <c r="C184" t="s">
        <v>29</v>
      </c>
      <c r="D184" t="s">
        <v>29</v>
      </c>
      <c r="E184" t="s">
        <v>29</v>
      </c>
      <c r="F184" t="s">
        <v>30</v>
      </c>
      <c r="G184" t="s">
        <v>30</v>
      </c>
      <c r="H184" t="s">
        <v>61</v>
      </c>
      <c r="I184" t="s">
        <v>46</v>
      </c>
      <c r="K184" t="s">
        <v>1016</v>
      </c>
      <c r="L184" t="s">
        <v>49</v>
      </c>
      <c r="M184" t="s">
        <v>49</v>
      </c>
      <c r="N184" t="s">
        <v>49</v>
      </c>
      <c r="O184" t="s">
        <v>1017</v>
      </c>
      <c r="P184" t="s">
        <v>49</v>
      </c>
      <c r="Q184" t="s">
        <v>1018</v>
      </c>
      <c r="R184" t="s">
        <v>1019</v>
      </c>
      <c r="S184" t="s">
        <v>53</v>
      </c>
      <c r="T184" t="s">
        <v>949</v>
      </c>
      <c r="U184" t="s">
        <v>694</v>
      </c>
      <c r="V184" t="s">
        <v>129</v>
      </c>
    </row>
    <row r="185" spans="1:22" x14ac:dyDescent="0.35">
      <c r="A185" t="s">
        <v>1020</v>
      </c>
      <c r="B185" t="s">
        <v>598</v>
      </c>
      <c r="C185" t="s">
        <v>28</v>
      </c>
      <c r="D185" t="s">
        <v>28</v>
      </c>
      <c r="E185" t="s">
        <v>28</v>
      </c>
      <c r="F185" t="s">
        <v>28</v>
      </c>
      <c r="G185" t="s">
        <v>28</v>
      </c>
      <c r="H185" t="s">
        <v>28</v>
      </c>
      <c r="I185" t="s">
        <v>46</v>
      </c>
      <c r="K185" t="s">
        <v>956</v>
      </c>
      <c r="L185" t="s">
        <v>49</v>
      </c>
      <c r="M185" t="s">
        <v>49</v>
      </c>
      <c r="N185" t="s">
        <v>49</v>
      </c>
      <c r="O185" t="s">
        <v>1021</v>
      </c>
      <c r="P185" t="s">
        <v>49</v>
      </c>
      <c r="Q185" t="s">
        <v>1022</v>
      </c>
      <c r="R185" t="s">
        <v>1023</v>
      </c>
      <c r="S185" t="s">
        <v>65</v>
      </c>
      <c r="T185" t="s">
        <v>949</v>
      </c>
      <c r="U185" t="s">
        <v>694</v>
      </c>
      <c r="V185" t="s">
        <v>129</v>
      </c>
    </row>
    <row r="186" spans="1:22" x14ac:dyDescent="0.35">
      <c r="A186" t="s">
        <v>1024</v>
      </c>
      <c r="B186" t="s">
        <v>1025</v>
      </c>
      <c r="C186" t="s">
        <v>28</v>
      </c>
      <c r="D186" t="s">
        <v>28</v>
      </c>
      <c r="E186" t="s">
        <v>157</v>
      </c>
      <c r="F186" t="s">
        <v>103</v>
      </c>
      <c r="G186" t="s">
        <v>28</v>
      </c>
      <c r="H186" t="s">
        <v>45</v>
      </c>
      <c r="I186" t="s">
        <v>36</v>
      </c>
      <c r="K186" t="s">
        <v>1026</v>
      </c>
      <c r="L186" t="s">
        <v>48</v>
      </c>
      <c r="M186" t="s">
        <v>48</v>
      </c>
      <c r="N186" t="s">
        <v>49</v>
      </c>
      <c r="O186" t="s">
        <v>1027</v>
      </c>
      <c r="Q186" t="s">
        <v>1028</v>
      </c>
      <c r="R186" t="s">
        <v>1029</v>
      </c>
      <c r="S186" t="s">
        <v>53</v>
      </c>
      <c r="T186" t="s">
        <v>1030</v>
      </c>
      <c r="U186" t="s">
        <v>1031</v>
      </c>
      <c r="V186" t="s">
        <v>170</v>
      </c>
    </row>
    <row r="187" spans="1:22" x14ac:dyDescent="0.35">
      <c r="A187" t="s">
        <v>1032</v>
      </c>
      <c r="B187" t="s">
        <v>1033</v>
      </c>
      <c r="C187" t="s">
        <v>71</v>
      </c>
      <c r="D187" t="s">
        <v>196</v>
      </c>
      <c r="E187" t="s">
        <v>28</v>
      </c>
      <c r="F187" t="s">
        <v>158</v>
      </c>
      <c r="G187" t="s">
        <v>28</v>
      </c>
      <c r="H187" t="s">
        <v>28</v>
      </c>
      <c r="I187" t="s">
        <v>46</v>
      </c>
      <c r="K187" t="s">
        <v>1034</v>
      </c>
      <c r="L187" t="s">
        <v>48</v>
      </c>
      <c r="M187" t="s">
        <v>48</v>
      </c>
      <c r="N187" t="s">
        <v>49</v>
      </c>
      <c r="O187" t="s">
        <v>1035</v>
      </c>
      <c r="P187" t="s">
        <v>49</v>
      </c>
      <c r="Q187" t="s">
        <v>1036</v>
      </c>
      <c r="R187" t="s">
        <v>1037</v>
      </c>
      <c r="S187" t="s">
        <v>79</v>
      </c>
      <c r="T187" t="s">
        <v>1038</v>
      </c>
      <c r="U187" t="s">
        <v>1039</v>
      </c>
      <c r="V187" t="s">
        <v>91</v>
      </c>
    </row>
    <row r="188" spans="1:22" x14ac:dyDescent="0.35">
      <c r="A188" t="s">
        <v>1040</v>
      </c>
      <c r="B188" t="s">
        <v>1041</v>
      </c>
      <c r="C188" t="s">
        <v>28</v>
      </c>
      <c r="D188" t="s">
        <v>60</v>
      </c>
      <c r="E188" t="s">
        <v>206</v>
      </c>
      <c r="F188" t="s">
        <v>173</v>
      </c>
      <c r="G188" t="s">
        <v>173</v>
      </c>
      <c r="H188" t="s">
        <v>28</v>
      </c>
      <c r="I188" t="s">
        <v>36</v>
      </c>
      <c r="K188" t="s">
        <v>1042</v>
      </c>
      <c r="L188" t="s">
        <v>48</v>
      </c>
      <c r="M188" t="s">
        <v>49</v>
      </c>
      <c r="N188" t="s">
        <v>40</v>
      </c>
      <c r="O188" t="s">
        <v>1043</v>
      </c>
      <c r="P188" t="s">
        <v>38</v>
      </c>
      <c r="Q188" t="s">
        <v>1044</v>
      </c>
      <c r="R188" t="s">
        <v>1045</v>
      </c>
      <c r="S188" t="s">
        <v>79</v>
      </c>
      <c r="T188" t="s">
        <v>1046</v>
      </c>
      <c r="U188" t="s">
        <v>1047</v>
      </c>
      <c r="V188" t="s">
        <v>91</v>
      </c>
    </row>
    <row r="189" spans="1:22" x14ac:dyDescent="0.35">
      <c r="A189" t="s">
        <v>1048</v>
      </c>
      <c r="B189" t="s">
        <v>1049</v>
      </c>
      <c r="C189" t="s">
        <v>28</v>
      </c>
      <c r="D189" t="s">
        <v>60</v>
      </c>
      <c r="E189" t="s">
        <v>29</v>
      </c>
      <c r="F189" t="s">
        <v>173</v>
      </c>
      <c r="G189" t="s">
        <v>173</v>
      </c>
      <c r="H189" t="s">
        <v>28</v>
      </c>
      <c r="I189" t="s">
        <v>46</v>
      </c>
      <c r="K189" t="s">
        <v>1050</v>
      </c>
      <c r="L189" t="s">
        <v>49</v>
      </c>
      <c r="M189" t="s">
        <v>49</v>
      </c>
      <c r="N189" t="s">
        <v>38</v>
      </c>
      <c r="O189" t="s">
        <v>1051</v>
      </c>
      <c r="P189" t="s">
        <v>38</v>
      </c>
      <c r="Q189" t="s">
        <v>1052</v>
      </c>
      <c r="R189" t="s">
        <v>1053</v>
      </c>
      <c r="S189" t="s">
        <v>87</v>
      </c>
      <c r="T189" t="s">
        <v>1046</v>
      </c>
      <c r="U189" t="s">
        <v>1054</v>
      </c>
      <c r="V189" t="s">
        <v>170</v>
      </c>
    </row>
    <row r="190" spans="1:22" x14ac:dyDescent="0.35">
      <c r="A190" t="s">
        <v>1055</v>
      </c>
      <c r="B190" t="s">
        <v>1056</v>
      </c>
      <c r="C190" t="s">
        <v>28</v>
      </c>
      <c r="D190" t="s">
        <v>60</v>
      </c>
      <c r="E190" t="s">
        <v>28</v>
      </c>
      <c r="F190" t="s">
        <v>103</v>
      </c>
      <c r="G190" t="s">
        <v>28</v>
      </c>
      <c r="H190" t="s">
        <v>28</v>
      </c>
      <c r="I190" t="s">
        <v>36</v>
      </c>
      <c r="K190" t="s">
        <v>1057</v>
      </c>
      <c r="L190" t="s">
        <v>49</v>
      </c>
      <c r="M190" t="s">
        <v>48</v>
      </c>
      <c r="N190" t="s">
        <v>38</v>
      </c>
      <c r="O190" t="s">
        <v>1058</v>
      </c>
      <c r="P190" t="s">
        <v>38</v>
      </c>
      <c r="Q190" t="s">
        <v>1059</v>
      </c>
      <c r="R190" t="s">
        <v>1060</v>
      </c>
      <c r="S190" t="s">
        <v>65</v>
      </c>
      <c r="T190" t="s">
        <v>1046</v>
      </c>
      <c r="U190" t="s">
        <v>1061</v>
      </c>
      <c r="V190" t="s">
        <v>129</v>
      </c>
    </row>
    <row r="191" spans="1:22" x14ac:dyDescent="0.35">
      <c r="A191" t="s">
        <v>1062</v>
      </c>
      <c r="B191" t="s">
        <v>1063</v>
      </c>
      <c r="C191" t="s">
        <v>344</v>
      </c>
      <c r="D191" t="s">
        <v>28</v>
      </c>
      <c r="E191" t="s">
        <v>157</v>
      </c>
      <c r="F191" t="s">
        <v>28</v>
      </c>
      <c r="G191" t="s">
        <v>28</v>
      </c>
      <c r="H191" t="s">
        <v>28</v>
      </c>
      <c r="I191" t="s">
        <v>36</v>
      </c>
      <c r="K191" t="s">
        <v>1064</v>
      </c>
      <c r="L191" t="s">
        <v>49</v>
      </c>
      <c r="M191" t="s">
        <v>49</v>
      </c>
      <c r="N191" t="s">
        <v>49</v>
      </c>
      <c r="O191" t="s">
        <v>1065</v>
      </c>
      <c r="P191" t="s">
        <v>49</v>
      </c>
      <c r="Q191" t="s">
        <v>1066</v>
      </c>
      <c r="R191" t="s">
        <v>1067</v>
      </c>
      <c r="S191" t="s">
        <v>65</v>
      </c>
      <c r="T191" t="s">
        <v>1030</v>
      </c>
      <c r="U191" t="s">
        <v>1068</v>
      </c>
      <c r="V191" t="s">
        <v>129</v>
      </c>
    </row>
    <row r="192" spans="1:22" x14ac:dyDescent="0.35">
      <c r="A192" t="s">
        <v>1069</v>
      </c>
      <c r="B192" t="s">
        <v>1070</v>
      </c>
      <c r="C192" t="s">
        <v>28</v>
      </c>
      <c r="D192" t="s">
        <v>60</v>
      </c>
      <c r="E192" t="s">
        <v>28</v>
      </c>
      <c r="F192" t="s">
        <v>173</v>
      </c>
      <c r="G192" t="s">
        <v>28</v>
      </c>
      <c r="H192" t="s">
        <v>368</v>
      </c>
      <c r="I192" t="s">
        <v>46</v>
      </c>
      <c r="K192" t="s">
        <v>1071</v>
      </c>
      <c r="L192" t="s">
        <v>48</v>
      </c>
      <c r="M192" t="s">
        <v>48</v>
      </c>
      <c r="N192" t="s">
        <v>38</v>
      </c>
      <c r="O192" t="s">
        <v>1072</v>
      </c>
      <c r="P192" t="s">
        <v>48</v>
      </c>
      <c r="Q192" t="s">
        <v>1073</v>
      </c>
      <c r="R192" t="s">
        <v>1074</v>
      </c>
      <c r="S192" t="s">
        <v>79</v>
      </c>
      <c r="T192" t="s">
        <v>1046</v>
      </c>
      <c r="U192" t="s">
        <v>1075</v>
      </c>
      <c r="V192" t="s">
        <v>91</v>
      </c>
    </row>
    <row r="193" spans="1:22" x14ac:dyDescent="0.35">
      <c r="A193" t="s">
        <v>1076</v>
      </c>
      <c r="B193" t="s">
        <v>1077</v>
      </c>
      <c r="C193" t="s">
        <v>344</v>
      </c>
      <c r="D193" t="s">
        <v>29</v>
      </c>
      <c r="E193" t="s">
        <v>60</v>
      </c>
      <c r="F193" t="s">
        <v>34</v>
      </c>
      <c r="G193" t="s">
        <v>34</v>
      </c>
      <c r="H193" t="s">
        <v>35</v>
      </c>
      <c r="I193" t="s">
        <v>36</v>
      </c>
      <c r="K193" t="s">
        <v>1078</v>
      </c>
      <c r="L193" t="s">
        <v>49</v>
      </c>
      <c r="M193" t="s">
        <v>48</v>
      </c>
      <c r="N193" t="s">
        <v>38</v>
      </c>
      <c r="O193" t="s">
        <v>1079</v>
      </c>
      <c r="P193" t="s">
        <v>38</v>
      </c>
      <c r="Q193" t="s">
        <v>1080</v>
      </c>
      <c r="R193" t="s">
        <v>1081</v>
      </c>
      <c r="S193" t="s">
        <v>65</v>
      </c>
      <c r="T193" t="s">
        <v>1082</v>
      </c>
      <c r="U193" t="s">
        <v>1083</v>
      </c>
      <c r="V193" t="s">
        <v>170</v>
      </c>
    </row>
    <row r="194" spans="1:22" x14ac:dyDescent="0.35">
      <c r="A194" t="s">
        <v>1084</v>
      </c>
      <c r="B194" t="s">
        <v>1085</v>
      </c>
      <c r="C194" t="s">
        <v>28</v>
      </c>
      <c r="D194" t="s">
        <v>60</v>
      </c>
      <c r="E194" t="s">
        <v>28</v>
      </c>
      <c r="F194" t="s">
        <v>173</v>
      </c>
      <c r="G194" t="s">
        <v>28</v>
      </c>
      <c r="H194" t="s">
        <v>368</v>
      </c>
      <c r="I194" t="s">
        <v>36</v>
      </c>
      <c r="K194" t="s">
        <v>1086</v>
      </c>
      <c r="L194" t="s">
        <v>48</v>
      </c>
      <c r="M194" t="s">
        <v>49</v>
      </c>
      <c r="N194" t="s">
        <v>40</v>
      </c>
      <c r="O194" t="s">
        <v>1087</v>
      </c>
      <c r="P194" t="s">
        <v>49</v>
      </c>
      <c r="Q194" t="s">
        <v>1088</v>
      </c>
      <c r="R194" t="s">
        <v>1089</v>
      </c>
      <c r="S194" t="s">
        <v>53</v>
      </c>
      <c r="T194" t="s">
        <v>1046</v>
      </c>
      <c r="U194" t="s">
        <v>1090</v>
      </c>
      <c r="V194" t="s">
        <v>129</v>
      </c>
    </row>
    <row r="195" spans="1:22" x14ac:dyDescent="0.35">
      <c r="A195" t="s">
        <v>1091</v>
      </c>
      <c r="B195" t="s">
        <v>1092</v>
      </c>
      <c r="C195" t="s">
        <v>28</v>
      </c>
      <c r="D195" t="s">
        <v>60</v>
      </c>
      <c r="E195" t="s">
        <v>28</v>
      </c>
      <c r="F195" t="s">
        <v>30</v>
      </c>
      <c r="G195" t="s">
        <v>28</v>
      </c>
      <c r="H195" t="s">
        <v>368</v>
      </c>
      <c r="I195" t="s">
        <v>46</v>
      </c>
      <c r="K195" t="s">
        <v>1093</v>
      </c>
      <c r="L195" t="s">
        <v>49</v>
      </c>
      <c r="M195" t="s">
        <v>48</v>
      </c>
      <c r="N195" t="s">
        <v>38</v>
      </c>
      <c r="O195" t="s">
        <v>1094</v>
      </c>
      <c r="P195" t="s">
        <v>49</v>
      </c>
      <c r="Q195" t="s">
        <v>1095</v>
      </c>
      <c r="R195" t="s">
        <v>1096</v>
      </c>
      <c r="S195" t="s">
        <v>53</v>
      </c>
      <c r="T195" t="s">
        <v>1046</v>
      </c>
      <c r="U195" t="s">
        <v>1097</v>
      </c>
      <c r="V195" t="s">
        <v>129</v>
      </c>
    </row>
    <row r="196" spans="1:22" x14ac:dyDescent="0.35">
      <c r="A196" t="s">
        <v>1098</v>
      </c>
      <c r="B196" t="s">
        <v>1099</v>
      </c>
      <c r="C196" t="s">
        <v>28</v>
      </c>
      <c r="D196" t="s">
        <v>60</v>
      </c>
      <c r="E196" t="s">
        <v>28</v>
      </c>
      <c r="F196" t="s">
        <v>30</v>
      </c>
      <c r="G196" t="s">
        <v>34</v>
      </c>
      <c r="H196" t="s">
        <v>45</v>
      </c>
      <c r="I196" t="s">
        <v>36</v>
      </c>
      <c r="K196" t="s">
        <v>1100</v>
      </c>
      <c r="L196" t="s">
        <v>48</v>
      </c>
      <c r="M196" t="s">
        <v>48</v>
      </c>
      <c r="N196" t="s">
        <v>40</v>
      </c>
      <c r="O196" t="s">
        <v>1101</v>
      </c>
      <c r="P196" t="s">
        <v>40</v>
      </c>
      <c r="Q196" t="s">
        <v>1102</v>
      </c>
      <c r="R196" t="s">
        <v>1103</v>
      </c>
      <c r="S196" t="s">
        <v>87</v>
      </c>
      <c r="T196" t="s">
        <v>1046</v>
      </c>
      <c r="U196" t="s">
        <v>1104</v>
      </c>
      <c r="V196" t="s">
        <v>170</v>
      </c>
    </row>
    <row r="197" spans="1:22" x14ac:dyDescent="0.35">
      <c r="A197" t="s">
        <v>1105</v>
      </c>
      <c r="B197" t="s">
        <v>1106</v>
      </c>
      <c r="C197" t="s">
        <v>28</v>
      </c>
      <c r="D197" t="s">
        <v>60</v>
      </c>
      <c r="E197" t="s">
        <v>28</v>
      </c>
      <c r="F197" t="s">
        <v>28</v>
      </c>
      <c r="G197" t="s">
        <v>28</v>
      </c>
      <c r="H197" t="s">
        <v>28</v>
      </c>
      <c r="I197" t="s">
        <v>46</v>
      </c>
      <c r="K197" t="s">
        <v>1107</v>
      </c>
      <c r="L197" t="s">
        <v>49</v>
      </c>
      <c r="M197" t="s">
        <v>48</v>
      </c>
      <c r="N197" t="s">
        <v>49</v>
      </c>
      <c r="O197" t="s">
        <v>1067</v>
      </c>
      <c r="P197" t="s">
        <v>48</v>
      </c>
      <c r="Q197" t="s">
        <v>1108</v>
      </c>
      <c r="R197" t="s">
        <v>1109</v>
      </c>
      <c r="S197" t="s">
        <v>53</v>
      </c>
      <c r="T197" t="s">
        <v>1030</v>
      </c>
      <c r="U197" t="s">
        <v>1110</v>
      </c>
      <c r="V197" t="s">
        <v>129</v>
      </c>
    </row>
    <row r="198" spans="1:22" x14ac:dyDescent="0.35">
      <c r="A198" t="s">
        <v>1111</v>
      </c>
      <c r="B198" t="s">
        <v>1112</v>
      </c>
      <c r="C198" t="s">
        <v>449</v>
      </c>
      <c r="D198" t="s">
        <v>60</v>
      </c>
      <c r="E198" t="s">
        <v>44</v>
      </c>
      <c r="F198" t="s">
        <v>173</v>
      </c>
      <c r="G198" t="s">
        <v>173</v>
      </c>
      <c r="H198" t="s">
        <v>94</v>
      </c>
      <c r="I198" t="s">
        <v>46</v>
      </c>
      <c r="K198" t="s">
        <v>1113</v>
      </c>
      <c r="L198" t="s">
        <v>49</v>
      </c>
      <c r="M198" t="s">
        <v>48</v>
      </c>
      <c r="N198" t="s">
        <v>38</v>
      </c>
      <c r="O198" t="s">
        <v>1114</v>
      </c>
      <c r="P198" t="s">
        <v>49</v>
      </c>
      <c r="Q198" t="s">
        <v>1115</v>
      </c>
      <c r="R198" t="s">
        <v>1116</v>
      </c>
      <c r="S198" t="s">
        <v>53</v>
      </c>
      <c r="T198" t="s">
        <v>1082</v>
      </c>
      <c r="U198" t="s">
        <v>1117</v>
      </c>
      <c r="V198" t="s">
        <v>91</v>
      </c>
    </row>
    <row r="199" spans="1:22" x14ac:dyDescent="0.35">
      <c r="A199" t="s">
        <v>1118</v>
      </c>
      <c r="B199" t="s">
        <v>1119</v>
      </c>
      <c r="C199" t="s">
        <v>28</v>
      </c>
      <c r="D199" t="s">
        <v>29</v>
      </c>
      <c r="E199" t="s">
        <v>60</v>
      </c>
      <c r="F199" t="s">
        <v>30</v>
      </c>
      <c r="G199" t="s">
        <v>30</v>
      </c>
      <c r="H199" t="s">
        <v>45</v>
      </c>
      <c r="I199" t="s">
        <v>46</v>
      </c>
      <c r="K199" t="s">
        <v>1120</v>
      </c>
      <c r="L199" t="s">
        <v>48</v>
      </c>
      <c r="M199" t="s">
        <v>48</v>
      </c>
      <c r="N199" t="s">
        <v>38</v>
      </c>
      <c r="O199" t="s">
        <v>1121</v>
      </c>
      <c r="P199" t="s">
        <v>38</v>
      </c>
      <c r="Q199" t="s">
        <v>1122</v>
      </c>
      <c r="R199" t="s">
        <v>1123</v>
      </c>
      <c r="S199" t="s">
        <v>135</v>
      </c>
      <c r="T199" t="s">
        <v>1046</v>
      </c>
      <c r="U199" t="s">
        <v>704</v>
      </c>
      <c r="V199" t="s">
        <v>91</v>
      </c>
    </row>
    <row r="200" spans="1:22" x14ac:dyDescent="0.35">
      <c r="A200" t="s">
        <v>1124</v>
      </c>
      <c r="B200" t="s">
        <v>1125</v>
      </c>
      <c r="C200" t="s">
        <v>28</v>
      </c>
      <c r="D200" t="s">
        <v>44</v>
      </c>
      <c r="E200" t="s">
        <v>28</v>
      </c>
      <c r="F200" t="s">
        <v>173</v>
      </c>
      <c r="G200" t="s">
        <v>103</v>
      </c>
      <c r="H200" t="s">
        <v>368</v>
      </c>
      <c r="I200" t="s">
        <v>36</v>
      </c>
      <c r="K200" t="s">
        <v>1126</v>
      </c>
      <c r="L200" t="s">
        <v>48</v>
      </c>
      <c r="M200" t="s">
        <v>48</v>
      </c>
      <c r="N200" t="s">
        <v>38</v>
      </c>
      <c r="O200" t="s">
        <v>1127</v>
      </c>
      <c r="P200" t="s">
        <v>49</v>
      </c>
      <c r="Q200" t="s">
        <v>1128</v>
      </c>
      <c r="R200" t="s">
        <v>1129</v>
      </c>
      <c r="S200" t="s">
        <v>79</v>
      </c>
      <c r="T200" t="s">
        <v>1046</v>
      </c>
      <c r="U200" t="s">
        <v>965</v>
      </c>
      <c r="V200" t="s">
        <v>129</v>
      </c>
    </row>
    <row r="201" spans="1:22" x14ac:dyDescent="0.35">
      <c r="A201" t="s">
        <v>1130</v>
      </c>
      <c r="B201" t="s">
        <v>1131</v>
      </c>
      <c r="C201" t="s">
        <v>449</v>
      </c>
      <c r="D201" t="s">
        <v>60</v>
      </c>
      <c r="E201" t="s">
        <v>60</v>
      </c>
      <c r="F201" t="s">
        <v>30</v>
      </c>
      <c r="G201" t="s">
        <v>173</v>
      </c>
      <c r="H201" t="s">
        <v>45</v>
      </c>
      <c r="I201" t="s">
        <v>46</v>
      </c>
      <c r="K201" t="s">
        <v>1132</v>
      </c>
      <c r="L201" t="s">
        <v>49</v>
      </c>
      <c r="M201" t="s">
        <v>48</v>
      </c>
      <c r="N201" t="s">
        <v>38</v>
      </c>
      <c r="O201" t="s">
        <v>1133</v>
      </c>
      <c r="P201" t="s">
        <v>49</v>
      </c>
      <c r="Q201" t="s">
        <v>1134</v>
      </c>
      <c r="R201" t="s">
        <v>1135</v>
      </c>
      <c r="S201" t="s">
        <v>53</v>
      </c>
      <c r="T201" t="s">
        <v>1046</v>
      </c>
      <c r="U201" t="s">
        <v>694</v>
      </c>
      <c r="V201" t="s">
        <v>129</v>
      </c>
    </row>
    <row r="202" spans="1:22" x14ac:dyDescent="0.35">
      <c r="A202" t="s">
        <v>1136</v>
      </c>
      <c r="B202" t="s">
        <v>1137</v>
      </c>
      <c r="C202" t="s">
        <v>28</v>
      </c>
      <c r="D202" t="s">
        <v>44</v>
      </c>
      <c r="E202" t="s">
        <v>284</v>
      </c>
      <c r="F202" t="s">
        <v>173</v>
      </c>
      <c r="G202" t="s">
        <v>28</v>
      </c>
      <c r="H202" t="s">
        <v>368</v>
      </c>
      <c r="I202" t="s">
        <v>36</v>
      </c>
      <c r="K202" t="s">
        <v>1042</v>
      </c>
      <c r="L202" t="s">
        <v>48</v>
      </c>
      <c r="M202" t="s">
        <v>48</v>
      </c>
      <c r="N202" t="s">
        <v>38</v>
      </c>
      <c r="O202" t="s">
        <v>1138</v>
      </c>
      <c r="P202" t="s">
        <v>48</v>
      </c>
      <c r="Q202" t="s">
        <v>1139</v>
      </c>
      <c r="R202" t="s">
        <v>1140</v>
      </c>
      <c r="S202" t="s">
        <v>135</v>
      </c>
      <c r="T202" t="s">
        <v>1046</v>
      </c>
      <c r="U202" t="s">
        <v>1141</v>
      </c>
      <c r="V202" t="s">
        <v>91</v>
      </c>
    </row>
    <row r="203" spans="1:22" x14ac:dyDescent="0.35">
      <c r="A203" t="s">
        <v>1142</v>
      </c>
      <c r="B203" t="s">
        <v>1143</v>
      </c>
      <c r="C203" t="s">
        <v>449</v>
      </c>
      <c r="D203" t="s">
        <v>158</v>
      </c>
      <c r="E203" t="s">
        <v>28</v>
      </c>
      <c r="F203" t="s">
        <v>28</v>
      </c>
      <c r="G203" t="s">
        <v>28</v>
      </c>
      <c r="H203" t="s">
        <v>28</v>
      </c>
      <c r="I203" t="s">
        <v>36</v>
      </c>
      <c r="K203" t="s">
        <v>1144</v>
      </c>
      <c r="L203" t="s">
        <v>38</v>
      </c>
      <c r="M203" t="s">
        <v>38</v>
      </c>
      <c r="N203" t="s">
        <v>38</v>
      </c>
      <c r="O203" t="s">
        <v>1145</v>
      </c>
      <c r="P203" t="s">
        <v>49</v>
      </c>
      <c r="Q203" t="s">
        <v>1146</v>
      </c>
      <c r="R203" t="s">
        <v>1147</v>
      </c>
      <c r="S203" t="s">
        <v>79</v>
      </c>
      <c r="T203" t="s">
        <v>1030</v>
      </c>
      <c r="U203" t="s">
        <v>1061</v>
      </c>
      <c r="V203" t="s">
        <v>57</v>
      </c>
    </row>
    <row r="204" spans="1:22" x14ac:dyDescent="0.35">
      <c r="A204" t="s">
        <v>1148</v>
      </c>
      <c r="B204" t="s">
        <v>1112</v>
      </c>
      <c r="C204" t="s">
        <v>44</v>
      </c>
      <c r="D204" t="s">
        <v>60</v>
      </c>
      <c r="E204" t="s">
        <v>60</v>
      </c>
      <c r="F204" t="s">
        <v>173</v>
      </c>
      <c r="G204" t="s">
        <v>173</v>
      </c>
      <c r="H204" t="s">
        <v>45</v>
      </c>
      <c r="I204" t="s">
        <v>46</v>
      </c>
      <c r="K204" t="s">
        <v>1050</v>
      </c>
      <c r="L204" t="s">
        <v>48</v>
      </c>
      <c r="M204" t="s">
        <v>49</v>
      </c>
      <c r="N204" t="s">
        <v>38</v>
      </c>
      <c r="O204" t="s">
        <v>1149</v>
      </c>
      <c r="P204" t="s">
        <v>38</v>
      </c>
      <c r="Q204" t="s">
        <v>1150</v>
      </c>
      <c r="R204" t="s">
        <v>1151</v>
      </c>
      <c r="S204" t="s">
        <v>135</v>
      </c>
      <c r="T204" t="s">
        <v>1046</v>
      </c>
      <c r="U204" t="s">
        <v>1152</v>
      </c>
      <c r="V204" t="s">
        <v>170</v>
      </c>
    </row>
    <row r="205" spans="1:22" x14ac:dyDescent="0.35">
      <c r="A205" t="s">
        <v>1153</v>
      </c>
      <c r="B205" t="s">
        <v>1154</v>
      </c>
      <c r="C205" t="s">
        <v>28</v>
      </c>
      <c r="D205" t="s">
        <v>28</v>
      </c>
      <c r="E205" t="s">
        <v>284</v>
      </c>
      <c r="F205" t="s">
        <v>28</v>
      </c>
      <c r="G205" t="s">
        <v>45</v>
      </c>
      <c r="H205" t="s">
        <v>368</v>
      </c>
      <c r="I205" t="s">
        <v>36</v>
      </c>
      <c r="K205" t="s">
        <v>1100</v>
      </c>
      <c r="L205" t="s">
        <v>48</v>
      </c>
      <c r="M205" t="s">
        <v>48</v>
      </c>
      <c r="N205" t="s">
        <v>38</v>
      </c>
      <c r="O205" t="s">
        <v>1155</v>
      </c>
      <c r="P205" t="s">
        <v>48</v>
      </c>
      <c r="Q205" t="s">
        <v>1156</v>
      </c>
      <c r="R205" t="s">
        <v>1157</v>
      </c>
      <c r="S205" t="s">
        <v>87</v>
      </c>
      <c r="T205" t="s">
        <v>1046</v>
      </c>
      <c r="U205" t="s">
        <v>1158</v>
      </c>
      <c r="V205" t="s">
        <v>170</v>
      </c>
    </row>
    <row r="206" spans="1:22" x14ac:dyDescent="0.35">
      <c r="A206" t="s">
        <v>1159</v>
      </c>
      <c r="B206" t="s">
        <v>1160</v>
      </c>
      <c r="C206" t="s">
        <v>28</v>
      </c>
      <c r="D206" t="s">
        <v>60</v>
      </c>
      <c r="E206" t="s">
        <v>28</v>
      </c>
      <c r="F206" t="s">
        <v>34</v>
      </c>
      <c r="G206" t="s">
        <v>30</v>
      </c>
      <c r="H206" t="s">
        <v>28</v>
      </c>
      <c r="I206" t="s">
        <v>46</v>
      </c>
      <c r="K206" t="s">
        <v>1042</v>
      </c>
      <c r="L206" t="s">
        <v>49</v>
      </c>
      <c r="M206" t="s">
        <v>48</v>
      </c>
      <c r="N206" t="s">
        <v>40</v>
      </c>
      <c r="O206" t="s">
        <v>1161</v>
      </c>
      <c r="P206" t="s">
        <v>38</v>
      </c>
      <c r="Q206" t="s">
        <v>1162</v>
      </c>
      <c r="R206" t="s">
        <v>1163</v>
      </c>
      <c r="S206" t="s">
        <v>53</v>
      </c>
      <c r="T206" t="s">
        <v>1046</v>
      </c>
      <c r="U206" t="s">
        <v>1097</v>
      </c>
      <c r="V206" t="s">
        <v>129</v>
      </c>
    </row>
    <row r="207" spans="1:22" x14ac:dyDescent="0.35">
      <c r="A207" t="s">
        <v>1164</v>
      </c>
      <c r="B207" t="s">
        <v>1085</v>
      </c>
      <c r="C207" t="s">
        <v>28</v>
      </c>
      <c r="D207" t="s">
        <v>197</v>
      </c>
      <c r="E207" t="s">
        <v>28</v>
      </c>
      <c r="F207" t="s">
        <v>197</v>
      </c>
      <c r="G207" t="s">
        <v>28</v>
      </c>
      <c r="H207" t="s">
        <v>368</v>
      </c>
      <c r="I207" t="s">
        <v>36</v>
      </c>
      <c r="K207" t="s">
        <v>1086</v>
      </c>
      <c r="L207" t="s">
        <v>49</v>
      </c>
      <c r="M207" t="s">
        <v>49</v>
      </c>
      <c r="N207" t="s">
        <v>48</v>
      </c>
      <c r="O207" t="s">
        <v>1165</v>
      </c>
      <c r="P207" t="s">
        <v>49</v>
      </c>
      <c r="Q207" t="s">
        <v>1166</v>
      </c>
      <c r="R207" t="s">
        <v>1167</v>
      </c>
      <c r="S207" t="s">
        <v>53</v>
      </c>
      <c r="T207" t="s">
        <v>1046</v>
      </c>
      <c r="U207" t="s">
        <v>976</v>
      </c>
      <c r="V207" t="s">
        <v>91</v>
      </c>
    </row>
    <row r="208" spans="1:22" x14ac:dyDescent="0.35">
      <c r="A208" t="s">
        <v>1168</v>
      </c>
      <c r="B208" t="s">
        <v>1169</v>
      </c>
      <c r="C208" t="s">
        <v>377</v>
      </c>
      <c r="D208" t="s">
        <v>44</v>
      </c>
      <c r="E208" t="s">
        <v>60</v>
      </c>
      <c r="F208" t="s">
        <v>30</v>
      </c>
      <c r="G208" t="s">
        <v>103</v>
      </c>
      <c r="H208" t="s">
        <v>28</v>
      </c>
      <c r="I208" t="s">
        <v>36</v>
      </c>
      <c r="K208" t="s">
        <v>1170</v>
      </c>
      <c r="L208" t="s">
        <v>49</v>
      </c>
      <c r="M208" t="s">
        <v>38</v>
      </c>
      <c r="N208" t="s">
        <v>49</v>
      </c>
      <c r="O208" t="s">
        <v>1171</v>
      </c>
      <c r="P208" t="s">
        <v>38</v>
      </c>
      <c r="Q208" t="s">
        <v>1172</v>
      </c>
      <c r="R208" t="s">
        <v>1173</v>
      </c>
      <c r="S208" t="s">
        <v>53</v>
      </c>
      <c r="T208" t="s">
        <v>1030</v>
      </c>
      <c r="U208" t="s">
        <v>1174</v>
      </c>
      <c r="V208" t="s">
        <v>91</v>
      </c>
    </row>
    <row r="209" spans="1:22" x14ac:dyDescent="0.35">
      <c r="A209" t="s">
        <v>1175</v>
      </c>
      <c r="B209" t="s">
        <v>1176</v>
      </c>
      <c r="C209" t="s">
        <v>28</v>
      </c>
      <c r="D209" t="s">
        <v>197</v>
      </c>
      <c r="E209" t="s">
        <v>28</v>
      </c>
      <c r="F209" t="s">
        <v>158</v>
      </c>
      <c r="G209" t="s">
        <v>28</v>
      </c>
      <c r="H209" t="s">
        <v>292</v>
      </c>
      <c r="I209" t="s">
        <v>46</v>
      </c>
      <c r="K209" t="s">
        <v>1093</v>
      </c>
      <c r="L209" t="s">
        <v>49</v>
      </c>
      <c r="M209" t="s">
        <v>48</v>
      </c>
      <c r="N209" t="s">
        <v>49</v>
      </c>
      <c r="O209" t="s">
        <v>1177</v>
      </c>
      <c r="P209" t="s">
        <v>49</v>
      </c>
      <c r="Q209" t="s">
        <v>1178</v>
      </c>
      <c r="R209" t="s">
        <v>1179</v>
      </c>
      <c r="S209" t="s">
        <v>135</v>
      </c>
      <c r="T209" t="s">
        <v>1046</v>
      </c>
      <c r="U209" t="s">
        <v>694</v>
      </c>
      <c r="V209" t="s">
        <v>91</v>
      </c>
    </row>
    <row r="210" spans="1:22" x14ac:dyDescent="0.35">
      <c r="A210" t="s">
        <v>1180</v>
      </c>
      <c r="B210" t="s">
        <v>1099</v>
      </c>
      <c r="C210" t="s">
        <v>28</v>
      </c>
      <c r="D210" t="s">
        <v>60</v>
      </c>
      <c r="E210" t="s">
        <v>284</v>
      </c>
      <c r="F210" t="s">
        <v>30</v>
      </c>
      <c r="G210" t="s">
        <v>28</v>
      </c>
      <c r="H210" t="s">
        <v>94</v>
      </c>
      <c r="I210" t="s">
        <v>36</v>
      </c>
      <c r="K210" t="s">
        <v>1120</v>
      </c>
      <c r="L210" t="s">
        <v>48</v>
      </c>
      <c r="M210" t="s">
        <v>48</v>
      </c>
      <c r="N210" t="s">
        <v>39</v>
      </c>
      <c r="O210" t="s">
        <v>1181</v>
      </c>
      <c r="P210" t="s">
        <v>48</v>
      </c>
      <c r="Q210" t="s">
        <v>1182</v>
      </c>
      <c r="R210" t="s">
        <v>1183</v>
      </c>
      <c r="S210" t="s">
        <v>135</v>
      </c>
      <c r="T210" t="s">
        <v>1046</v>
      </c>
      <c r="U210" t="s">
        <v>1184</v>
      </c>
      <c r="V210" t="s">
        <v>170</v>
      </c>
    </row>
    <row r="211" spans="1:22" x14ac:dyDescent="0.35">
      <c r="A211" t="s">
        <v>1185</v>
      </c>
      <c r="B211" t="s">
        <v>1186</v>
      </c>
      <c r="C211" t="s">
        <v>449</v>
      </c>
      <c r="D211" t="s">
        <v>197</v>
      </c>
      <c r="E211" t="s">
        <v>29</v>
      </c>
      <c r="F211" t="s">
        <v>30</v>
      </c>
      <c r="G211" t="s">
        <v>30</v>
      </c>
      <c r="H211" t="s">
        <v>61</v>
      </c>
      <c r="I211" t="s">
        <v>36</v>
      </c>
      <c r="K211" t="s">
        <v>1187</v>
      </c>
      <c r="L211" t="s">
        <v>48</v>
      </c>
      <c r="M211" t="s">
        <v>48</v>
      </c>
      <c r="N211" t="s">
        <v>48</v>
      </c>
      <c r="O211" t="s">
        <v>1188</v>
      </c>
      <c r="P211" t="s">
        <v>49</v>
      </c>
      <c r="Q211" t="s">
        <v>1189</v>
      </c>
      <c r="R211" t="s">
        <v>1190</v>
      </c>
      <c r="S211" t="s">
        <v>53</v>
      </c>
      <c r="T211" t="s">
        <v>1082</v>
      </c>
      <c r="U211" t="s">
        <v>1047</v>
      </c>
      <c r="V211" t="s">
        <v>91</v>
      </c>
    </row>
    <row r="212" spans="1:22" x14ac:dyDescent="0.35">
      <c r="A212" t="s">
        <v>1191</v>
      </c>
      <c r="B212" t="s">
        <v>1192</v>
      </c>
      <c r="C212" t="s">
        <v>28</v>
      </c>
      <c r="D212" t="s">
        <v>60</v>
      </c>
      <c r="E212" t="s">
        <v>284</v>
      </c>
      <c r="F212" t="s">
        <v>30</v>
      </c>
      <c r="G212" t="s">
        <v>368</v>
      </c>
      <c r="H212" t="s">
        <v>94</v>
      </c>
      <c r="I212" t="s">
        <v>46</v>
      </c>
      <c r="K212" t="s">
        <v>1071</v>
      </c>
      <c r="L212" t="s">
        <v>48</v>
      </c>
      <c r="M212" t="s">
        <v>48</v>
      </c>
      <c r="N212" t="s">
        <v>38</v>
      </c>
      <c r="O212" t="s">
        <v>1193</v>
      </c>
      <c r="P212" t="s">
        <v>49</v>
      </c>
      <c r="Q212" t="s">
        <v>1194</v>
      </c>
      <c r="R212" t="s">
        <v>1195</v>
      </c>
      <c r="S212" t="s">
        <v>53</v>
      </c>
      <c r="T212" t="s">
        <v>1046</v>
      </c>
      <c r="U212" t="s">
        <v>704</v>
      </c>
      <c r="V212" t="s">
        <v>129</v>
      </c>
    </row>
    <row r="213" spans="1:22" x14ac:dyDescent="0.35">
      <c r="A213" t="s">
        <v>1196</v>
      </c>
      <c r="B213" t="s">
        <v>1143</v>
      </c>
      <c r="C213" t="s">
        <v>28</v>
      </c>
      <c r="D213" t="s">
        <v>60</v>
      </c>
      <c r="E213" t="s">
        <v>28</v>
      </c>
      <c r="F213" t="s">
        <v>173</v>
      </c>
      <c r="G213" t="s">
        <v>28</v>
      </c>
      <c r="H213" t="s">
        <v>94</v>
      </c>
      <c r="I213" t="s">
        <v>36</v>
      </c>
      <c r="K213" t="s">
        <v>1042</v>
      </c>
      <c r="L213" t="s">
        <v>49</v>
      </c>
      <c r="M213" t="s">
        <v>49</v>
      </c>
      <c r="N213" t="s">
        <v>40</v>
      </c>
      <c r="O213" t="s">
        <v>1197</v>
      </c>
      <c r="P213" t="s">
        <v>48</v>
      </c>
      <c r="Q213" t="s">
        <v>1198</v>
      </c>
      <c r="R213" t="s">
        <v>1199</v>
      </c>
      <c r="S213" t="s">
        <v>87</v>
      </c>
      <c r="T213" t="s">
        <v>1046</v>
      </c>
      <c r="U213" t="s">
        <v>1061</v>
      </c>
      <c r="V213" t="s">
        <v>91</v>
      </c>
    </row>
    <row r="214" spans="1:22" x14ac:dyDescent="0.35">
      <c r="A214" t="s">
        <v>1130</v>
      </c>
      <c r="B214" t="s">
        <v>1200</v>
      </c>
      <c r="C214" t="s">
        <v>28</v>
      </c>
      <c r="D214" t="s">
        <v>60</v>
      </c>
      <c r="E214" t="s">
        <v>157</v>
      </c>
      <c r="F214" t="s">
        <v>28</v>
      </c>
      <c r="G214" t="s">
        <v>173</v>
      </c>
      <c r="H214" t="s">
        <v>292</v>
      </c>
      <c r="I214" t="s">
        <v>46</v>
      </c>
      <c r="K214" t="s">
        <v>1201</v>
      </c>
      <c r="L214" t="s">
        <v>49</v>
      </c>
      <c r="M214" t="s">
        <v>49</v>
      </c>
      <c r="N214" t="s">
        <v>38</v>
      </c>
      <c r="O214" t="s">
        <v>1202</v>
      </c>
      <c r="P214" t="s">
        <v>38</v>
      </c>
      <c r="Q214" t="s">
        <v>1203</v>
      </c>
      <c r="R214" t="s">
        <v>1204</v>
      </c>
      <c r="S214" t="s">
        <v>87</v>
      </c>
      <c r="T214" t="s">
        <v>1030</v>
      </c>
      <c r="U214" t="s">
        <v>1075</v>
      </c>
      <c r="V214" t="s">
        <v>170</v>
      </c>
    </row>
    <row r="215" spans="1:22" x14ac:dyDescent="0.35">
      <c r="A215" t="s">
        <v>1205</v>
      </c>
      <c r="B215" t="s">
        <v>1206</v>
      </c>
      <c r="C215" t="s">
        <v>28</v>
      </c>
      <c r="D215" t="s">
        <v>60</v>
      </c>
      <c r="E215" t="s">
        <v>29</v>
      </c>
      <c r="F215" t="s">
        <v>30</v>
      </c>
      <c r="G215" t="s">
        <v>30</v>
      </c>
      <c r="H215" t="s">
        <v>28</v>
      </c>
      <c r="I215" t="s">
        <v>46</v>
      </c>
      <c r="K215" t="s">
        <v>1207</v>
      </c>
      <c r="L215" t="s">
        <v>48</v>
      </c>
      <c r="M215" t="s">
        <v>48</v>
      </c>
      <c r="N215" t="s">
        <v>38</v>
      </c>
      <c r="O215" t="s">
        <v>1208</v>
      </c>
      <c r="P215" t="s">
        <v>49</v>
      </c>
      <c r="Q215" t="s">
        <v>1209</v>
      </c>
      <c r="R215" t="s">
        <v>1210</v>
      </c>
      <c r="S215" t="s">
        <v>53</v>
      </c>
      <c r="T215" t="s">
        <v>1046</v>
      </c>
      <c r="U215" t="s">
        <v>1075</v>
      </c>
      <c r="V215" t="s">
        <v>129</v>
      </c>
    </row>
    <row r="216" spans="1:22" x14ac:dyDescent="0.35">
      <c r="A216" t="s">
        <v>1211</v>
      </c>
      <c r="B216" t="s">
        <v>1212</v>
      </c>
      <c r="C216" t="s">
        <v>28</v>
      </c>
      <c r="D216" t="s">
        <v>29</v>
      </c>
      <c r="E216" t="s">
        <v>29</v>
      </c>
      <c r="F216" t="s">
        <v>34</v>
      </c>
      <c r="G216" t="s">
        <v>34</v>
      </c>
      <c r="H216" t="s">
        <v>368</v>
      </c>
      <c r="I216" t="s">
        <v>46</v>
      </c>
      <c r="K216" t="s">
        <v>1213</v>
      </c>
      <c r="L216" t="s">
        <v>49</v>
      </c>
      <c r="M216" t="s">
        <v>48</v>
      </c>
      <c r="N216" t="s">
        <v>38</v>
      </c>
      <c r="O216" t="s">
        <v>1214</v>
      </c>
      <c r="P216" t="s">
        <v>40</v>
      </c>
      <c r="Q216" t="s">
        <v>1215</v>
      </c>
      <c r="R216" t="s">
        <v>1216</v>
      </c>
      <c r="S216" t="s">
        <v>79</v>
      </c>
      <c r="T216" t="s">
        <v>1082</v>
      </c>
      <c r="U216" t="s">
        <v>1097</v>
      </c>
      <c r="V216" t="s">
        <v>129</v>
      </c>
    </row>
    <row r="217" spans="1:22" x14ac:dyDescent="0.35">
      <c r="A217" t="s">
        <v>1217</v>
      </c>
      <c r="B217" t="s">
        <v>1218</v>
      </c>
      <c r="C217" t="s">
        <v>28</v>
      </c>
      <c r="D217" t="s">
        <v>28</v>
      </c>
      <c r="E217" t="s">
        <v>157</v>
      </c>
      <c r="F217" t="s">
        <v>158</v>
      </c>
      <c r="G217" t="s">
        <v>28</v>
      </c>
      <c r="H217" t="s">
        <v>28</v>
      </c>
      <c r="I217" t="s">
        <v>36</v>
      </c>
      <c r="K217" t="s">
        <v>1219</v>
      </c>
      <c r="L217" t="s">
        <v>49</v>
      </c>
      <c r="M217" t="s">
        <v>49</v>
      </c>
      <c r="N217" t="s">
        <v>38</v>
      </c>
      <c r="O217" t="s">
        <v>1220</v>
      </c>
      <c r="P217" t="s">
        <v>49</v>
      </c>
      <c r="Q217" t="s">
        <v>1221</v>
      </c>
      <c r="R217" t="s">
        <v>1222</v>
      </c>
      <c r="S217" t="s">
        <v>53</v>
      </c>
      <c r="T217" t="s">
        <v>1030</v>
      </c>
      <c r="U217" t="s">
        <v>759</v>
      </c>
      <c r="V217" t="s">
        <v>170</v>
      </c>
    </row>
    <row r="218" spans="1:22" x14ac:dyDescent="0.35">
      <c r="A218" t="s">
        <v>1223</v>
      </c>
      <c r="B218" t="s">
        <v>1143</v>
      </c>
      <c r="C218" t="s">
        <v>344</v>
      </c>
      <c r="D218" t="s">
        <v>29</v>
      </c>
      <c r="E218" t="s">
        <v>206</v>
      </c>
      <c r="F218" t="s">
        <v>30</v>
      </c>
      <c r="G218" t="s">
        <v>103</v>
      </c>
      <c r="H218" t="s">
        <v>94</v>
      </c>
      <c r="I218" t="s">
        <v>46</v>
      </c>
      <c r="K218" t="s">
        <v>1224</v>
      </c>
      <c r="L218" t="s">
        <v>49</v>
      </c>
      <c r="M218" t="s">
        <v>48</v>
      </c>
      <c r="N218" t="s">
        <v>38</v>
      </c>
      <c r="O218" t="s">
        <v>1225</v>
      </c>
      <c r="P218" t="s">
        <v>48</v>
      </c>
      <c r="Q218" t="s">
        <v>1226</v>
      </c>
      <c r="R218" t="s">
        <v>1227</v>
      </c>
      <c r="S218" t="s">
        <v>87</v>
      </c>
      <c r="T218" t="s">
        <v>1082</v>
      </c>
      <c r="U218" t="s">
        <v>1061</v>
      </c>
      <c r="V218" t="s">
        <v>129</v>
      </c>
    </row>
    <row r="219" spans="1:22" x14ac:dyDescent="0.35">
      <c r="A219" t="s">
        <v>1228</v>
      </c>
      <c r="B219" t="s">
        <v>1229</v>
      </c>
      <c r="C219" t="s">
        <v>28</v>
      </c>
      <c r="D219" t="s">
        <v>60</v>
      </c>
      <c r="E219" t="s">
        <v>284</v>
      </c>
      <c r="F219" t="s">
        <v>103</v>
      </c>
      <c r="G219" t="s">
        <v>28</v>
      </c>
      <c r="H219" t="s">
        <v>292</v>
      </c>
      <c r="I219" t="s">
        <v>46</v>
      </c>
      <c r="K219" t="s">
        <v>1230</v>
      </c>
      <c r="L219" t="s">
        <v>49</v>
      </c>
      <c r="N219" t="s">
        <v>49</v>
      </c>
      <c r="O219" t="s">
        <v>1231</v>
      </c>
      <c r="P219" t="s">
        <v>49</v>
      </c>
      <c r="Q219" t="s">
        <v>1232</v>
      </c>
      <c r="R219" t="s">
        <v>1233</v>
      </c>
      <c r="S219" t="s">
        <v>87</v>
      </c>
      <c r="T219" t="s">
        <v>1030</v>
      </c>
      <c r="U219" t="s">
        <v>1235</v>
      </c>
      <c r="V219" t="s">
        <v>170</v>
      </c>
    </row>
    <row r="220" spans="1:22" x14ac:dyDescent="0.35">
      <c r="A220" t="s">
        <v>1236</v>
      </c>
      <c r="B220" t="s">
        <v>1237</v>
      </c>
      <c r="C220" t="s">
        <v>28</v>
      </c>
      <c r="D220" t="s">
        <v>196</v>
      </c>
      <c r="E220" t="s">
        <v>157</v>
      </c>
      <c r="F220" t="s">
        <v>197</v>
      </c>
      <c r="G220" t="s">
        <v>173</v>
      </c>
      <c r="H220" t="s">
        <v>73</v>
      </c>
      <c r="I220" t="s">
        <v>46</v>
      </c>
      <c r="K220" t="s">
        <v>1238</v>
      </c>
      <c r="L220" t="s">
        <v>49</v>
      </c>
      <c r="M220" t="s">
        <v>49</v>
      </c>
      <c r="N220" t="s">
        <v>48</v>
      </c>
      <c r="O220" t="s">
        <v>1239</v>
      </c>
      <c r="P220" t="s">
        <v>49</v>
      </c>
      <c r="Q220" t="s">
        <v>1240</v>
      </c>
      <c r="R220" t="s">
        <v>1241</v>
      </c>
      <c r="S220" t="s">
        <v>87</v>
      </c>
      <c r="T220" t="s">
        <v>1082</v>
      </c>
      <c r="U220" t="s">
        <v>1075</v>
      </c>
      <c r="V220" t="s">
        <v>91</v>
      </c>
    </row>
    <row r="221" spans="1:22" x14ac:dyDescent="0.35">
      <c r="A221" t="s">
        <v>1242</v>
      </c>
      <c r="B221" t="s">
        <v>1243</v>
      </c>
      <c r="C221" t="s">
        <v>71</v>
      </c>
      <c r="D221" t="s">
        <v>28</v>
      </c>
      <c r="E221" t="s">
        <v>157</v>
      </c>
      <c r="F221" t="s">
        <v>103</v>
      </c>
      <c r="G221" t="s">
        <v>45</v>
      </c>
      <c r="H221" t="s">
        <v>28</v>
      </c>
      <c r="I221" t="s">
        <v>36</v>
      </c>
      <c r="K221" t="s">
        <v>1244</v>
      </c>
      <c r="L221" t="s">
        <v>49</v>
      </c>
      <c r="M221" t="s">
        <v>49</v>
      </c>
      <c r="N221" t="s">
        <v>49</v>
      </c>
      <c r="O221" t="s">
        <v>1245</v>
      </c>
      <c r="P221" t="s">
        <v>49</v>
      </c>
      <c r="Q221" t="s">
        <v>1246</v>
      </c>
      <c r="R221" t="s">
        <v>1247</v>
      </c>
      <c r="S221" t="s">
        <v>65</v>
      </c>
      <c r="T221" t="s">
        <v>1030</v>
      </c>
      <c r="U221" t="s">
        <v>1249</v>
      </c>
      <c r="V221" t="s">
        <v>129</v>
      </c>
    </row>
    <row r="222" spans="1:22" x14ac:dyDescent="0.35">
      <c r="A222" t="s">
        <v>1250</v>
      </c>
      <c r="B222" t="s">
        <v>1085</v>
      </c>
      <c r="C222" t="s">
        <v>449</v>
      </c>
      <c r="D222" t="s">
        <v>28</v>
      </c>
      <c r="E222" t="s">
        <v>29</v>
      </c>
      <c r="F222" t="s">
        <v>103</v>
      </c>
      <c r="G222" t="s">
        <v>173</v>
      </c>
      <c r="H222" t="s">
        <v>61</v>
      </c>
      <c r="I222" t="s">
        <v>36</v>
      </c>
      <c r="K222" t="s">
        <v>1251</v>
      </c>
      <c r="L222" t="s">
        <v>49</v>
      </c>
      <c r="M222" t="s">
        <v>49</v>
      </c>
      <c r="N222" t="s">
        <v>48</v>
      </c>
      <c r="O222" t="s">
        <v>1252</v>
      </c>
      <c r="P222" t="s">
        <v>49</v>
      </c>
      <c r="Q222" t="s">
        <v>1253</v>
      </c>
      <c r="R222" t="s">
        <v>1254</v>
      </c>
      <c r="S222" t="s">
        <v>53</v>
      </c>
      <c r="T222" t="s">
        <v>1082</v>
      </c>
      <c r="U222" t="s">
        <v>1090</v>
      </c>
      <c r="V222" t="s">
        <v>129</v>
      </c>
    </row>
    <row r="223" spans="1:22" x14ac:dyDescent="0.35">
      <c r="A223" t="s">
        <v>1255</v>
      </c>
      <c r="B223" t="s">
        <v>1256</v>
      </c>
      <c r="C223" t="s">
        <v>28</v>
      </c>
      <c r="D223" t="s">
        <v>28</v>
      </c>
      <c r="E223" t="s">
        <v>28</v>
      </c>
      <c r="F223" t="s">
        <v>28</v>
      </c>
      <c r="G223" t="s">
        <v>28</v>
      </c>
      <c r="H223" t="s">
        <v>28</v>
      </c>
      <c r="I223" t="s">
        <v>46</v>
      </c>
      <c r="K223" t="s">
        <v>1257</v>
      </c>
      <c r="L223" t="s">
        <v>49</v>
      </c>
      <c r="M223" t="s">
        <v>38</v>
      </c>
      <c r="N223" t="s">
        <v>49</v>
      </c>
      <c r="O223" t="s">
        <v>1258</v>
      </c>
      <c r="P223" t="s">
        <v>38</v>
      </c>
      <c r="Q223" t="s">
        <v>1258</v>
      </c>
      <c r="R223" t="s">
        <v>1259</v>
      </c>
      <c r="S223" t="s">
        <v>87</v>
      </c>
      <c r="T223" t="s">
        <v>1030</v>
      </c>
      <c r="U223" t="s">
        <v>1260</v>
      </c>
      <c r="V223" t="s">
        <v>91</v>
      </c>
    </row>
    <row r="224" spans="1:22" x14ac:dyDescent="0.35">
      <c r="A224" t="s">
        <v>1261</v>
      </c>
      <c r="B224" t="s">
        <v>1262</v>
      </c>
      <c r="C224" t="s">
        <v>28</v>
      </c>
      <c r="D224" t="s">
        <v>28</v>
      </c>
      <c r="E224" t="s">
        <v>28</v>
      </c>
      <c r="F224" t="s">
        <v>28</v>
      </c>
      <c r="G224" t="s">
        <v>28</v>
      </c>
      <c r="H224" t="s">
        <v>28</v>
      </c>
      <c r="I224" t="s">
        <v>36</v>
      </c>
      <c r="K224" t="s">
        <v>1263</v>
      </c>
      <c r="L224" t="s">
        <v>49</v>
      </c>
      <c r="M224" t="s">
        <v>49</v>
      </c>
      <c r="N224" t="s">
        <v>49</v>
      </c>
      <c r="O224" t="s">
        <v>1264</v>
      </c>
      <c r="P224" t="s">
        <v>49</v>
      </c>
      <c r="Q224" t="s">
        <v>1265</v>
      </c>
      <c r="R224" t="s">
        <v>1266</v>
      </c>
      <c r="S224" t="s">
        <v>135</v>
      </c>
      <c r="T224" t="s">
        <v>1030</v>
      </c>
      <c r="U224" t="s">
        <v>1268</v>
      </c>
      <c r="V224" t="s">
        <v>129</v>
      </c>
    </row>
    <row r="225" spans="1:22" x14ac:dyDescent="0.35">
      <c r="A225" t="s">
        <v>1269</v>
      </c>
      <c r="B225" t="s">
        <v>1192</v>
      </c>
      <c r="C225" t="s">
        <v>449</v>
      </c>
      <c r="D225" t="s">
        <v>44</v>
      </c>
      <c r="E225" t="s">
        <v>284</v>
      </c>
      <c r="F225" t="s">
        <v>173</v>
      </c>
      <c r="G225" t="s">
        <v>28</v>
      </c>
      <c r="H225" t="s">
        <v>94</v>
      </c>
      <c r="I225" t="s">
        <v>46</v>
      </c>
      <c r="K225" t="s">
        <v>1270</v>
      </c>
      <c r="L225" t="s">
        <v>49</v>
      </c>
      <c r="M225" t="s">
        <v>49</v>
      </c>
      <c r="N225" t="s">
        <v>49</v>
      </c>
      <c r="O225" t="s">
        <v>1271</v>
      </c>
      <c r="P225" t="s">
        <v>48</v>
      </c>
      <c r="Q225" t="s">
        <v>1272</v>
      </c>
      <c r="R225" t="s">
        <v>1273</v>
      </c>
      <c r="S225" t="s">
        <v>79</v>
      </c>
      <c r="T225" t="s">
        <v>1082</v>
      </c>
      <c r="U225" t="s">
        <v>704</v>
      </c>
      <c r="V225" t="s">
        <v>170</v>
      </c>
    </row>
    <row r="226" spans="1:22" x14ac:dyDescent="0.35">
      <c r="A226" t="s">
        <v>1274</v>
      </c>
      <c r="B226" t="s">
        <v>1275</v>
      </c>
      <c r="C226" t="s">
        <v>28</v>
      </c>
      <c r="D226" t="s">
        <v>28</v>
      </c>
      <c r="E226" t="s">
        <v>28</v>
      </c>
      <c r="F226" t="s">
        <v>28</v>
      </c>
      <c r="G226" t="s">
        <v>28</v>
      </c>
      <c r="H226" t="s">
        <v>28</v>
      </c>
      <c r="I226" t="s">
        <v>46</v>
      </c>
      <c r="K226" t="s">
        <v>1276</v>
      </c>
      <c r="L226" t="s">
        <v>38</v>
      </c>
      <c r="M226" t="s">
        <v>38</v>
      </c>
      <c r="N226" t="s">
        <v>38</v>
      </c>
      <c r="O226" t="s">
        <v>1277</v>
      </c>
      <c r="P226" t="s">
        <v>49</v>
      </c>
      <c r="Q226" t="s">
        <v>1278</v>
      </c>
      <c r="R226" t="s">
        <v>1279</v>
      </c>
      <c r="S226" t="s">
        <v>135</v>
      </c>
      <c r="T226" t="s">
        <v>1030</v>
      </c>
      <c r="U226" t="s">
        <v>1280</v>
      </c>
      <c r="V226" t="s">
        <v>57</v>
      </c>
    </row>
    <row r="227" spans="1:22" x14ac:dyDescent="0.35">
      <c r="A227" t="s">
        <v>1281</v>
      </c>
      <c r="B227" t="s">
        <v>1282</v>
      </c>
      <c r="C227" t="s">
        <v>28</v>
      </c>
      <c r="D227" t="s">
        <v>196</v>
      </c>
      <c r="E227" t="s">
        <v>206</v>
      </c>
      <c r="F227" t="s">
        <v>197</v>
      </c>
      <c r="G227" t="s">
        <v>103</v>
      </c>
      <c r="H227" t="s">
        <v>94</v>
      </c>
      <c r="I227" t="s">
        <v>36</v>
      </c>
      <c r="K227" t="s">
        <v>1213</v>
      </c>
      <c r="L227" t="s">
        <v>49</v>
      </c>
      <c r="M227" t="s">
        <v>38</v>
      </c>
      <c r="N227" t="s">
        <v>48</v>
      </c>
      <c r="O227" t="s">
        <v>1283</v>
      </c>
      <c r="P227" t="s">
        <v>49</v>
      </c>
      <c r="Q227" t="s">
        <v>1284</v>
      </c>
      <c r="R227" t="s">
        <v>1285</v>
      </c>
      <c r="S227" t="s">
        <v>53</v>
      </c>
      <c r="T227" t="s">
        <v>1082</v>
      </c>
      <c r="U227" t="s">
        <v>1014</v>
      </c>
      <c r="V227" t="s">
        <v>91</v>
      </c>
    </row>
    <row r="228" spans="1:22" x14ac:dyDescent="0.35">
      <c r="A228" t="s">
        <v>1286</v>
      </c>
      <c r="B228" t="s">
        <v>1287</v>
      </c>
      <c r="C228" t="s">
        <v>28</v>
      </c>
      <c r="D228" t="s">
        <v>28</v>
      </c>
      <c r="E228" t="s">
        <v>28</v>
      </c>
      <c r="F228" t="s">
        <v>28</v>
      </c>
      <c r="G228" t="s">
        <v>28</v>
      </c>
      <c r="H228" t="s">
        <v>28</v>
      </c>
      <c r="I228" t="s">
        <v>36</v>
      </c>
      <c r="K228" t="s">
        <v>1288</v>
      </c>
      <c r="L228" t="s">
        <v>38</v>
      </c>
      <c r="M228" t="s">
        <v>49</v>
      </c>
      <c r="O228" t="s">
        <v>1289</v>
      </c>
      <c r="P228" t="s">
        <v>38</v>
      </c>
      <c r="Q228" t="s">
        <v>1290</v>
      </c>
      <c r="R228" t="s">
        <v>1291</v>
      </c>
      <c r="S228" t="s">
        <v>135</v>
      </c>
      <c r="T228" t="s">
        <v>1030</v>
      </c>
      <c r="U228" t="s">
        <v>1292</v>
      </c>
      <c r="V228" t="s">
        <v>57</v>
      </c>
    </row>
    <row r="229" spans="1:22" x14ac:dyDescent="0.35">
      <c r="A229" t="s">
        <v>1293</v>
      </c>
      <c r="B229" t="s">
        <v>1294</v>
      </c>
      <c r="C229" t="s">
        <v>60</v>
      </c>
      <c r="D229" t="s">
        <v>33</v>
      </c>
      <c r="E229" t="s">
        <v>33</v>
      </c>
      <c r="F229" t="s">
        <v>173</v>
      </c>
      <c r="G229" t="s">
        <v>173</v>
      </c>
      <c r="H229" t="s">
        <v>28</v>
      </c>
      <c r="I229" t="s">
        <v>46</v>
      </c>
      <c r="K229" t="s">
        <v>1295</v>
      </c>
      <c r="L229" t="s">
        <v>48</v>
      </c>
      <c r="M229" t="s">
        <v>49</v>
      </c>
      <c r="N229" t="s">
        <v>49</v>
      </c>
      <c r="O229" t="s">
        <v>1296</v>
      </c>
      <c r="P229" t="s">
        <v>49</v>
      </c>
      <c r="Q229" t="s">
        <v>1297</v>
      </c>
      <c r="R229" t="s">
        <v>1298</v>
      </c>
      <c r="S229" t="s">
        <v>79</v>
      </c>
      <c r="T229" t="s">
        <v>1082</v>
      </c>
      <c r="U229" t="s">
        <v>694</v>
      </c>
      <c r="V229" t="s">
        <v>129</v>
      </c>
    </row>
    <row r="230" spans="1:22" x14ac:dyDescent="0.35">
      <c r="A230" t="s">
        <v>1299</v>
      </c>
      <c r="B230" t="s">
        <v>1300</v>
      </c>
      <c r="C230" t="s">
        <v>28</v>
      </c>
      <c r="D230" t="s">
        <v>28</v>
      </c>
      <c r="E230" t="s">
        <v>28</v>
      </c>
      <c r="F230" t="s">
        <v>28</v>
      </c>
      <c r="G230" t="s">
        <v>28</v>
      </c>
      <c r="H230" t="s">
        <v>28</v>
      </c>
      <c r="I230" t="s">
        <v>46</v>
      </c>
      <c r="K230" t="s">
        <v>1301</v>
      </c>
      <c r="L230" t="s">
        <v>38</v>
      </c>
      <c r="M230" t="s">
        <v>49</v>
      </c>
      <c r="N230" t="s">
        <v>38</v>
      </c>
      <c r="O230" t="s">
        <v>1302</v>
      </c>
      <c r="P230" t="s">
        <v>49</v>
      </c>
      <c r="Q230" t="s">
        <v>1303</v>
      </c>
      <c r="R230" t="s">
        <v>1304</v>
      </c>
      <c r="S230" t="s">
        <v>135</v>
      </c>
      <c r="T230" t="s">
        <v>845</v>
      </c>
      <c r="U230" t="s">
        <v>1305</v>
      </c>
      <c r="V230" t="s">
        <v>129</v>
      </c>
    </row>
    <row r="231" spans="1:22" x14ac:dyDescent="0.35">
      <c r="A231" t="s">
        <v>1306</v>
      </c>
      <c r="B231" t="s">
        <v>1154</v>
      </c>
      <c r="C231" t="s">
        <v>449</v>
      </c>
      <c r="D231" t="s">
        <v>60</v>
      </c>
      <c r="E231" t="s">
        <v>60</v>
      </c>
      <c r="F231" t="s">
        <v>34</v>
      </c>
      <c r="G231" t="s">
        <v>34</v>
      </c>
      <c r="H231" t="s">
        <v>28</v>
      </c>
      <c r="I231" t="s">
        <v>36</v>
      </c>
      <c r="K231" t="s">
        <v>1078</v>
      </c>
      <c r="L231" t="s">
        <v>49</v>
      </c>
      <c r="M231" t="s">
        <v>48</v>
      </c>
      <c r="N231" t="s">
        <v>40</v>
      </c>
      <c r="O231" t="s">
        <v>1307</v>
      </c>
      <c r="P231" t="s">
        <v>40</v>
      </c>
      <c r="Q231" t="s">
        <v>1308</v>
      </c>
      <c r="R231" t="s">
        <v>1309</v>
      </c>
      <c r="S231" t="s">
        <v>135</v>
      </c>
      <c r="T231" t="s">
        <v>1082</v>
      </c>
      <c r="U231" t="s">
        <v>1310</v>
      </c>
      <c r="V231" t="s">
        <v>170</v>
      </c>
    </row>
    <row r="232" spans="1:22" x14ac:dyDescent="0.35">
      <c r="A232" t="s">
        <v>1311</v>
      </c>
      <c r="B232" t="s">
        <v>1312</v>
      </c>
      <c r="C232" t="s">
        <v>28</v>
      </c>
      <c r="D232" t="s">
        <v>28</v>
      </c>
      <c r="E232" t="s">
        <v>28</v>
      </c>
      <c r="F232" t="s">
        <v>103</v>
      </c>
      <c r="G232" t="s">
        <v>45</v>
      </c>
      <c r="H232" t="s">
        <v>45</v>
      </c>
      <c r="I232" t="s">
        <v>36</v>
      </c>
      <c r="K232" t="s">
        <v>1313</v>
      </c>
      <c r="L232" t="s">
        <v>48</v>
      </c>
      <c r="M232" t="s">
        <v>48</v>
      </c>
      <c r="N232" t="s">
        <v>49</v>
      </c>
      <c r="O232" t="s">
        <v>1314</v>
      </c>
      <c r="P232" t="s">
        <v>38</v>
      </c>
      <c r="Q232" t="s">
        <v>1315</v>
      </c>
      <c r="R232" t="s">
        <v>1316</v>
      </c>
      <c r="S232" t="s">
        <v>135</v>
      </c>
      <c r="T232" t="s">
        <v>1317</v>
      </c>
      <c r="U232" t="s">
        <v>1318</v>
      </c>
      <c r="V232" t="s">
        <v>91</v>
      </c>
    </row>
    <row r="233" spans="1:22" x14ac:dyDescent="0.35">
      <c r="A233" t="s">
        <v>1319</v>
      </c>
      <c r="B233" t="s">
        <v>1320</v>
      </c>
      <c r="C233" t="s">
        <v>28</v>
      </c>
      <c r="D233" t="s">
        <v>44</v>
      </c>
      <c r="E233" t="s">
        <v>284</v>
      </c>
      <c r="F233" t="s">
        <v>173</v>
      </c>
      <c r="G233" t="s">
        <v>45</v>
      </c>
      <c r="H233" t="s">
        <v>73</v>
      </c>
      <c r="I233" t="s">
        <v>46</v>
      </c>
      <c r="K233" t="s">
        <v>1321</v>
      </c>
      <c r="L233" t="s">
        <v>49</v>
      </c>
      <c r="M233" t="s">
        <v>49</v>
      </c>
      <c r="N233" t="s">
        <v>38</v>
      </c>
      <c r="O233" t="s">
        <v>1322</v>
      </c>
      <c r="P233" t="s">
        <v>48</v>
      </c>
      <c r="Q233" t="s">
        <v>1323</v>
      </c>
      <c r="R233" t="s">
        <v>1324</v>
      </c>
      <c r="S233" t="s">
        <v>135</v>
      </c>
      <c r="T233" t="s">
        <v>1082</v>
      </c>
      <c r="U233" t="s">
        <v>1325</v>
      </c>
      <c r="V233" t="s">
        <v>91</v>
      </c>
    </row>
    <row r="234" spans="1:22" x14ac:dyDescent="0.35">
      <c r="A234" t="s">
        <v>1326</v>
      </c>
      <c r="B234" t="s">
        <v>1327</v>
      </c>
      <c r="C234" t="s">
        <v>28</v>
      </c>
      <c r="D234" t="s">
        <v>28</v>
      </c>
      <c r="E234" t="s">
        <v>28</v>
      </c>
      <c r="F234" t="s">
        <v>28</v>
      </c>
      <c r="G234" t="s">
        <v>28</v>
      </c>
      <c r="H234" t="s">
        <v>28</v>
      </c>
      <c r="I234" t="s">
        <v>46</v>
      </c>
      <c r="K234" t="s">
        <v>1328</v>
      </c>
      <c r="L234" t="s">
        <v>38</v>
      </c>
      <c r="M234" t="s">
        <v>49</v>
      </c>
      <c r="N234" t="s">
        <v>38</v>
      </c>
      <c r="O234" t="s">
        <v>1329</v>
      </c>
      <c r="P234" t="s">
        <v>49</v>
      </c>
      <c r="Q234" t="s">
        <v>1329</v>
      </c>
      <c r="R234" t="s">
        <v>1330</v>
      </c>
      <c r="S234" t="s">
        <v>135</v>
      </c>
      <c r="T234" t="s">
        <v>1317</v>
      </c>
      <c r="U234" t="s">
        <v>1331</v>
      </c>
      <c r="V234" t="s">
        <v>129</v>
      </c>
    </row>
    <row r="235" spans="1:22" x14ac:dyDescent="0.35">
      <c r="A235" t="s">
        <v>1332</v>
      </c>
      <c r="B235" t="s">
        <v>1333</v>
      </c>
      <c r="C235" t="s">
        <v>71</v>
      </c>
      <c r="D235" t="s">
        <v>28</v>
      </c>
      <c r="E235" t="s">
        <v>206</v>
      </c>
      <c r="F235" t="s">
        <v>30</v>
      </c>
      <c r="G235" t="s">
        <v>28</v>
      </c>
      <c r="H235" t="s">
        <v>28</v>
      </c>
      <c r="I235" t="s">
        <v>36</v>
      </c>
      <c r="K235" t="s">
        <v>1334</v>
      </c>
      <c r="L235" t="s">
        <v>48</v>
      </c>
      <c r="M235" t="s">
        <v>48</v>
      </c>
      <c r="N235" t="s">
        <v>48</v>
      </c>
      <c r="O235" t="s">
        <v>1335</v>
      </c>
      <c r="P235" t="s">
        <v>49</v>
      </c>
      <c r="Q235" t="s">
        <v>1335</v>
      </c>
      <c r="R235" t="s">
        <v>1336</v>
      </c>
      <c r="S235" t="s">
        <v>87</v>
      </c>
      <c r="T235" t="s">
        <v>1030</v>
      </c>
      <c r="U235" t="s">
        <v>1337</v>
      </c>
      <c r="V235" t="s">
        <v>129</v>
      </c>
    </row>
    <row r="236" spans="1:22" x14ac:dyDescent="0.35">
      <c r="A236" t="s">
        <v>1338</v>
      </c>
      <c r="B236" t="s">
        <v>1339</v>
      </c>
      <c r="C236" t="s">
        <v>377</v>
      </c>
      <c r="D236" t="s">
        <v>44</v>
      </c>
      <c r="E236" t="s">
        <v>206</v>
      </c>
      <c r="F236" t="s">
        <v>173</v>
      </c>
      <c r="G236" t="s">
        <v>94</v>
      </c>
      <c r="H236" t="s">
        <v>73</v>
      </c>
      <c r="I236" t="s">
        <v>36</v>
      </c>
      <c r="K236" t="s">
        <v>1340</v>
      </c>
      <c r="L236" t="s">
        <v>49</v>
      </c>
      <c r="M236" t="s">
        <v>49</v>
      </c>
      <c r="N236" t="s">
        <v>40</v>
      </c>
      <c r="O236" t="s">
        <v>1341</v>
      </c>
      <c r="P236" t="s">
        <v>48</v>
      </c>
      <c r="Q236" t="s">
        <v>1342</v>
      </c>
      <c r="R236" t="s">
        <v>1343</v>
      </c>
      <c r="S236" t="s">
        <v>53</v>
      </c>
      <c r="T236" t="s">
        <v>1082</v>
      </c>
      <c r="U236" t="s">
        <v>965</v>
      </c>
      <c r="V236" t="s">
        <v>91</v>
      </c>
    </row>
    <row r="237" spans="1:22" x14ac:dyDescent="0.35">
      <c r="A237" t="s">
        <v>1344</v>
      </c>
      <c r="B237" t="s">
        <v>1345</v>
      </c>
      <c r="C237" t="s">
        <v>29</v>
      </c>
      <c r="D237" t="s">
        <v>33</v>
      </c>
      <c r="E237" t="s">
        <v>29</v>
      </c>
      <c r="F237" t="s">
        <v>30</v>
      </c>
      <c r="G237" t="s">
        <v>30</v>
      </c>
      <c r="H237" t="s">
        <v>45</v>
      </c>
      <c r="I237" t="s">
        <v>46</v>
      </c>
      <c r="K237" t="s">
        <v>1346</v>
      </c>
      <c r="L237" t="s">
        <v>48</v>
      </c>
      <c r="M237" t="s">
        <v>49</v>
      </c>
      <c r="N237" t="s">
        <v>49</v>
      </c>
      <c r="O237" t="s">
        <v>1347</v>
      </c>
      <c r="P237" t="s">
        <v>38</v>
      </c>
      <c r="Q237" t="s">
        <v>1348</v>
      </c>
      <c r="R237" t="s">
        <v>1349</v>
      </c>
      <c r="S237" t="s">
        <v>87</v>
      </c>
      <c r="T237" t="s">
        <v>1082</v>
      </c>
      <c r="U237" t="s">
        <v>759</v>
      </c>
      <c r="V237" t="s">
        <v>91</v>
      </c>
    </row>
    <row r="238" spans="1:22" x14ac:dyDescent="0.35">
      <c r="A238" t="s">
        <v>1350</v>
      </c>
      <c r="B238" t="s">
        <v>1351</v>
      </c>
      <c r="C238" t="s">
        <v>44</v>
      </c>
      <c r="D238" t="s">
        <v>28</v>
      </c>
      <c r="E238" t="s">
        <v>28</v>
      </c>
      <c r="F238" t="s">
        <v>28</v>
      </c>
      <c r="G238" t="s">
        <v>28</v>
      </c>
      <c r="H238" t="s">
        <v>35</v>
      </c>
      <c r="I238" t="s">
        <v>46</v>
      </c>
      <c r="K238" t="s">
        <v>1352</v>
      </c>
      <c r="L238" t="s">
        <v>49</v>
      </c>
      <c r="M238" t="s">
        <v>49</v>
      </c>
      <c r="N238" t="s">
        <v>38</v>
      </c>
      <c r="O238" t="s">
        <v>1353</v>
      </c>
      <c r="P238" t="s">
        <v>38</v>
      </c>
      <c r="Q238" t="s">
        <v>1354</v>
      </c>
      <c r="R238" t="s">
        <v>1355</v>
      </c>
      <c r="S238" t="s">
        <v>87</v>
      </c>
      <c r="T238" t="s">
        <v>1030</v>
      </c>
      <c r="U238" t="s">
        <v>1357</v>
      </c>
      <c r="V238" t="s">
        <v>129</v>
      </c>
    </row>
    <row r="239" spans="1:22" x14ac:dyDescent="0.35">
      <c r="A239" t="s">
        <v>1358</v>
      </c>
      <c r="B239" t="s">
        <v>1099</v>
      </c>
      <c r="C239" t="s">
        <v>29</v>
      </c>
      <c r="D239" t="s">
        <v>29</v>
      </c>
      <c r="E239" t="s">
        <v>29</v>
      </c>
      <c r="F239" t="s">
        <v>103</v>
      </c>
      <c r="G239" t="s">
        <v>103</v>
      </c>
      <c r="H239" t="s">
        <v>45</v>
      </c>
      <c r="I239" t="s">
        <v>36</v>
      </c>
      <c r="K239" t="s">
        <v>1359</v>
      </c>
      <c r="L239" t="s">
        <v>48</v>
      </c>
      <c r="M239" t="s">
        <v>49</v>
      </c>
      <c r="N239" t="s">
        <v>49</v>
      </c>
      <c r="O239" t="s">
        <v>1360</v>
      </c>
      <c r="P239" t="s">
        <v>49</v>
      </c>
      <c r="Q239" t="s">
        <v>1361</v>
      </c>
      <c r="R239" t="s">
        <v>1362</v>
      </c>
      <c r="S239" t="s">
        <v>87</v>
      </c>
      <c r="T239" t="s">
        <v>1082</v>
      </c>
      <c r="U239" t="s">
        <v>1363</v>
      </c>
      <c r="V239" t="s">
        <v>170</v>
      </c>
    </row>
    <row r="240" spans="1:22" x14ac:dyDescent="0.35">
      <c r="A240" t="s">
        <v>1364</v>
      </c>
      <c r="B240" t="s">
        <v>1365</v>
      </c>
      <c r="C240" t="s">
        <v>28</v>
      </c>
      <c r="D240" t="s">
        <v>28</v>
      </c>
      <c r="E240" t="s">
        <v>28</v>
      </c>
      <c r="F240" t="s">
        <v>28</v>
      </c>
      <c r="G240" t="s">
        <v>28</v>
      </c>
      <c r="H240" t="s">
        <v>28</v>
      </c>
      <c r="I240" t="s">
        <v>36</v>
      </c>
      <c r="K240" t="s">
        <v>1366</v>
      </c>
      <c r="L240" t="s">
        <v>49</v>
      </c>
      <c r="M240" t="s">
        <v>38</v>
      </c>
      <c r="N240" t="s">
        <v>49</v>
      </c>
      <c r="O240" t="s">
        <v>1367</v>
      </c>
      <c r="P240" t="s">
        <v>38</v>
      </c>
      <c r="Q240" t="s">
        <v>1368</v>
      </c>
      <c r="R240" t="s">
        <v>1369</v>
      </c>
      <c r="S240" t="s">
        <v>53</v>
      </c>
      <c r="T240" t="s">
        <v>1030</v>
      </c>
      <c r="U240" t="s">
        <v>1371</v>
      </c>
      <c r="V240" t="s">
        <v>57</v>
      </c>
    </row>
    <row r="241" spans="1:22" x14ac:dyDescent="0.35">
      <c r="A241" t="s">
        <v>1372</v>
      </c>
      <c r="B241" t="s">
        <v>1373</v>
      </c>
      <c r="C241" t="s">
        <v>28</v>
      </c>
      <c r="D241" t="s">
        <v>28</v>
      </c>
      <c r="E241" t="s">
        <v>28</v>
      </c>
      <c r="F241" t="s">
        <v>28</v>
      </c>
      <c r="G241" t="s">
        <v>28</v>
      </c>
      <c r="H241" t="s">
        <v>28</v>
      </c>
      <c r="I241" t="s">
        <v>36</v>
      </c>
      <c r="K241" t="s">
        <v>1374</v>
      </c>
      <c r="L241" t="s">
        <v>38</v>
      </c>
      <c r="M241" t="s">
        <v>38</v>
      </c>
      <c r="N241" t="s">
        <v>38</v>
      </c>
      <c r="O241" t="s">
        <v>1375</v>
      </c>
      <c r="P241" t="s">
        <v>38</v>
      </c>
      <c r="Q241" t="s">
        <v>1375</v>
      </c>
      <c r="R241" t="s">
        <v>1376</v>
      </c>
      <c r="S241" t="s">
        <v>53</v>
      </c>
      <c r="T241" t="s">
        <v>1378</v>
      </c>
      <c r="U241" t="s">
        <v>1099</v>
      </c>
      <c r="V241" t="s">
        <v>170</v>
      </c>
    </row>
    <row r="242" spans="1:22" x14ac:dyDescent="0.35">
      <c r="A242" t="s">
        <v>1379</v>
      </c>
      <c r="B242" t="s">
        <v>1380</v>
      </c>
      <c r="C242" t="s">
        <v>71</v>
      </c>
      <c r="D242" t="s">
        <v>28</v>
      </c>
      <c r="E242" t="s">
        <v>28</v>
      </c>
      <c r="F242" t="s">
        <v>28</v>
      </c>
      <c r="G242" t="s">
        <v>28</v>
      </c>
      <c r="H242" t="s">
        <v>28</v>
      </c>
      <c r="I242" t="s">
        <v>46</v>
      </c>
      <c r="K242" t="s">
        <v>1381</v>
      </c>
      <c r="L242" t="s">
        <v>49</v>
      </c>
      <c r="M242" t="s">
        <v>49</v>
      </c>
      <c r="N242" t="s">
        <v>49</v>
      </c>
      <c r="O242" t="s">
        <v>1382</v>
      </c>
      <c r="P242" t="s">
        <v>49</v>
      </c>
      <c r="Q242" t="s">
        <v>1383</v>
      </c>
      <c r="R242" t="s">
        <v>1384</v>
      </c>
      <c r="S242" t="s">
        <v>79</v>
      </c>
      <c r="T242" t="s">
        <v>1386</v>
      </c>
      <c r="U242" t="s">
        <v>1387</v>
      </c>
      <c r="V242" t="s">
        <v>91</v>
      </c>
    </row>
    <row r="243" spans="1:22" x14ac:dyDescent="0.35">
      <c r="A243" t="s">
        <v>1388</v>
      </c>
      <c r="B243" t="s">
        <v>1389</v>
      </c>
      <c r="C243" t="s">
        <v>28</v>
      </c>
      <c r="D243" t="s">
        <v>28</v>
      </c>
      <c r="E243" t="s">
        <v>28</v>
      </c>
      <c r="F243" t="s">
        <v>28</v>
      </c>
      <c r="G243" t="s">
        <v>28</v>
      </c>
      <c r="H243" t="s">
        <v>28</v>
      </c>
      <c r="I243" t="s">
        <v>36</v>
      </c>
      <c r="K243" t="s">
        <v>1390</v>
      </c>
      <c r="L243" t="s">
        <v>48</v>
      </c>
      <c r="M243" t="s">
        <v>48</v>
      </c>
      <c r="N243" t="s">
        <v>48</v>
      </c>
      <c r="O243" t="s">
        <v>1391</v>
      </c>
      <c r="P243" t="s">
        <v>48</v>
      </c>
      <c r="Q243" t="s">
        <v>1392</v>
      </c>
      <c r="R243" t="s">
        <v>1393</v>
      </c>
      <c r="S243" t="s">
        <v>53</v>
      </c>
      <c r="T243" t="s">
        <v>1395</v>
      </c>
      <c r="U243" t="s">
        <v>1158</v>
      </c>
      <c r="V243" t="s">
        <v>129</v>
      </c>
    </row>
    <row r="244" spans="1:22" x14ac:dyDescent="0.35">
      <c r="A244" t="s">
        <v>1396</v>
      </c>
      <c r="B244" t="s">
        <v>1397</v>
      </c>
      <c r="C244" t="s">
        <v>28</v>
      </c>
      <c r="D244" t="s">
        <v>28</v>
      </c>
      <c r="E244" t="s">
        <v>28</v>
      </c>
      <c r="F244" t="s">
        <v>28</v>
      </c>
      <c r="G244" t="s">
        <v>28</v>
      </c>
      <c r="H244" t="s">
        <v>28</v>
      </c>
      <c r="I244" t="s">
        <v>46</v>
      </c>
      <c r="K244" t="s">
        <v>1374</v>
      </c>
      <c r="L244" t="s">
        <v>49</v>
      </c>
      <c r="M244" t="s">
        <v>49</v>
      </c>
      <c r="N244" t="s">
        <v>49</v>
      </c>
      <c r="O244" t="s">
        <v>1398</v>
      </c>
      <c r="P244" t="s">
        <v>49</v>
      </c>
      <c r="Q244" t="s">
        <v>1399</v>
      </c>
      <c r="R244" t="s">
        <v>1400</v>
      </c>
      <c r="S244" t="s">
        <v>135</v>
      </c>
      <c r="T244" t="s">
        <v>1395</v>
      </c>
      <c r="U244" t="s">
        <v>1357</v>
      </c>
      <c r="V244" t="s">
        <v>129</v>
      </c>
    </row>
    <row r="245" spans="1:22" x14ac:dyDescent="0.35">
      <c r="A245" t="s">
        <v>1402</v>
      </c>
      <c r="B245" t="s">
        <v>1403</v>
      </c>
      <c r="C245" t="s">
        <v>28</v>
      </c>
      <c r="D245" t="s">
        <v>28</v>
      </c>
      <c r="E245" t="s">
        <v>28</v>
      </c>
      <c r="F245" t="s">
        <v>28</v>
      </c>
      <c r="G245" t="s">
        <v>28</v>
      </c>
      <c r="H245" t="s">
        <v>28</v>
      </c>
      <c r="I245" t="s">
        <v>36</v>
      </c>
      <c r="K245" t="s">
        <v>1404</v>
      </c>
      <c r="L245" t="s">
        <v>38</v>
      </c>
      <c r="M245" t="s">
        <v>38</v>
      </c>
      <c r="N245" t="s">
        <v>38</v>
      </c>
      <c r="O245" t="s">
        <v>1405</v>
      </c>
      <c r="P245" t="s">
        <v>38</v>
      </c>
      <c r="Q245" t="s">
        <v>1406</v>
      </c>
      <c r="R245" t="s">
        <v>1407</v>
      </c>
      <c r="S245" t="s">
        <v>87</v>
      </c>
      <c r="T245" t="s">
        <v>1395</v>
      </c>
      <c r="U245" t="s">
        <v>1371</v>
      </c>
      <c r="V245" t="s">
        <v>57</v>
      </c>
    </row>
    <row r="246" spans="1:22" x14ac:dyDescent="0.35">
      <c r="A246" t="s">
        <v>1408</v>
      </c>
      <c r="B246" t="s">
        <v>1409</v>
      </c>
      <c r="C246" t="s">
        <v>28</v>
      </c>
      <c r="D246" t="s">
        <v>28</v>
      </c>
      <c r="E246" t="s">
        <v>28</v>
      </c>
      <c r="F246" t="s">
        <v>28</v>
      </c>
      <c r="G246" t="s">
        <v>28</v>
      </c>
      <c r="H246" t="s">
        <v>28</v>
      </c>
      <c r="I246" t="s">
        <v>46</v>
      </c>
      <c r="K246" t="s">
        <v>1410</v>
      </c>
      <c r="L246" t="s">
        <v>38</v>
      </c>
      <c r="M246" t="s">
        <v>38</v>
      </c>
      <c r="N246" t="s">
        <v>38</v>
      </c>
      <c r="O246" t="s">
        <v>1411</v>
      </c>
      <c r="P246" t="s">
        <v>38</v>
      </c>
      <c r="Q246" t="s">
        <v>1412</v>
      </c>
      <c r="R246" t="s">
        <v>1413</v>
      </c>
      <c r="S246" t="s">
        <v>135</v>
      </c>
      <c r="T246" t="s">
        <v>1378</v>
      </c>
      <c r="U246" t="s">
        <v>1414</v>
      </c>
      <c r="V246" t="s">
        <v>91</v>
      </c>
    </row>
    <row r="247" spans="1:22" x14ac:dyDescent="0.35">
      <c r="A247" t="s">
        <v>1415</v>
      </c>
      <c r="B247" t="s">
        <v>1416</v>
      </c>
      <c r="C247" t="s">
        <v>28</v>
      </c>
      <c r="D247" t="s">
        <v>28</v>
      </c>
      <c r="E247" t="s">
        <v>28</v>
      </c>
      <c r="F247" t="s">
        <v>28</v>
      </c>
      <c r="G247" t="s">
        <v>28</v>
      </c>
      <c r="H247" t="s">
        <v>28</v>
      </c>
      <c r="I247" t="s">
        <v>36</v>
      </c>
      <c r="K247" t="s">
        <v>1417</v>
      </c>
      <c r="L247" t="s">
        <v>48</v>
      </c>
      <c r="M247" t="s">
        <v>48</v>
      </c>
      <c r="N247" t="s">
        <v>48</v>
      </c>
      <c r="O247" t="s">
        <v>1418</v>
      </c>
      <c r="P247" t="s">
        <v>48</v>
      </c>
      <c r="Q247" t="s">
        <v>1419</v>
      </c>
      <c r="R247" t="s">
        <v>1420</v>
      </c>
      <c r="S247" t="s">
        <v>53</v>
      </c>
      <c r="T247" t="s">
        <v>1378</v>
      </c>
      <c r="U247" t="s">
        <v>1422</v>
      </c>
      <c r="V247" t="s">
        <v>129</v>
      </c>
    </row>
    <row r="248" spans="1:22" x14ac:dyDescent="0.35">
      <c r="A248" t="s">
        <v>1423</v>
      </c>
      <c r="B248" t="s">
        <v>1275</v>
      </c>
      <c r="C248" t="s">
        <v>28</v>
      </c>
      <c r="D248" t="s">
        <v>28</v>
      </c>
      <c r="E248" t="s">
        <v>28</v>
      </c>
      <c r="F248" t="s">
        <v>28</v>
      </c>
      <c r="G248" t="s">
        <v>28</v>
      </c>
      <c r="H248" t="s">
        <v>28</v>
      </c>
      <c r="I248" t="s">
        <v>46</v>
      </c>
      <c r="K248" t="s">
        <v>1424</v>
      </c>
      <c r="L248" t="s">
        <v>48</v>
      </c>
      <c r="M248" t="s">
        <v>49</v>
      </c>
      <c r="N248" t="s">
        <v>49</v>
      </c>
      <c r="O248" t="s">
        <v>1425</v>
      </c>
      <c r="P248" t="s">
        <v>49</v>
      </c>
      <c r="Q248" t="s">
        <v>1426</v>
      </c>
      <c r="R248" t="s">
        <v>1427</v>
      </c>
      <c r="S248" t="s">
        <v>135</v>
      </c>
      <c r="T248" t="s">
        <v>1386</v>
      </c>
      <c r="U248" t="s">
        <v>1280</v>
      </c>
      <c r="V248" t="s">
        <v>129</v>
      </c>
    </row>
    <row r="249" spans="1:22" x14ac:dyDescent="0.35">
      <c r="A249" t="s">
        <v>1428</v>
      </c>
      <c r="B249" t="s">
        <v>1429</v>
      </c>
      <c r="C249" t="s">
        <v>28</v>
      </c>
      <c r="D249" t="s">
        <v>28</v>
      </c>
      <c r="E249" t="s">
        <v>28</v>
      </c>
      <c r="F249" t="s">
        <v>28</v>
      </c>
      <c r="G249" t="s">
        <v>28</v>
      </c>
      <c r="H249" t="s">
        <v>28</v>
      </c>
      <c r="I249" t="s">
        <v>36</v>
      </c>
      <c r="K249" t="s">
        <v>1430</v>
      </c>
      <c r="L249" t="s">
        <v>48</v>
      </c>
      <c r="M249" t="s">
        <v>48</v>
      </c>
      <c r="N249" t="s">
        <v>48</v>
      </c>
      <c r="O249" t="s">
        <v>1431</v>
      </c>
      <c r="P249" t="s">
        <v>48</v>
      </c>
      <c r="Q249" t="s">
        <v>1432</v>
      </c>
      <c r="R249" t="s">
        <v>1433</v>
      </c>
      <c r="S249" t="s">
        <v>53</v>
      </c>
      <c r="T249" t="s">
        <v>1395</v>
      </c>
      <c r="U249" t="s">
        <v>1434</v>
      </c>
      <c r="V249" t="s">
        <v>170</v>
      </c>
    </row>
    <row r="250" spans="1:22" x14ac:dyDescent="0.35">
      <c r="A250" t="s">
        <v>1062</v>
      </c>
      <c r="B250" t="s">
        <v>1435</v>
      </c>
      <c r="C250" t="s">
        <v>28</v>
      </c>
      <c r="D250" t="s">
        <v>29</v>
      </c>
      <c r="E250" t="s">
        <v>60</v>
      </c>
      <c r="F250" t="s">
        <v>34</v>
      </c>
      <c r="G250" t="s">
        <v>173</v>
      </c>
      <c r="H250" t="s">
        <v>28</v>
      </c>
      <c r="I250" t="s">
        <v>36</v>
      </c>
      <c r="K250" t="s">
        <v>1436</v>
      </c>
      <c r="L250" t="s">
        <v>38</v>
      </c>
      <c r="M250" t="s">
        <v>49</v>
      </c>
      <c r="N250" t="s">
        <v>49</v>
      </c>
      <c r="O250" t="s">
        <v>1437</v>
      </c>
      <c r="P250" t="s">
        <v>40</v>
      </c>
      <c r="Q250" t="s">
        <v>1438</v>
      </c>
      <c r="R250" t="s">
        <v>1439</v>
      </c>
      <c r="S250" t="s">
        <v>65</v>
      </c>
      <c r="T250" t="s">
        <v>1386</v>
      </c>
      <c r="U250" t="s">
        <v>1440</v>
      </c>
      <c r="V250" t="s">
        <v>129</v>
      </c>
    </row>
    <row r="251" spans="1:22" x14ac:dyDescent="0.35">
      <c r="A251" t="s">
        <v>1191</v>
      </c>
      <c r="B251" t="s">
        <v>1441</v>
      </c>
      <c r="C251" t="s">
        <v>33</v>
      </c>
      <c r="D251" t="s">
        <v>28</v>
      </c>
      <c r="E251" t="s">
        <v>60</v>
      </c>
      <c r="F251" t="s">
        <v>34</v>
      </c>
      <c r="G251" t="s">
        <v>94</v>
      </c>
      <c r="H251" t="s">
        <v>28</v>
      </c>
      <c r="I251" t="s">
        <v>46</v>
      </c>
      <c r="K251" t="s">
        <v>1390</v>
      </c>
      <c r="L251" t="s">
        <v>38</v>
      </c>
      <c r="M251" t="s">
        <v>48</v>
      </c>
      <c r="N251" t="s">
        <v>48</v>
      </c>
      <c r="O251" t="s">
        <v>1442</v>
      </c>
      <c r="P251" t="s">
        <v>40</v>
      </c>
      <c r="Q251" t="s">
        <v>1443</v>
      </c>
      <c r="R251" t="s">
        <v>1444</v>
      </c>
      <c r="S251" t="s">
        <v>53</v>
      </c>
      <c r="T251" t="s">
        <v>1386</v>
      </c>
      <c r="U251" t="s">
        <v>694</v>
      </c>
      <c r="V251" t="s">
        <v>57</v>
      </c>
    </row>
    <row r="252" spans="1:22" x14ac:dyDescent="0.35">
      <c r="A252" t="s">
        <v>1446</v>
      </c>
      <c r="B252" t="s">
        <v>1447</v>
      </c>
      <c r="C252" t="s">
        <v>28</v>
      </c>
      <c r="D252" t="s">
        <v>33</v>
      </c>
      <c r="E252" t="s">
        <v>60</v>
      </c>
      <c r="F252" t="s">
        <v>196</v>
      </c>
      <c r="G252" t="s">
        <v>30</v>
      </c>
      <c r="H252" t="s">
        <v>28</v>
      </c>
      <c r="I252" t="s">
        <v>36</v>
      </c>
      <c r="K252" t="s">
        <v>1448</v>
      </c>
      <c r="L252" t="s">
        <v>38</v>
      </c>
      <c r="M252" t="s">
        <v>48</v>
      </c>
      <c r="N252" t="s">
        <v>38</v>
      </c>
      <c r="O252" t="s">
        <v>1449</v>
      </c>
      <c r="P252" t="s">
        <v>49</v>
      </c>
      <c r="Q252" t="s">
        <v>1450</v>
      </c>
      <c r="R252" t="s">
        <v>1451</v>
      </c>
      <c r="S252" t="s">
        <v>79</v>
      </c>
      <c r="T252" t="s">
        <v>1386</v>
      </c>
      <c r="U252" t="s">
        <v>751</v>
      </c>
      <c r="V252" t="s">
        <v>170</v>
      </c>
    </row>
    <row r="253" spans="1:22" x14ac:dyDescent="0.35">
      <c r="A253" t="s">
        <v>1453</v>
      </c>
      <c r="B253" t="s">
        <v>1454</v>
      </c>
      <c r="C253" t="s">
        <v>28</v>
      </c>
      <c r="D253" t="s">
        <v>28</v>
      </c>
      <c r="E253" t="s">
        <v>28</v>
      </c>
      <c r="F253" t="s">
        <v>103</v>
      </c>
      <c r="G253" t="s">
        <v>45</v>
      </c>
      <c r="H253" t="s">
        <v>35</v>
      </c>
      <c r="I253" t="s">
        <v>46</v>
      </c>
      <c r="K253" t="s">
        <v>1410</v>
      </c>
      <c r="L253" t="s">
        <v>49</v>
      </c>
      <c r="M253" t="s">
        <v>49</v>
      </c>
      <c r="N253" t="s">
        <v>49</v>
      </c>
      <c r="O253" t="s">
        <v>1455</v>
      </c>
      <c r="P253" t="s">
        <v>49</v>
      </c>
      <c r="Q253" t="s">
        <v>1456</v>
      </c>
      <c r="R253" t="s">
        <v>1457</v>
      </c>
      <c r="S253" t="s">
        <v>53</v>
      </c>
      <c r="T253" t="s">
        <v>1386</v>
      </c>
      <c r="U253" t="s">
        <v>1422</v>
      </c>
      <c r="V253" t="s">
        <v>91</v>
      </c>
    </row>
    <row r="254" spans="1:22" x14ac:dyDescent="0.35">
      <c r="A254" t="s">
        <v>1458</v>
      </c>
      <c r="B254" t="s">
        <v>1345</v>
      </c>
      <c r="C254" t="s">
        <v>33</v>
      </c>
      <c r="D254" t="s">
        <v>196</v>
      </c>
      <c r="E254" t="s">
        <v>206</v>
      </c>
      <c r="F254" t="s">
        <v>28</v>
      </c>
      <c r="G254" t="s">
        <v>30</v>
      </c>
      <c r="H254" t="s">
        <v>292</v>
      </c>
      <c r="I254" t="s">
        <v>46</v>
      </c>
      <c r="K254" t="s">
        <v>1381</v>
      </c>
      <c r="L254" t="s">
        <v>38</v>
      </c>
      <c r="M254" t="s">
        <v>48</v>
      </c>
      <c r="N254" t="s">
        <v>49</v>
      </c>
      <c r="O254" t="s">
        <v>1459</v>
      </c>
      <c r="P254" t="s">
        <v>48</v>
      </c>
      <c r="Q254" t="s">
        <v>1460</v>
      </c>
      <c r="R254" t="s">
        <v>1461</v>
      </c>
      <c r="S254" t="s">
        <v>65</v>
      </c>
      <c r="T254" t="s">
        <v>1378</v>
      </c>
      <c r="U254" t="s">
        <v>1462</v>
      </c>
      <c r="V254" t="s">
        <v>91</v>
      </c>
    </row>
    <row r="255" spans="1:22" x14ac:dyDescent="0.35">
      <c r="A255" t="s">
        <v>1463</v>
      </c>
      <c r="B255" t="s">
        <v>1464</v>
      </c>
      <c r="C255" t="s">
        <v>344</v>
      </c>
      <c r="D255" t="s">
        <v>28</v>
      </c>
      <c r="E255" t="s">
        <v>29</v>
      </c>
      <c r="F255" t="s">
        <v>30</v>
      </c>
      <c r="G255" t="s">
        <v>28</v>
      </c>
      <c r="H255" t="s">
        <v>94</v>
      </c>
      <c r="I255" t="s">
        <v>36</v>
      </c>
      <c r="K255" t="s">
        <v>1436</v>
      </c>
      <c r="L255" t="s">
        <v>38</v>
      </c>
      <c r="M255" t="s">
        <v>48</v>
      </c>
      <c r="N255" t="s">
        <v>49</v>
      </c>
      <c r="O255" t="s">
        <v>1465</v>
      </c>
      <c r="P255" t="s">
        <v>49</v>
      </c>
      <c r="Q255" t="s">
        <v>1465</v>
      </c>
      <c r="R255" t="s">
        <v>1466</v>
      </c>
      <c r="S255" t="s">
        <v>65</v>
      </c>
      <c r="T255" t="s">
        <v>1395</v>
      </c>
      <c r="U255" t="s">
        <v>1061</v>
      </c>
      <c r="V255" t="s">
        <v>57</v>
      </c>
    </row>
    <row r="256" spans="1:22" x14ac:dyDescent="0.35">
      <c r="A256" t="s">
        <v>1468</v>
      </c>
      <c r="B256" t="s">
        <v>1469</v>
      </c>
      <c r="C256" t="s">
        <v>344</v>
      </c>
      <c r="D256" t="s">
        <v>28</v>
      </c>
      <c r="E256" t="s">
        <v>29</v>
      </c>
      <c r="F256" t="s">
        <v>30</v>
      </c>
      <c r="G256" t="s">
        <v>173</v>
      </c>
      <c r="H256" t="s">
        <v>94</v>
      </c>
      <c r="I256" t="s">
        <v>46</v>
      </c>
      <c r="K256" t="s">
        <v>1470</v>
      </c>
      <c r="L256" t="s">
        <v>49</v>
      </c>
      <c r="M256" t="s">
        <v>49</v>
      </c>
      <c r="N256" t="s">
        <v>38</v>
      </c>
      <c r="O256" t="s">
        <v>1471</v>
      </c>
      <c r="P256" t="s">
        <v>40</v>
      </c>
      <c r="Q256" t="s">
        <v>1472</v>
      </c>
      <c r="R256" t="s">
        <v>1473</v>
      </c>
      <c r="S256" t="s">
        <v>79</v>
      </c>
      <c r="T256" t="s">
        <v>1386</v>
      </c>
      <c r="U256" t="s">
        <v>1475</v>
      </c>
      <c r="V256" t="s">
        <v>129</v>
      </c>
    </row>
    <row r="257" spans="1:22" x14ac:dyDescent="0.35">
      <c r="A257" t="s">
        <v>1476</v>
      </c>
      <c r="B257" t="s">
        <v>1041</v>
      </c>
      <c r="C257" t="s">
        <v>28</v>
      </c>
      <c r="D257" t="s">
        <v>60</v>
      </c>
      <c r="E257" t="s">
        <v>73</v>
      </c>
      <c r="F257" t="s">
        <v>173</v>
      </c>
      <c r="G257" t="s">
        <v>368</v>
      </c>
      <c r="H257" t="s">
        <v>94</v>
      </c>
      <c r="I257" t="s">
        <v>36</v>
      </c>
      <c r="K257" t="s">
        <v>1477</v>
      </c>
      <c r="L257" t="s">
        <v>48</v>
      </c>
      <c r="M257" t="s">
        <v>48</v>
      </c>
      <c r="N257" t="s">
        <v>40</v>
      </c>
      <c r="O257" t="s">
        <v>1478</v>
      </c>
      <c r="P257" t="s">
        <v>48</v>
      </c>
      <c r="Q257" t="s">
        <v>1479</v>
      </c>
      <c r="R257" t="s">
        <v>1480</v>
      </c>
      <c r="S257" t="s">
        <v>79</v>
      </c>
      <c r="T257" t="s">
        <v>1481</v>
      </c>
      <c r="U257" t="s">
        <v>759</v>
      </c>
      <c r="V257" t="s">
        <v>91</v>
      </c>
    </row>
    <row r="258" spans="1:22" x14ac:dyDescent="0.35">
      <c r="A258" t="s">
        <v>1482</v>
      </c>
      <c r="B258" t="s">
        <v>1112</v>
      </c>
      <c r="C258" t="s">
        <v>28</v>
      </c>
      <c r="D258" t="s">
        <v>33</v>
      </c>
      <c r="E258" t="s">
        <v>29</v>
      </c>
      <c r="F258" t="s">
        <v>30</v>
      </c>
      <c r="G258" t="s">
        <v>30</v>
      </c>
      <c r="H258" t="s">
        <v>45</v>
      </c>
      <c r="I258" t="s">
        <v>46</v>
      </c>
      <c r="K258" t="s">
        <v>1483</v>
      </c>
      <c r="L258" t="s">
        <v>48</v>
      </c>
      <c r="M258" t="s">
        <v>48</v>
      </c>
      <c r="N258" t="s">
        <v>39</v>
      </c>
      <c r="O258" t="s">
        <v>1484</v>
      </c>
      <c r="P258" t="s">
        <v>38</v>
      </c>
      <c r="Q258" t="s">
        <v>1485</v>
      </c>
      <c r="R258" t="s">
        <v>1486</v>
      </c>
      <c r="S258" t="s">
        <v>65</v>
      </c>
      <c r="T258" t="s">
        <v>1481</v>
      </c>
      <c r="U258" t="s">
        <v>1235</v>
      </c>
      <c r="V258" t="s">
        <v>57</v>
      </c>
    </row>
    <row r="259" spans="1:22" x14ac:dyDescent="0.35">
      <c r="A259" t="s">
        <v>1487</v>
      </c>
      <c r="B259" t="s">
        <v>1488</v>
      </c>
      <c r="C259" t="s">
        <v>28</v>
      </c>
      <c r="D259" t="s">
        <v>158</v>
      </c>
      <c r="E259" t="s">
        <v>60</v>
      </c>
      <c r="F259" t="s">
        <v>158</v>
      </c>
      <c r="G259" t="s">
        <v>173</v>
      </c>
      <c r="H259" t="s">
        <v>292</v>
      </c>
      <c r="I259" t="s">
        <v>36</v>
      </c>
      <c r="K259" t="s">
        <v>1489</v>
      </c>
      <c r="L259" t="s">
        <v>49</v>
      </c>
      <c r="M259" t="s">
        <v>49</v>
      </c>
      <c r="N259" t="s">
        <v>48</v>
      </c>
      <c r="O259" t="s">
        <v>1490</v>
      </c>
      <c r="P259" t="s">
        <v>38</v>
      </c>
      <c r="Q259" t="s">
        <v>1491</v>
      </c>
      <c r="R259" t="s">
        <v>1492</v>
      </c>
      <c r="S259" t="s">
        <v>79</v>
      </c>
      <c r="T259" t="s">
        <v>1481</v>
      </c>
      <c r="U259" t="s">
        <v>376</v>
      </c>
      <c r="V259" t="s">
        <v>129</v>
      </c>
    </row>
    <row r="260" spans="1:22" x14ac:dyDescent="0.35">
      <c r="A260" t="s">
        <v>1493</v>
      </c>
      <c r="B260" t="s">
        <v>1494</v>
      </c>
      <c r="C260" t="s">
        <v>28</v>
      </c>
      <c r="D260" t="s">
        <v>197</v>
      </c>
      <c r="E260" t="s">
        <v>60</v>
      </c>
      <c r="F260" t="s">
        <v>197</v>
      </c>
      <c r="G260" t="s">
        <v>28</v>
      </c>
      <c r="H260" t="s">
        <v>292</v>
      </c>
      <c r="I260" t="s">
        <v>46</v>
      </c>
      <c r="K260" t="s">
        <v>1495</v>
      </c>
      <c r="L260" t="s">
        <v>49</v>
      </c>
      <c r="M260" t="s">
        <v>49</v>
      </c>
      <c r="N260" t="s">
        <v>48</v>
      </c>
      <c r="O260" t="s">
        <v>1496</v>
      </c>
      <c r="P260" t="s">
        <v>38</v>
      </c>
      <c r="Q260" t="s">
        <v>1497</v>
      </c>
      <c r="R260" t="s">
        <v>1498</v>
      </c>
      <c r="S260" t="s">
        <v>79</v>
      </c>
      <c r="T260" t="s">
        <v>1481</v>
      </c>
      <c r="U260" t="s">
        <v>1499</v>
      </c>
      <c r="V260" t="s">
        <v>91</v>
      </c>
    </row>
    <row r="261" spans="1:22" x14ac:dyDescent="0.35">
      <c r="A261" t="s">
        <v>1500</v>
      </c>
      <c r="B261" t="s">
        <v>1501</v>
      </c>
      <c r="C261" t="s">
        <v>28</v>
      </c>
      <c r="D261" t="s">
        <v>60</v>
      </c>
      <c r="E261" t="s">
        <v>206</v>
      </c>
      <c r="F261" t="s">
        <v>173</v>
      </c>
      <c r="G261" t="s">
        <v>45</v>
      </c>
      <c r="H261" t="s">
        <v>73</v>
      </c>
      <c r="I261" t="s">
        <v>36</v>
      </c>
      <c r="K261" t="s">
        <v>1477</v>
      </c>
      <c r="L261" t="s">
        <v>49</v>
      </c>
      <c r="M261" t="s">
        <v>49</v>
      </c>
      <c r="N261" t="s">
        <v>39</v>
      </c>
      <c r="O261" t="s">
        <v>1502</v>
      </c>
      <c r="P261" t="s">
        <v>48</v>
      </c>
      <c r="Q261" t="s">
        <v>1503</v>
      </c>
      <c r="R261" t="s">
        <v>1504</v>
      </c>
      <c r="S261" t="s">
        <v>65</v>
      </c>
      <c r="T261" t="s">
        <v>1481</v>
      </c>
      <c r="U261" t="s">
        <v>1061</v>
      </c>
      <c r="V261" t="s">
        <v>129</v>
      </c>
    </row>
    <row r="262" spans="1:22" x14ac:dyDescent="0.35">
      <c r="A262" t="s">
        <v>1505</v>
      </c>
      <c r="B262" t="s">
        <v>1506</v>
      </c>
      <c r="C262" t="s">
        <v>449</v>
      </c>
      <c r="D262" t="s">
        <v>60</v>
      </c>
      <c r="E262" t="s">
        <v>60</v>
      </c>
      <c r="F262" t="s">
        <v>34</v>
      </c>
      <c r="G262" t="s">
        <v>30</v>
      </c>
      <c r="H262" t="s">
        <v>45</v>
      </c>
      <c r="I262" t="s">
        <v>46</v>
      </c>
      <c r="K262" t="s">
        <v>1507</v>
      </c>
      <c r="L262" t="s">
        <v>48</v>
      </c>
      <c r="M262" t="s">
        <v>48</v>
      </c>
      <c r="N262" t="s">
        <v>40</v>
      </c>
      <c r="O262" t="s">
        <v>1508</v>
      </c>
      <c r="P262" t="s">
        <v>38</v>
      </c>
      <c r="Q262" t="s">
        <v>1509</v>
      </c>
      <c r="R262" t="s">
        <v>1510</v>
      </c>
      <c r="S262" t="s">
        <v>53</v>
      </c>
      <c r="T262" t="s">
        <v>1481</v>
      </c>
      <c r="U262" t="s">
        <v>694</v>
      </c>
      <c r="V262" t="s">
        <v>129</v>
      </c>
    </row>
    <row r="263" spans="1:22" x14ac:dyDescent="0.35">
      <c r="A263" t="s">
        <v>1511</v>
      </c>
      <c r="B263" t="s">
        <v>1085</v>
      </c>
      <c r="C263" t="s">
        <v>28</v>
      </c>
      <c r="D263" t="s">
        <v>196</v>
      </c>
      <c r="E263" t="s">
        <v>60</v>
      </c>
      <c r="F263" t="s">
        <v>196</v>
      </c>
      <c r="G263" t="s">
        <v>173</v>
      </c>
      <c r="H263" t="s">
        <v>292</v>
      </c>
      <c r="I263" t="s">
        <v>36</v>
      </c>
      <c r="K263" t="s">
        <v>1483</v>
      </c>
      <c r="L263" t="s">
        <v>49</v>
      </c>
      <c r="M263" t="s">
        <v>49</v>
      </c>
      <c r="N263" t="s">
        <v>48</v>
      </c>
      <c r="O263" t="s">
        <v>1512</v>
      </c>
      <c r="P263" t="s">
        <v>49</v>
      </c>
      <c r="Q263" t="s">
        <v>1513</v>
      </c>
      <c r="R263" t="s">
        <v>1514</v>
      </c>
      <c r="S263" t="s">
        <v>65</v>
      </c>
      <c r="T263" t="s">
        <v>1481</v>
      </c>
      <c r="U263" t="s">
        <v>1090</v>
      </c>
      <c r="V263" t="s">
        <v>57</v>
      </c>
    </row>
    <row r="264" spans="1:22" x14ac:dyDescent="0.35">
      <c r="A264" t="s">
        <v>1515</v>
      </c>
      <c r="B264" t="s">
        <v>1070</v>
      </c>
      <c r="C264" t="s">
        <v>28</v>
      </c>
      <c r="D264" t="s">
        <v>72</v>
      </c>
      <c r="E264" t="s">
        <v>28</v>
      </c>
      <c r="F264" t="s">
        <v>196</v>
      </c>
      <c r="G264" t="s">
        <v>28</v>
      </c>
      <c r="H264" t="s">
        <v>61</v>
      </c>
      <c r="I264" t="s">
        <v>46</v>
      </c>
      <c r="K264" t="s">
        <v>1495</v>
      </c>
      <c r="L264" t="s">
        <v>49</v>
      </c>
      <c r="M264" t="s">
        <v>49</v>
      </c>
      <c r="N264" t="s">
        <v>48</v>
      </c>
      <c r="O264" t="s">
        <v>1516</v>
      </c>
      <c r="P264" t="s">
        <v>49</v>
      </c>
      <c r="Q264" t="s">
        <v>1517</v>
      </c>
      <c r="R264" t="s">
        <v>1518</v>
      </c>
      <c r="S264" t="s">
        <v>87</v>
      </c>
      <c r="T264" t="s">
        <v>1481</v>
      </c>
      <c r="U264" t="s">
        <v>1075</v>
      </c>
      <c r="V264" t="s">
        <v>91</v>
      </c>
    </row>
    <row r="265" spans="1:22" x14ac:dyDescent="0.35">
      <c r="A265" t="s">
        <v>1519</v>
      </c>
      <c r="B265" t="s">
        <v>1520</v>
      </c>
      <c r="C265" t="s">
        <v>44</v>
      </c>
      <c r="D265" t="s">
        <v>60</v>
      </c>
      <c r="E265" t="s">
        <v>206</v>
      </c>
      <c r="F265" t="s">
        <v>28</v>
      </c>
      <c r="G265" t="s">
        <v>368</v>
      </c>
      <c r="H265" t="s">
        <v>73</v>
      </c>
      <c r="I265" t="s">
        <v>36</v>
      </c>
      <c r="K265" t="s">
        <v>1521</v>
      </c>
      <c r="L265" t="s">
        <v>49</v>
      </c>
      <c r="M265" t="s">
        <v>49</v>
      </c>
      <c r="N265" t="s">
        <v>38</v>
      </c>
      <c r="O265" t="s">
        <v>1522</v>
      </c>
      <c r="P265" t="s">
        <v>48</v>
      </c>
      <c r="Q265" t="s">
        <v>1523</v>
      </c>
      <c r="R265" t="s">
        <v>1524</v>
      </c>
      <c r="S265" t="s">
        <v>53</v>
      </c>
      <c r="T265" t="s">
        <v>1525</v>
      </c>
      <c r="U265" t="s">
        <v>1104</v>
      </c>
      <c r="V265" t="s">
        <v>170</v>
      </c>
    </row>
    <row r="266" spans="1:22" x14ac:dyDescent="0.35">
      <c r="A266" t="s">
        <v>1526</v>
      </c>
      <c r="B266" t="s">
        <v>1527</v>
      </c>
      <c r="C266" t="s">
        <v>60</v>
      </c>
      <c r="D266" t="s">
        <v>33</v>
      </c>
      <c r="E266" t="s">
        <v>33</v>
      </c>
      <c r="F266" t="s">
        <v>173</v>
      </c>
      <c r="G266" t="s">
        <v>30</v>
      </c>
      <c r="H266" t="s">
        <v>28</v>
      </c>
      <c r="I266" t="s">
        <v>46</v>
      </c>
      <c r="K266" t="s">
        <v>1528</v>
      </c>
      <c r="L266" t="s">
        <v>48</v>
      </c>
      <c r="M266" t="s">
        <v>49</v>
      </c>
      <c r="N266" t="s">
        <v>38</v>
      </c>
      <c r="O266" t="s">
        <v>1529</v>
      </c>
      <c r="P266" t="s">
        <v>38</v>
      </c>
      <c r="Q266" t="s">
        <v>1530</v>
      </c>
      <c r="R266" t="s">
        <v>1531</v>
      </c>
      <c r="S266" t="s">
        <v>87</v>
      </c>
      <c r="T266" t="s">
        <v>1525</v>
      </c>
      <c r="U266" t="s">
        <v>1532</v>
      </c>
      <c r="V266" t="s">
        <v>91</v>
      </c>
    </row>
    <row r="267" spans="1:22" x14ac:dyDescent="0.35">
      <c r="A267" t="s">
        <v>1533</v>
      </c>
      <c r="B267" t="s">
        <v>1534</v>
      </c>
      <c r="C267" t="s">
        <v>28</v>
      </c>
      <c r="D267" t="s">
        <v>60</v>
      </c>
      <c r="E267" t="s">
        <v>206</v>
      </c>
      <c r="F267" t="s">
        <v>173</v>
      </c>
      <c r="G267" t="s">
        <v>94</v>
      </c>
      <c r="H267" t="s">
        <v>73</v>
      </c>
      <c r="I267" t="s">
        <v>36</v>
      </c>
      <c r="K267" t="s">
        <v>1535</v>
      </c>
      <c r="L267" t="s">
        <v>49</v>
      </c>
      <c r="M267" t="s">
        <v>49</v>
      </c>
      <c r="N267" t="s">
        <v>49</v>
      </c>
      <c r="O267" t="s">
        <v>1536</v>
      </c>
      <c r="P267" t="s">
        <v>48</v>
      </c>
      <c r="Q267" t="s">
        <v>1537</v>
      </c>
      <c r="R267" t="s">
        <v>1538</v>
      </c>
      <c r="S267" t="s">
        <v>87</v>
      </c>
      <c r="T267" t="s">
        <v>1525</v>
      </c>
      <c r="U267" t="s">
        <v>1047</v>
      </c>
      <c r="V267" t="s">
        <v>129</v>
      </c>
    </row>
    <row r="268" spans="1:22" x14ac:dyDescent="0.35">
      <c r="A268" t="s">
        <v>1539</v>
      </c>
      <c r="B268" t="s">
        <v>1160</v>
      </c>
      <c r="C268" t="s">
        <v>28</v>
      </c>
      <c r="D268" t="s">
        <v>197</v>
      </c>
      <c r="E268" t="s">
        <v>44</v>
      </c>
      <c r="F268" t="s">
        <v>197</v>
      </c>
      <c r="G268" t="s">
        <v>103</v>
      </c>
      <c r="H268" t="s">
        <v>61</v>
      </c>
      <c r="I268" t="s">
        <v>46</v>
      </c>
      <c r="K268" t="s">
        <v>1540</v>
      </c>
      <c r="L268" t="s">
        <v>49</v>
      </c>
      <c r="M268" t="s">
        <v>49</v>
      </c>
      <c r="N268" t="s">
        <v>48</v>
      </c>
      <c r="O268" t="s">
        <v>1541</v>
      </c>
      <c r="P268" t="s">
        <v>49</v>
      </c>
      <c r="Q268" t="s">
        <v>1542</v>
      </c>
      <c r="R268" t="s">
        <v>1543</v>
      </c>
      <c r="S268" t="s">
        <v>79</v>
      </c>
      <c r="T268" t="s">
        <v>1525</v>
      </c>
      <c r="U268" t="s">
        <v>694</v>
      </c>
      <c r="V268" t="s">
        <v>129</v>
      </c>
    </row>
    <row r="269" spans="1:22" x14ac:dyDescent="0.35">
      <c r="A269" t="s">
        <v>1164</v>
      </c>
      <c r="B269" t="s">
        <v>1339</v>
      </c>
      <c r="C269" t="s">
        <v>449</v>
      </c>
      <c r="D269" t="s">
        <v>60</v>
      </c>
      <c r="E269" t="s">
        <v>206</v>
      </c>
      <c r="F269" t="s">
        <v>30</v>
      </c>
      <c r="G269" t="s">
        <v>94</v>
      </c>
      <c r="H269" t="s">
        <v>73</v>
      </c>
      <c r="I269" t="s">
        <v>36</v>
      </c>
      <c r="K269" t="s">
        <v>1544</v>
      </c>
      <c r="L269" t="s">
        <v>49</v>
      </c>
      <c r="M269" t="s">
        <v>49</v>
      </c>
      <c r="N269" t="s">
        <v>38</v>
      </c>
      <c r="O269" t="s">
        <v>1545</v>
      </c>
      <c r="P269" t="s">
        <v>48</v>
      </c>
      <c r="Q269" t="s">
        <v>1546</v>
      </c>
      <c r="R269" t="s">
        <v>1547</v>
      </c>
      <c r="S269" t="s">
        <v>53</v>
      </c>
      <c r="T269" t="s">
        <v>1525</v>
      </c>
      <c r="U269" t="s">
        <v>1235</v>
      </c>
      <c r="V269" t="s">
        <v>91</v>
      </c>
    </row>
    <row r="270" spans="1:22" x14ac:dyDescent="0.35">
      <c r="A270" t="s">
        <v>1548</v>
      </c>
      <c r="B270" t="s">
        <v>1070</v>
      </c>
      <c r="C270" t="s">
        <v>29</v>
      </c>
      <c r="D270" t="s">
        <v>33</v>
      </c>
      <c r="E270" t="s">
        <v>33</v>
      </c>
      <c r="F270" t="s">
        <v>173</v>
      </c>
      <c r="G270" t="s">
        <v>173</v>
      </c>
      <c r="H270" t="s">
        <v>28</v>
      </c>
      <c r="I270" t="s">
        <v>46</v>
      </c>
      <c r="K270" t="s">
        <v>1549</v>
      </c>
      <c r="L270" t="s">
        <v>48</v>
      </c>
      <c r="M270" t="s">
        <v>49</v>
      </c>
      <c r="N270" t="s">
        <v>49</v>
      </c>
      <c r="O270" t="s">
        <v>1550</v>
      </c>
      <c r="P270" t="s">
        <v>49</v>
      </c>
      <c r="Q270" t="s">
        <v>1551</v>
      </c>
      <c r="R270" t="s">
        <v>1552</v>
      </c>
      <c r="S270" t="s">
        <v>53</v>
      </c>
      <c r="T270" t="s">
        <v>1525</v>
      </c>
      <c r="U270" t="s">
        <v>1075</v>
      </c>
      <c r="V270" t="s">
        <v>91</v>
      </c>
    </row>
    <row r="271" spans="1:22" x14ac:dyDescent="0.35">
      <c r="A271" t="s">
        <v>1553</v>
      </c>
      <c r="B271" t="s">
        <v>1085</v>
      </c>
      <c r="C271" t="s">
        <v>60</v>
      </c>
      <c r="D271" t="s">
        <v>28</v>
      </c>
      <c r="E271" t="s">
        <v>60</v>
      </c>
      <c r="F271" t="s">
        <v>197</v>
      </c>
      <c r="G271" t="s">
        <v>173</v>
      </c>
      <c r="H271" t="s">
        <v>61</v>
      </c>
      <c r="I271" t="s">
        <v>36</v>
      </c>
      <c r="K271" t="s">
        <v>1521</v>
      </c>
      <c r="L271" t="s">
        <v>48</v>
      </c>
      <c r="M271" t="s">
        <v>49</v>
      </c>
      <c r="N271" t="s">
        <v>48</v>
      </c>
      <c r="O271" t="s">
        <v>1554</v>
      </c>
      <c r="P271" t="s">
        <v>49</v>
      </c>
      <c r="Q271" t="s">
        <v>1555</v>
      </c>
      <c r="R271" t="s">
        <v>1556</v>
      </c>
      <c r="S271" t="s">
        <v>65</v>
      </c>
      <c r="T271" t="s">
        <v>1525</v>
      </c>
      <c r="U271" t="s">
        <v>1090</v>
      </c>
      <c r="V271" t="s">
        <v>129</v>
      </c>
    </row>
    <row r="272" spans="1:22" x14ac:dyDescent="0.35">
      <c r="A272" t="s">
        <v>1557</v>
      </c>
      <c r="B272" t="s">
        <v>1192</v>
      </c>
      <c r="C272" t="s">
        <v>449</v>
      </c>
      <c r="D272" t="s">
        <v>29</v>
      </c>
      <c r="E272" t="s">
        <v>206</v>
      </c>
      <c r="F272" t="s">
        <v>30</v>
      </c>
      <c r="G272" t="s">
        <v>368</v>
      </c>
      <c r="H272" t="s">
        <v>73</v>
      </c>
      <c r="I272" t="s">
        <v>46</v>
      </c>
      <c r="K272" t="s">
        <v>1558</v>
      </c>
      <c r="L272" t="s">
        <v>49</v>
      </c>
      <c r="M272" t="s">
        <v>49</v>
      </c>
      <c r="N272" t="s">
        <v>38</v>
      </c>
      <c r="O272" t="s">
        <v>1559</v>
      </c>
      <c r="P272" t="s">
        <v>48</v>
      </c>
      <c r="Q272" t="s">
        <v>1560</v>
      </c>
      <c r="R272" t="s">
        <v>1561</v>
      </c>
      <c r="S272" t="s">
        <v>87</v>
      </c>
      <c r="T272" t="s">
        <v>1525</v>
      </c>
      <c r="U272" t="s">
        <v>704</v>
      </c>
      <c r="V272" t="s">
        <v>129</v>
      </c>
    </row>
    <row r="273" spans="1:22" x14ac:dyDescent="0.35">
      <c r="A273" t="s">
        <v>1562</v>
      </c>
      <c r="B273" t="s">
        <v>1282</v>
      </c>
      <c r="C273" t="s">
        <v>29</v>
      </c>
      <c r="D273" t="s">
        <v>33</v>
      </c>
      <c r="E273" t="s">
        <v>33</v>
      </c>
      <c r="F273" t="s">
        <v>173</v>
      </c>
      <c r="G273" t="s">
        <v>30</v>
      </c>
      <c r="H273" t="s">
        <v>292</v>
      </c>
      <c r="I273" t="s">
        <v>36</v>
      </c>
      <c r="K273" t="s">
        <v>1528</v>
      </c>
      <c r="L273" t="s">
        <v>48</v>
      </c>
      <c r="M273" t="s">
        <v>49</v>
      </c>
      <c r="N273" t="s">
        <v>49</v>
      </c>
      <c r="O273" t="s">
        <v>1563</v>
      </c>
      <c r="P273" t="s">
        <v>49</v>
      </c>
      <c r="Q273" t="s">
        <v>1564</v>
      </c>
      <c r="R273" t="s">
        <v>1565</v>
      </c>
      <c r="S273" t="s">
        <v>53</v>
      </c>
      <c r="T273" t="s">
        <v>1525</v>
      </c>
      <c r="U273" t="s">
        <v>1566</v>
      </c>
      <c r="V273" t="s">
        <v>91</v>
      </c>
    </row>
    <row r="274" spans="1:22" x14ac:dyDescent="0.35">
      <c r="A274" t="s">
        <v>1567</v>
      </c>
      <c r="B274" t="s">
        <v>1447</v>
      </c>
      <c r="C274" t="s">
        <v>377</v>
      </c>
      <c r="D274" t="s">
        <v>44</v>
      </c>
      <c r="E274" t="s">
        <v>206</v>
      </c>
      <c r="F274" t="s">
        <v>173</v>
      </c>
      <c r="G274" t="s">
        <v>94</v>
      </c>
      <c r="H274" t="s">
        <v>73</v>
      </c>
      <c r="I274" t="s">
        <v>46</v>
      </c>
      <c r="K274" t="s">
        <v>1568</v>
      </c>
      <c r="L274" t="s">
        <v>49</v>
      </c>
      <c r="M274" t="s">
        <v>49</v>
      </c>
      <c r="N274" t="s">
        <v>49</v>
      </c>
      <c r="O274" t="s">
        <v>1569</v>
      </c>
      <c r="P274" t="s">
        <v>48</v>
      </c>
      <c r="Q274" t="s">
        <v>1570</v>
      </c>
      <c r="R274" t="s">
        <v>1571</v>
      </c>
      <c r="S274" t="s">
        <v>87</v>
      </c>
      <c r="T274" t="s">
        <v>1525</v>
      </c>
      <c r="U274" t="s">
        <v>1572</v>
      </c>
      <c r="V274" t="s">
        <v>91</v>
      </c>
    </row>
    <row r="275" spans="1:22" x14ac:dyDescent="0.35">
      <c r="A275" t="s">
        <v>1573</v>
      </c>
      <c r="B275" t="s">
        <v>180</v>
      </c>
      <c r="C275" t="s">
        <v>449</v>
      </c>
      <c r="D275" t="s">
        <v>60</v>
      </c>
      <c r="E275" t="s">
        <v>206</v>
      </c>
      <c r="F275" t="s">
        <v>173</v>
      </c>
      <c r="G275" t="s">
        <v>94</v>
      </c>
      <c r="H275" t="s">
        <v>73</v>
      </c>
      <c r="I275" t="s">
        <v>36</v>
      </c>
      <c r="K275" t="s">
        <v>1521</v>
      </c>
      <c r="L275" t="s">
        <v>49</v>
      </c>
      <c r="M275" t="s">
        <v>49</v>
      </c>
      <c r="N275" t="s">
        <v>49</v>
      </c>
      <c r="O275" t="s">
        <v>1574</v>
      </c>
      <c r="P275" t="s">
        <v>48</v>
      </c>
      <c r="Q275" t="s">
        <v>1575</v>
      </c>
      <c r="R275" t="s">
        <v>1576</v>
      </c>
      <c r="S275" t="s">
        <v>79</v>
      </c>
      <c r="T275" t="s">
        <v>1525</v>
      </c>
      <c r="U275" t="s">
        <v>981</v>
      </c>
      <c r="V275" t="s">
        <v>91</v>
      </c>
    </row>
    <row r="276" spans="1:22" x14ac:dyDescent="0.35">
      <c r="A276" t="s">
        <v>1577</v>
      </c>
      <c r="B276" t="s">
        <v>1282</v>
      </c>
      <c r="C276" t="s">
        <v>29</v>
      </c>
      <c r="D276" t="s">
        <v>33</v>
      </c>
      <c r="E276" t="s">
        <v>33</v>
      </c>
      <c r="F276" t="s">
        <v>173</v>
      </c>
      <c r="G276" t="s">
        <v>173</v>
      </c>
      <c r="H276" t="s">
        <v>28</v>
      </c>
      <c r="I276" t="s">
        <v>46</v>
      </c>
      <c r="K276" t="s">
        <v>1528</v>
      </c>
      <c r="L276" t="s">
        <v>48</v>
      </c>
      <c r="M276" t="s">
        <v>49</v>
      </c>
      <c r="N276" t="s">
        <v>49</v>
      </c>
      <c r="O276" t="s">
        <v>1578</v>
      </c>
      <c r="P276" t="s">
        <v>49</v>
      </c>
      <c r="Q276" t="s">
        <v>1579</v>
      </c>
      <c r="R276" t="s">
        <v>1580</v>
      </c>
      <c r="S276" t="s">
        <v>87</v>
      </c>
      <c r="T276" t="s">
        <v>1525</v>
      </c>
      <c r="U276" t="s">
        <v>1581</v>
      </c>
      <c r="V276" t="s">
        <v>129</v>
      </c>
    </row>
    <row r="277" spans="1:22" x14ac:dyDescent="0.35">
      <c r="A277" t="s">
        <v>1582</v>
      </c>
      <c r="B277" t="s">
        <v>1583</v>
      </c>
      <c r="C277" t="s">
        <v>377</v>
      </c>
      <c r="D277" t="s">
        <v>44</v>
      </c>
      <c r="E277" t="s">
        <v>284</v>
      </c>
      <c r="F277" t="s">
        <v>103</v>
      </c>
      <c r="G277" t="s">
        <v>368</v>
      </c>
      <c r="H277" t="s">
        <v>94</v>
      </c>
      <c r="I277" t="s">
        <v>36</v>
      </c>
      <c r="K277" t="s">
        <v>1535</v>
      </c>
      <c r="L277" t="s">
        <v>49</v>
      </c>
      <c r="M277" t="s">
        <v>49</v>
      </c>
      <c r="N277" t="s">
        <v>49</v>
      </c>
      <c r="O277" t="s">
        <v>1584</v>
      </c>
      <c r="P277" t="s">
        <v>48</v>
      </c>
      <c r="Q277" t="s">
        <v>1585</v>
      </c>
      <c r="R277" t="s">
        <v>1586</v>
      </c>
      <c r="S277" t="s">
        <v>79</v>
      </c>
      <c r="T277" t="s">
        <v>1525</v>
      </c>
      <c r="U277" t="s">
        <v>1061</v>
      </c>
      <c r="V277" t="s">
        <v>129</v>
      </c>
    </row>
    <row r="278" spans="1:22" x14ac:dyDescent="0.35">
      <c r="A278" t="s">
        <v>1587</v>
      </c>
      <c r="B278" t="s">
        <v>172</v>
      </c>
      <c r="C278" t="s">
        <v>44</v>
      </c>
      <c r="D278" t="s">
        <v>197</v>
      </c>
      <c r="E278" t="s">
        <v>60</v>
      </c>
      <c r="F278" t="s">
        <v>197</v>
      </c>
      <c r="G278" t="s">
        <v>173</v>
      </c>
      <c r="H278" t="s">
        <v>74</v>
      </c>
      <c r="I278" t="s">
        <v>46</v>
      </c>
      <c r="K278" t="s">
        <v>1521</v>
      </c>
      <c r="L278" t="s">
        <v>49</v>
      </c>
      <c r="M278" t="s">
        <v>49</v>
      </c>
      <c r="N278" t="s">
        <v>48</v>
      </c>
      <c r="O278" t="s">
        <v>1588</v>
      </c>
      <c r="P278" t="s">
        <v>38</v>
      </c>
      <c r="Q278" t="s">
        <v>1589</v>
      </c>
      <c r="R278" t="s">
        <v>1590</v>
      </c>
      <c r="S278" t="s">
        <v>53</v>
      </c>
      <c r="T278" t="s">
        <v>1525</v>
      </c>
      <c r="U278" t="s">
        <v>1591</v>
      </c>
      <c r="V278" t="s">
        <v>129</v>
      </c>
    </row>
    <row r="279" spans="1:22" x14ac:dyDescent="0.35">
      <c r="A279" t="s">
        <v>1592</v>
      </c>
      <c r="B279" t="s">
        <v>172</v>
      </c>
      <c r="C279" t="s">
        <v>28</v>
      </c>
      <c r="D279" t="s">
        <v>60</v>
      </c>
      <c r="E279" t="s">
        <v>284</v>
      </c>
      <c r="F279" t="s">
        <v>173</v>
      </c>
      <c r="G279" t="s">
        <v>368</v>
      </c>
      <c r="H279" t="s">
        <v>94</v>
      </c>
      <c r="I279" t="s">
        <v>36</v>
      </c>
      <c r="K279" t="s">
        <v>1540</v>
      </c>
      <c r="L279" t="s">
        <v>49</v>
      </c>
      <c r="M279" t="s">
        <v>49</v>
      </c>
      <c r="N279" t="s">
        <v>49</v>
      </c>
      <c r="O279" t="s">
        <v>1593</v>
      </c>
      <c r="P279" t="s">
        <v>48</v>
      </c>
      <c r="Q279" t="s">
        <v>1594</v>
      </c>
      <c r="R279" t="s">
        <v>1595</v>
      </c>
      <c r="S279" t="s">
        <v>87</v>
      </c>
      <c r="T279" t="s">
        <v>1525</v>
      </c>
      <c r="U279" t="s">
        <v>1596</v>
      </c>
      <c r="V279" t="s">
        <v>91</v>
      </c>
    </row>
    <row r="280" spans="1:22" x14ac:dyDescent="0.35">
      <c r="A280" t="s">
        <v>1597</v>
      </c>
      <c r="B280" t="s">
        <v>172</v>
      </c>
      <c r="C280" t="s">
        <v>60</v>
      </c>
      <c r="D280" t="s">
        <v>60</v>
      </c>
      <c r="E280" t="s">
        <v>60</v>
      </c>
      <c r="F280" t="s">
        <v>103</v>
      </c>
      <c r="G280" t="s">
        <v>103</v>
      </c>
      <c r="H280" t="s">
        <v>28</v>
      </c>
      <c r="I280" t="s">
        <v>46</v>
      </c>
      <c r="K280" t="s">
        <v>1549</v>
      </c>
      <c r="L280" t="s">
        <v>48</v>
      </c>
      <c r="M280" t="s">
        <v>49</v>
      </c>
      <c r="N280" t="s">
        <v>49</v>
      </c>
      <c r="O280" t="s">
        <v>1598</v>
      </c>
      <c r="P280" t="s">
        <v>49</v>
      </c>
      <c r="Q280" t="s">
        <v>1599</v>
      </c>
      <c r="R280" t="s">
        <v>1600</v>
      </c>
      <c r="S280" t="s">
        <v>79</v>
      </c>
      <c r="T280" t="s">
        <v>1525</v>
      </c>
      <c r="U280" t="s">
        <v>1075</v>
      </c>
      <c r="V280" t="s">
        <v>129</v>
      </c>
    </row>
    <row r="281" spans="1:22" x14ac:dyDescent="0.35">
      <c r="A281" t="s">
        <v>1601</v>
      </c>
      <c r="B281" t="s">
        <v>172</v>
      </c>
      <c r="C281" t="s">
        <v>60</v>
      </c>
      <c r="D281" t="s">
        <v>28</v>
      </c>
      <c r="E281" t="s">
        <v>29</v>
      </c>
      <c r="F281" t="s">
        <v>197</v>
      </c>
      <c r="G281" t="s">
        <v>173</v>
      </c>
      <c r="H281" t="s">
        <v>292</v>
      </c>
      <c r="I281" t="s">
        <v>36</v>
      </c>
      <c r="K281" t="s">
        <v>1544</v>
      </c>
      <c r="L281" t="s">
        <v>48</v>
      </c>
      <c r="M281" t="s">
        <v>49</v>
      </c>
      <c r="N281" t="s">
        <v>48</v>
      </c>
      <c r="O281" t="s">
        <v>1602</v>
      </c>
      <c r="P281" t="s">
        <v>49</v>
      </c>
      <c r="Q281" t="s">
        <v>1603</v>
      </c>
      <c r="R281" t="s">
        <v>1604</v>
      </c>
      <c r="S281" t="s">
        <v>53</v>
      </c>
      <c r="T281" t="s">
        <v>1525</v>
      </c>
      <c r="U281" t="s">
        <v>1605</v>
      </c>
      <c r="V281" t="s">
        <v>129</v>
      </c>
    </row>
    <row r="282" spans="1:22" x14ac:dyDescent="0.35">
      <c r="A282" t="s">
        <v>1606</v>
      </c>
      <c r="B282" t="s">
        <v>172</v>
      </c>
      <c r="C282" t="s">
        <v>60</v>
      </c>
      <c r="D282" t="s">
        <v>29</v>
      </c>
      <c r="E282" t="s">
        <v>29</v>
      </c>
      <c r="F282" t="s">
        <v>173</v>
      </c>
      <c r="G282" t="s">
        <v>173</v>
      </c>
      <c r="H282" t="s">
        <v>28</v>
      </c>
      <c r="I282" t="s">
        <v>46</v>
      </c>
      <c r="K282" t="s">
        <v>1607</v>
      </c>
      <c r="L282" t="s">
        <v>48</v>
      </c>
      <c r="M282" t="s">
        <v>49</v>
      </c>
      <c r="N282" t="s">
        <v>38</v>
      </c>
      <c r="O282" t="s">
        <v>1608</v>
      </c>
      <c r="P282" t="s">
        <v>38</v>
      </c>
      <c r="Q282" t="s">
        <v>1609</v>
      </c>
      <c r="R282" t="s">
        <v>1610</v>
      </c>
      <c r="S282" t="s">
        <v>53</v>
      </c>
      <c r="T282" t="s">
        <v>1525</v>
      </c>
      <c r="U282" t="s">
        <v>981</v>
      </c>
      <c r="V282" t="s">
        <v>91</v>
      </c>
    </row>
    <row r="283" spans="1:22" x14ac:dyDescent="0.35">
      <c r="A283" t="s">
        <v>1611</v>
      </c>
      <c r="B283" t="s">
        <v>172</v>
      </c>
      <c r="C283" t="s">
        <v>449</v>
      </c>
      <c r="D283" t="s">
        <v>60</v>
      </c>
      <c r="E283" t="s">
        <v>284</v>
      </c>
      <c r="F283" t="s">
        <v>173</v>
      </c>
      <c r="G283" t="s">
        <v>368</v>
      </c>
      <c r="H283" t="s">
        <v>73</v>
      </c>
      <c r="I283" t="s">
        <v>36</v>
      </c>
      <c r="K283" t="s">
        <v>1612</v>
      </c>
      <c r="L283" t="s">
        <v>49</v>
      </c>
      <c r="M283" t="s">
        <v>49</v>
      </c>
      <c r="N283" t="s">
        <v>40</v>
      </c>
      <c r="O283" t="s">
        <v>1613</v>
      </c>
      <c r="P283" t="s">
        <v>48</v>
      </c>
      <c r="Q283" t="s">
        <v>1614</v>
      </c>
      <c r="R283" t="s">
        <v>1615</v>
      </c>
      <c r="S283" t="s">
        <v>53</v>
      </c>
      <c r="T283" t="s">
        <v>1525</v>
      </c>
      <c r="U283" t="s">
        <v>1616</v>
      </c>
      <c r="V283" t="s">
        <v>91</v>
      </c>
    </row>
    <row r="284" spans="1:22" x14ac:dyDescent="0.35">
      <c r="A284" t="s">
        <v>1617</v>
      </c>
      <c r="B284" t="s">
        <v>172</v>
      </c>
      <c r="C284" t="s">
        <v>44</v>
      </c>
      <c r="D284" t="s">
        <v>60</v>
      </c>
      <c r="E284" t="s">
        <v>60</v>
      </c>
      <c r="F284" t="s">
        <v>103</v>
      </c>
      <c r="G284" t="s">
        <v>173</v>
      </c>
      <c r="H284" t="s">
        <v>28</v>
      </c>
      <c r="I284" t="s">
        <v>46</v>
      </c>
      <c r="K284" t="s">
        <v>1618</v>
      </c>
      <c r="L284" t="s">
        <v>48</v>
      </c>
      <c r="M284" t="s">
        <v>48</v>
      </c>
      <c r="N284" t="s">
        <v>49</v>
      </c>
      <c r="O284" t="s">
        <v>1619</v>
      </c>
      <c r="P284" t="s">
        <v>49</v>
      </c>
      <c r="Q284" t="s">
        <v>1620</v>
      </c>
      <c r="R284" t="s">
        <v>1621</v>
      </c>
      <c r="S284" t="s">
        <v>53</v>
      </c>
      <c r="T284" t="s">
        <v>1525</v>
      </c>
      <c r="U284" t="s">
        <v>1622</v>
      </c>
      <c r="V284" t="s">
        <v>129</v>
      </c>
    </row>
    <row r="285" spans="1:22" x14ac:dyDescent="0.35">
      <c r="A285" t="s">
        <v>1623</v>
      </c>
      <c r="B285" t="s">
        <v>1282</v>
      </c>
      <c r="C285" t="s">
        <v>28</v>
      </c>
      <c r="D285" t="s">
        <v>60</v>
      </c>
      <c r="E285" t="s">
        <v>284</v>
      </c>
      <c r="F285" t="s">
        <v>30</v>
      </c>
      <c r="G285" t="s">
        <v>368</v>
      </c>
      <c r="H285" t="s">
        <v>73</v>
      </c>
      <c r="I285" t="s">
        <v>36</v>
      </c>
      <c r="K285" t="s">
        <v>1477</v>
      </c>
      <c r="L285" t="s">
        <v>49</v>
      </c>
      <c r="M285" t="s">
        <v>49</v>
      </c>
      <c r="N285" t="s">
        <v>40</v>
      </c>
      <c r="O285" t="s">
        <v>1624</v>
      </c>
      <c r="P285" t="s">
        <v>48</v>
      </c>
      <c r="Q285" t="s">
        <v>1625</v>
      </c>
      <c r="R285" t="s">
        <v>1626</v>
      </c>
      <c r="S285" t="s">
        <v>79</v>
      </c>
      <c r="T285" t="s">
        <v>1481</v>
      </c>
      <c r="U285" t="s">
        <v>1014</v>
      </c>
      <c r="V285" t="s">
        <v>129</v>
      </c>
    </row>
    <row r="286" spans="1:22" x14ac:dyDescent="0.35">
      <c r="A286" t="s">
        <v>1627</v>
      </c>
      <c r="B286" t="s">
        <v>1192</v>
      </c>
      <c r="C286" t="s">
        <v>28</v>
      </c>
      <c r="D286" t="s">
        <v>29</v>
      </c>
      <c r="E286" t="s">
        <v>28</v>
      </c>
      <c r="F286" t="s">
        <v>173</v>
      </c>
      <c r="G286" t="s">
        <v>28</v>
      </c>
      <c r="H286" t="s">
        <v>94</v>
      </c>
      <c r="I286" t="s">
        <v>46</v>
      </c>
      <c r="K286" t="s">
        <v>1628</v>
      </c>
      <c r="L286" t="s">
        <v>48</v>
      </c>
      <c r="M286" t="s">
        <v>48</v>
      </c>
      <c r="N286" t="s">
        <v>39</v>
      </c>
      <c r="O286" t="s">
        <v>1629</v>
      </c>
      <c r="P286" t="s">
        <v>48</v>
      </c>
      <c r="Q286" t="s">
        <v>1630</v>
      </c>
      <c r="R286" t="s">
        <v>1631</v>
      </c>
      <c r="S286" t="s">
        <v>79</v>
      </c>
      <c r="T286" t="s">
        <v>1481</v>
      </c>
      <c r="U286" t="s">
        <v>704</v>
      </c>
      <c r="V286" t="s">
        <v>129</v>
      </c>
    </row>
    <row r="287" spans="1:22" x14ac:dyDescent="0.35">
      <c r="A287" t="s">
        <v>1632</v>
      </c>
      <c r="B287" t="s">
        <v>1520</v>
      </c>
      <c r="C287" t="s">
        <v>44</v>
      </c>
      <c r="D287" t="s">
        <v>33</v>
      </c>
      <c r="E287" t="s">
        <v>29</v>
      </c>
      <c r="F287" t="s">
        <v>173</v>
      </c>
      <c r="G287" t="s">
        <v>30</v>
      </c>
      <c r="H287" t="s">
        <v>45</v>
      </c>
      <c r="I287" t="s">
        <v>36</v>
      </c>
      <c r="K287" t="s">
        <v>1489</v>
      </c>
      <c r="L287" t="s">
        <v>48</v>
      </c>
      <c r="M287" t="s">
        <v>48</v>
      </c>
      <c r="N287" t="s">
        <v>40</v>
      </c>
      <c r="O287" t="s">
        <v>1633</v>
      </c>
      <c r="P287" t="s">
        <v>38</v>
      </c>
      <c r="Q287" t="s">
        <v>1634</v>
      </c>
      <c r="R287" t="s">
        <v>1635</v>
      </c>
      <c r="S287" t="s">
        <v>53</v>
      </c>
      <c r="T287" t="s">
        <v>1481</v>
      </c>
      <c r="U287" t="s">
        <v>1235</v>
      </c>
      <c r="V287" t="s">
        <v>91</v>
      </c>
    </row>
    <row r="288" spans="1:22" x14ac:dyDescent="0.35">
      <c r="A288" t="s">
        <v>1636</v>
      </c>
      <c r="B288" t="s">
        <v>1320</v>
      </c>
      <c r="C288" t="s">
        <v>28</v>
      </c>
      <c r="D288" t="s">
        <v>60</v>
      </c>
      <c r="E288" t="s">
        <v>206</v>
      </c>
      <c r="F288" t="s">
        <v>30</v>
      </c>
      <c r="G288" t="s">
        <v>73</v>
      </c>
      <c r="H288" t="s">
        <v>73</v>
      </c>
      <c r="I288" t="s">
        <v>46</v>
      </c>
      <c r="K288" t="s">
        <v>1477</v>
      </c>
      <c r="L288" t="s">
        <v>49</v>
      </c>
      <c r="M288" t="s">
        <v>38</v>
      </c>
      <c r="N288" t="s">
        <v>38</v>
      </c>
      <c r="O288" t="s">
        <v>1637</v>
      </c>
      <c r="P288" t="s">
        <v>48</v>
      </c>
      <c r="Q288" t="s">
        <v>1638</v>
      </c>
      <c r="R288" t="s">
        <v>1639</v>
      </c>
      <c r="S288" t="s">
        <v>135</v>
      </c>
      <c r="T288" t="s">
        <v>1481</v>
      </c>
      <c r="U288" t="s">
        <v>1235</v>
      </c>
      <c r="V288" t="s">
        <v>170</v>
      </c>
    </row>
    <row r="289" spans="1:22" x14ac:dyDescent="0.35">
      <c r="A289" t="s">
        <v>1640</v>
      </c>
      <c r="B289" t="s">
        <v>1641</v>
      </c>
      <c r="C289" t="s">
        <v>28</v>
      </c>
      <c r="D289" t="s">
        <v>197</v>
      </c>
      <c r="E289" t="s">
        <v>28</v>
      </c>
      <c r="F289" t="s">
        <v>197</v>
      </c>
      <c r="G289" t="s">
        <v>28</v>
      </c>
      <c r="H289" t="s">
        <v>61</v>
      </c>
      <c r="I289" t="s">
        <v>36</v>
      </c>
      <c r="K289" t="s">
        <v>1483</v>
      </c>
      <c r="L289" t="s">
        <v>38</v>
      </c>
      <c r="M289" t="s">
        <v>38</v>
      </c>
      <c r="N289" t="s">
        <v>48</v>
      </c>
      <c r="O289" t="s">
        <v>1642</v>
      </c>
      <c r="P289" t="s">
        <v>40</v>
      </c>
      <c r="Q289" t="s">
        <v>1643</v>
      </c>
      <c r="R289" t="s">
        <v>1644</v>
      </c>
      <c r="S289" t="s">
        <v>79</v>
      </c>
      <c r="T289" t="s">
        <v>1481</v>
      </c>
      <c r="U289" t="s">
        <v>1645</v>
      </c>
      <c r="V289" t="s">
        <v>91</v>
      </c>
    </row>
    <row r="290" spans="1:22" x14ac:dyDescent="0.35">
      <c r="A290" t="s">
        <v>1646</v>
      </c>
      <c r="B290" t="s">
        <v>1647</v>
      </c>
      <c r="C290" t="s">
        <v>44</v>
      </c>
      <c r="D290" t="s">
        <v>33</v>
      </c>
      <c r="E290" t="s">
        <v>29</v>
      </c>
      <c r="F290" t="s">
        <v>30</v>
      </c>
      <c r="G290" t="s">
        <v>30</v>
      </c>
      <c r="H290" t="s">
        <v>45</v>
      </c>
      <c r="I290" t="s">
        <v>46</v>
      </c>
      <c r="K290" t="s">
        <v>1495</v>
      </c>
      <c r="L290" t="s">
        <v>48</v>
      </c>
      <c r="M290" t="s">
        <v>49</v>
      </c>
      <c r="N290" t="s">
        <v>39</v>
      </c>
      <c r="O290" t="s">
        <v>1648</v>
      </c>
      <c r="P290" t="s">
        <v>40</v>
      </c>
      <c r="Q290" t="s">
        <v>1649</v>
      </c>
      <c r="R290" t="s">
        <v>1650</v>
      </c>
      <c r="S290" t="s">
        <v>53</v>
      </c>
      <c r="T290" t="s">
        <v>1481</v>
      </c>
      <c r="U290" t="s">
        <v>694</v>
      </c>
      <c r="V290" t="s">
        <v>129</v>
      </c>
    </row>
    <row r="291" spans="1:22" x14ac:dyDescent="0.35">
      <c r="A291" t="s">
        <v>1651</v>
      </c>
      <c r="B291" t="s">
        <v>1652</v>
      </c>
      <c r="C291" t="s">
        <v>28</v>
      </c>
      <c r="D291" t="s">
        <v>44</v>
      </c>
      <c r="E291" t="s">
        <v>284</v>
      </c>
      <c r="F291" t="s">
        <v>173</v>
      </c>
      <c r="G291" t="s">
        <v>368</v>
      </c>
      <c r="H291" t="s">
        <v>94</v>
      </c>
      <c r="I291" t="s">
        <v>36</v>
      </c>
      <c r="K291" t="s">
        <v>1477</v>
      </c>
      <c r="L291" t="s">
        <v>49</v>
      </c>
      <c r="M291" t="s">
        <v>49</v>
      </c>
      <c r="N291" t="s">
        <v>38</v>
      </c>
      <c r="O291" t="s">
        <v>1653</v>
      </c>
      <c r="P291" t="s">
        <v>48</v>
      </c>
      <c r="Q291" t="s">
        <v>1654</v>
      </c>
      <c r="R291" t="s">
        <v>1655</v>
      </c>
      <c r="S291" t="s">
        <v>65</v>
      </c>
      <c r="T291" t="s">
        <v>1481</v>
      </c>
      <c r="U291" t="s">
        <v>1061</v>
      </c>
      <c r="V291" t="s">
        <v>91</v>
      </c>
    </row>
    <row r="292" spans="1:22" x14ac:dyDescent="0.35">
      <c r="A292" t="s">
        <v>1656</v>
      </c>
      <c r="B292" t="s">
        <v>1657</v>
      </c>
      <c r="C292" t="s">
        <v>449</v>
      </c>
      <c r="D292" t="s">
        <v>44</v>
      </c>
      <c r="E292" t="s">
        <v>60</v>
      </c>
      <c r="F292" t="s">
        <v>34</v>
      </c>
      <c r="G292" t="s">
        <v>34</v>
      </c>
      <c r="H292" t="s">
        <v>45</v>
      </c>
      <c r="I292" t="s">
        <v>46</v>
      </c>
      <c r="K292" t="s">
        <v>1507</v>
      </c>
      <c r="L292" t="s">
        <v>49</v>
      </c>
      <c r="M292" t="s">
        <v>48</v>
      </c>
      <c r="N292" t="s">
        <v>39</v>
      </c>
      <c r="O292" t="s">
        <v>1658</v>
      </c>
      <c r="P292" t="s">
        <v>38</v>
      </c>
      <c r="Q292" t="s">
        <v>1659</v>
      </c>
      <c r="R292" t="s">
        <v>1660</v>
      </c>
      <c r="S292" t="s">
        <v>53</v>
      </c>
      <c r="T292" t="s">
        <v>1481</v>
      </c>
      <c r="U292" t="s">
        <v>759</v>
      </c>
      <c r="V292" t="s">
        <v>91</v>
      </c>
    </row>
    <row r="293" spans="1:22" x14ac:dyDescent="0.35">
      <c r="A293" t="s">
        <v>1661</v>
      </c>
      <c r="B293" t="s">
        <v>1662</v>
      </c>
      <c r="C293" t="s">
        <v>28</v>
      </c>
      <c r="D293" t="s">
        <v>60</v>
      </c>
      <c r="E293" t="s">
        <v>284</v>
      </c>
      <c r="F293" t="s">
        <v>173</v>
      </c>
      <c r="G293" t="s">
        <v>94</v>
      </c>
      <c r="H293" t="s">
        <v>73</v>
      </c>
      <c r="I293" t="s">
        <v>36</v>
      </c>
      <c r="K293" t="s">
        <v>1628</v>
      </c>
      <c r="L293" t="s">
        <v>49</v>
      </c>
      <c r="M293" t="s">
        <v>49</v>
      </c>
      <c r="N293" t="s">
        <v>40</v>
      </c>
      <c r="O293" t="s">
        <v>1663</v>
      </c>
      <c r="P293" t="s">
        <v>48</v>
      </c>
      <c r="Q293" t="s">
        <v>1664</v>
      </c>
      <c r="R293" t="s">
        <v>1665</v>
      </c>
      <c r="S293" t="s">
        <v>65</v>
      </c>
      <c r="T293" t="s">
        <v>1481</v>
      </c>
      <c r="U293" t="s">
        <v>376</v>
      </c>
      <c r="V293" t="s">
        <v>91</v>
      </c>
    </row>
    <row r="294" spans="1:22" x14ac:dyDescent="0.35">
      <c r="A294" t="s">
        <v>1666</v>
      </c>
      <c r="B294" t="s">
        <v>1506</v>
      </c>
      <c r="C294" t="s">
        <v>28</v>
      </c>
      <c r="D294" t="s">
        <v>197</v>
      </c>
      <c r="E294" t="s">
        <v>60</v>
      </c>
      <c r="F294" t="s">
        <v>197</v>
      </c>
      <c r="G294" t="s">
        <v>28</v>
      </c>
      <c r="H294" t="s">
        <v>61</v>
      </c>
      <c r="I294" t="s">
        <v>46</v>
      </c>
      <c r="K294" t="s">
        <v>1483</v>
      </c>
      <c r="L294" t="s">
        <v>49</v>
      </c>
      <c r="M294" t="s">
        <v>38</v>
      </c>
      <c r="N294" t="s">
        <v>48</v>
      </c>
      <c r="O294" t="s">
        <v>1667</v>
      </c>
      <c r="Q294" t="s">
        <v>1668</v>
      </c>
      <c r="R294" t="s">
        <v>1669</v>
      </c>
      <c r="S294" t="s">
        <v>87</v>
      </c>
      <c r="T294" t="s">
        <v>1481</v>
      </c>
      <c r="U294" t="s">
        <v>1097</v>
      </c>
      <c r="V294" t="s">
        <v>129</v>
      </c>
    </row>
    <row r="295" spans="1:22" x14ac:dyDescent="0.35">
      <c r="A295" t="s">
        <v>1670</v>
      </c>
      <c r="B295" t="s">
        <v>1099</v>
      </c>
      <c r="C295" t="s">
        <v>28</v>
      </c>
      <c r="D295" t="s">
        <v>29</v>
      </c>
      <c r="E295" t="s">
        <v>206</v>
      </c>
      <c r="F295" t="s">
        <v>173</v>
      </c>
      <c r="G295" t="s">
        <v>368</v>
      </c>
      <c r="H295" t="s">
        <v>94</v>
      </c>
      <c r="I295" t="s">
        <v>36</v>
      </c>
      <c r="K295" t="s">
        <v>1477</v>
      </c>
      <c r="L295" t="s">
        <v>49</v>
      </c>
      <c r="M295" t="s">
        <v>49</v>
      </c>
      <c r="N295" t="s">
        <v>38</v>
      </c>
      <c r="O295" t="s">
        <v>1671</v>
      </c>
      <c r="P295" t="s">
        <v>48</v>
      </c>
      <c r="Q295" t="s">
        <v>1672</v>
      </c>
      <c r="R295" t="s">
        <v>1673</v>
      </c>
      <c r="S295" t="s">
        <v>79</v>
      </c>
      <c r="T295" t="s">
        <v>1481</v>
      </c>
      <c r="U295" t="s">
        <v>1235</v>
      </c>
      <c r="V295" t="s">
        <v>129</v>
      </c>
    </row>
    <row r="296" spans="1:22" x14ac:dyDescent="0.35">
      <c r="A296" t="s">
        <v>1674</v>
      </c>
      <c r="B296" t="s">
        <v>1070</v>
      </c>
      <c r="C296" t="s">
        <v>28</v>
      </c>
      <c r="D296" t="s">
        <v>29</v>
      </c>
      <c r="E296" t="s">
        <v>157</v>
      </c>
      <c r="F296" t="s">
        <v>173</v>
      </c>
      <c r="G296" t="s">
        <v>94</v>
      </c>
      <c r="H296" t="s">
        <v>73</v>
      </c>
      <c r="I296" t="s">
        <v>46</v>
      </c>
      <c r="K296" t="s">
        <v>1489</v>
      </c>
      <c r="L296" t="s">
        <v>49</v>
      </c>
      <c r="M296" t="s">
        <v>49</v>
      </c>
      <c r="N296" t="s">
        <v>40</v>
      </c>
      <c r="O296" t="s">
        <v>1675</v>
      </c>
      <c r="P296" t="s">
        <v>48</v>
      </c>
      <c r="Q296" t="s">
        <v>1676</v>
      </c>
      <c r="R296" t="s">
        <v>1677</v>
      </c>
      <c r="S296" t="s">
        <v>135</v>
      </c>
      <c r="T296" t="s">
        <v>1481</v>
      </c>
      <c r="U296" t="s">
        <v>1075</v>
      </c>
      <c r="V296" t="s">
        <v>91</v>
      </c>
    </row>
    <row r="297" spans="1:22" x14ac:dyDescent="0.35">
      <c r="A297" t="s">
        <v>1678</v>
      </c>
      <c r="B297" t="s">
        <v>1679</v>
      </c>
      <c r="C297" t="s">
        <v>28</v>
      </c>
      <c r="D297" t="s">
        <v>28</v>
      </c>
      <c r="E297" t="s">
        <v>28</v>
      </c>
      <c r="F297" t="s">
        <v>103</v>
      </c>
      <c r="G297" t="s">
        <v>28</v>
      </c>
      <c r="H297" t="s">
        <v>28</v>
      </c>
      <c r="I297" t="s">
        <v>46</v>
      </c>
      <c r="K297" t="s">
        <v>1680</v>
      </c>
      <c r="L297" t="s">
        <v>38</v>
      </c>
      <c r="M297" t="s">
        <v>49</v>
      </c>
      <c r="N297" t="s">
        <v>49</v>
      </c>
      <c r="O297" t="s">
        <v>1681</v>
      </c>
      <c r="P297" t="s">
        <v>49</v>
      </c>
      <c r="Q297" t="s">
        <v>1682</v>
      </c>
      <c r="R297" t="s">
        <v>1683</v>
      </c>
      <c r="S297" t="s">
        <v>53</v>
      </c>
      <c r="T297" t="s">
        <v>1684</v>
      </c>
      <c r="U297" t="s">
        <v>1685</v>
      </c>
      <c r="V297" t="s">
        <v>129</v>
      </c>
    </row>
    <row r="298" spans="1:22" x14ac:dyDescent="0.35">
      <c r="A298" t="s">
        <v>1686</v>
      </c>
      <c r="B298" t="s">
        <v>1687</v>
      </c>
      <c r="C298" t="s">
        <v>28</v>
      </c>
      <c r="D298" t="s">
        <v>44</v>
      </c>
      <c r="E298" t="s">
        <v>28</v>
      </c>
      <c r="F298" t="s">
        <v>28</v>
      </c>
      <c r="G298" t="s">
        <v>28</v>
      </c>
      <c r="H298" t="s">
        <v>45</v>
      </c>
      <c r="I298" t="s">
        <v>36</v>
      </c>
      <c r="K298" t="s">
        <v>1688</v>
      </c>
      <c r="L298" t="s">
        <v>38</v>
      </c>
      <c r="M298" t="s">
        <v>38</v>
      </c>
      <c r="N298" t="s">
        <v>38</v>
      </c>
      <c r="O298" t="s">
        <v>1689</v>
      </c>
      <c r="P298" t="s">
        <v>40</v>
      </c>
      <c r="Q298" t="s">
        <v>1690</v>
      </c>
      <c r="R298" t="s">
        <v>1691</v>
      </c>
      <c r="S298" t="s">
        <v>79</v>
      </c>
      <c r="T298" t="s">
        <v>1692</v>
      </c>
      <c r="U298" t="s">
        <v>1693</v>
      </c>
      <c r="V298" t="s">
        <v>91</v>
      </c>
    </row>
    <row r="299" spans="1:22" x14ac:dyDescent="0.35">
      <c r="A299" t="s">
        <v>1694</v>
      </c>
      <c r="B299" t="s">
        <v>1695</v>
      </c>
      <c r="C299" t="s">
        <v>44</v>
      </c>
      <c r="D299" t="s">
        <v>158</v>
      </c>
      <c r="E299" t="s">
        <v>29</v>
      </c>
      <c r="F299" t="s">
        <v>173</v>
      </c>
      <c r="G299" t="s">
        <v>94</v>
      </c>
      <c r="H299" t="s">
        <v>368</v>
      </c>
      <c r="I299" t="s">
        <v>46</v>
      </c>
      <c r="K299" t="s">
        <v>1696</v>
      </c>
      <c r="L299" t="s">
        <v>38</v>
      </c>
      <c r="M299" t="s">
        <v>48</v>
      </c>
      <c r="N299" t="s">
        <v>48</v>
      </c>
      <c r="O299" t="s">
        <v>1697</v>
      </c>
      <c r="P299" t="s">
        <v>48</v>
      </c>
      <c r="Q299" t="s">
        <v>1698</v>
      </c>
      <c r="R299" t="s">
        <v>1698</v>
      </c>
      <c r="S299" t="s">
        <v>65</v>
      </c>
      <c r="T299" t="s">
        <v>1684</v>
      </c>
      <c r="U299" t="s">
        <v>1699</v>
      </c>
      <c r="V299" t="s">
        <v>129</v>
      </c>
    </row>
    <row r="300" spans="1:22" x14ac:dyDescent="0.35">
      <c r="A300" t="s">
        <v>1700</v>
      </c>
      <c r="B300" t="s">
        <v>1695</v>
      </c>
      <c r="C300" t="s">
        <v>28</v>
      </c>
      <c r="D300" t="s">
        <v>28</v>
      </c>
      <c r="E300" t="s">
        <v>44</v>
      </c>
      <c r="F300" t="s">
        <v>173</v>
      </c>
      <c r="G300" t="s">
        <v>34</v>
      </c>
      <c r="H300" t="s">
        <v>94</v>
      </c>
      <c r="I300" t="s">
        <v>36</v>
      </c>
      <c r="K300" t="s">
        <v>1701</v>
      </c>
      <c r="L300" t="s">
        <v>49</v>
      </c>
      <c r="M300" t="s">
        <v>38</v>
      </c>
      <c r="N300" t="s">
        <v>48</v>
      </c>
      <c r="O300" t="s">
        <v>1702</v>
      </c>
      <c r="P300" t="s">
        <v>38</v>
      </c>
      <c r="Q300" t="s">
        <v>1703</v>
      </c>
      <c r="R300" t="s">
        <v>1704</v>
      </c>
      <c r="S300" t="s">
        <v>53</v>
      </c>
      <c r="T300" t="s">
        <v>1684</v>
      </c>
      <c r="U300" t="s">
        <v>1705</v>
      </c>
      <c r="V300" t="s">
        <v>129</v>
      </c>
    </row>
    <row r="301" spans="1:22" x14ac:dyDescent="0.35">
      <c r="A301" t="s">
        <v>1706</v>
      </c>
      <c r="B301" t="s">
        <v>1695</v>
      </c>
      <c r="C301" t="s">
        <v>28</v>
      </c>
      <c r="D301" t="s">
        <v>158</v>
      </c>
      <c r="E301" t="s">
        <v>206</v>
      </c>
      <c r="F301" t="s">
        <v>158</v>
      </c>
      <c r="G301" t="s">
        <v>30</v>
      </c>
      <c r="H301" t="s">
        <v>45</v>
      </c>
      <c r="I301" t="s">
        <v>46</v>
      </c>
      <c r="K301" t="s">
        <v>1688</v>
      </c>
      <c r="L301" t="s">
        <v>49</v>
      </c>
      <c r="M301" t="s">
        <v>49</v>
      </c>
      <c r="N301" t="s">
        <v>38</v>
      </c>
      <c r="O301" t="s">
        <v>1707</v>
      </c>
      <c r="P301" t="s">
        <v>49</v>
      </c>
      <c r="Q301" t="s">
        <v>1708</v>
      </c>
      <c r="R301" t="s">
        <v>1709</v>
      </c>
      <c r="S301" t="s">
        <v>87</v>
      </c>
      <c r="T301" t="s">
        <v>1684</v>
      </c>
      <c r="U301" t="s">
        <v>1710</v>
      </c>
      <c r="V301" t="s">
        <v>91</v>
      </c>
    </row>
    <row r="302" spans="1:22" x14ac:dyDescent="0.35">
      <c r="A302" t="s">
        <v>1711</v>
      </c>
      <c r="B302" t="s">
        <v>1695</v>
      </c>
      <c r="C302" t="s">
        <v>60</v>
      </c>
      <c r="D302" t="s">
        <v>44</v>
      </c>
      <c r="E302" t="s">
        <v>29</v>
      </c>
      <c r="F302" t="s">
        <v>173</v>
      </c>
      <c r="G302" t="s">
        <v>45</v>
      </c>
      <c r="H302" t="s">
        <v>35</v>
      </c>
      <c r="I302" t="s">
        <v>36</v>
      </c>
      <c r="K302" t="s">
        <v>1712</v>
      </c>
      <c r="L302" t="s">
        <v>40</v>
      </c>
      <c r="M302" t="s">
        <v>49</v>
      </c>
      <c r="N302" t="s">
        <v>49</v>
      </c>
      <c r="O302" t="s">
        <v>1713</v>
      </c>
      <c r="P302" t="s">
        <v>48</v>
      </c>
      <c r="Q302" t="s">
        <v>1714</v>
      </c>
      <c r="R302" t="s">
        <v>1715</v>
      </c>
      <c r="S302" t="s">
        <v>79</v>
      </c>
      <c r="T302" t="s">
        <v>1684</v>
      </c>
      <c r="U302" t="s">
        <v>1716</v>
      </c>
      <c r="V302" t="s">
        <v>91</v>
      </c>
    </row>
    <row r="303" spans="1:22" x14ac:dyDescent="0.35">
      <c r="A303" t="s">
        <v>1717</v>
      </c>
      <c r="B303" t="s">
        <v>1041</v>
      </c>
      <c r="C303" t="s">
        <v>28</v>
      </c>
      <c r="D303" t="s">
        <v>28</v>
      </c>
      <c r="E303" t="s">
        <v>206</v>
      </c>
      <c r="F303" t="s">
        <v>173</v>
      </c>
      <c r="G303" t="s">
        <v>368</v>
      </c>
      <c r="H303" t="s">
        <v>73</v>
      </c>
      <c r="I303" t="s">
        <v>36</v>
      </c>
      <c r="K303" t="s">
        <v>1718</v>
      </c>
      <c r="L303" t="s">
        <v>49</v>
      </c>
      <c r="M303" t="s">
        <v>49</v>
      </c>
      <c r="N303" t="s">
        <v>40</v>
      </c>
      <c r="O303" t="s">
        <v>1719</v>
      </c>
      <c r="P303" t="s">
        <v>48</v>
      </c>
      <c r="Q303" t="s">
        <v>1720</v>
      </c>
      <c r="R303" t="s">
        <v>1721</v>
      </c>
      <c r="S303" t="s">
        <v>65</v>
      </c>
      <c r="T303" t="s">
        <v>1722</v>
      </c>
      <c r="U303" t="s">
        <v>1047</v>
      </c>
      <c r="V303" t="s">
        <v>91</v>
      </c>
    </row>
    <row r="304" spans="1:22" x14ac:dyDescent="0.35">
      <c r="A304" t="s">
        <v>1723</v>
      </c>
      <c r="B304" t="s">
        <v>1724</v>
      </c>
      <c r="C304" t="s">
        <v>44</v>
      </c>
      <c r="D304" t="s">
        <v>33</v>
      </c>
      <c r="E304" t="s">
        <v>60</v>
      </c>
      <c r="F304" t="s">
        <v>173</v>
      </c>
      <c r="G304" t="s">
        <v>173</v>
      </c>
      <c r="H304" t="s">
        <v>28</v>
      </c>
      <c r="I304" t="s">
        <v>46</v>
      </c>
      <c r="K304" t="s">
        <v>1725</v>
      </c>
      <c r="L304" t="s">
        <v>48</v>
      </c>
      <c r="M304" t="s">
        <v>49</v>
      </c>
      <c r="N304" t="s">
        <v>38</v>
      </c>
      <c r="O304" t="s">
        <v>1726</v>
      </c>
      <c r="P304" t="s">
        <v>49</v>
      </c>
      <c r="Q304" t="s">
        <v>1727</v>
      </c>
      <c r="R304" t="s">
        <v>1728</v>
      </c>
      <c r="S304" t="s">
        <v>53</v>
      </c>
      <c r="T304" t="s">
        <v>1722</v>
      </c>
      <c r="U304" t="s">
        <v>1729</v>
      </c>
      <c r="V304" t="s">
        <v>170</v>
      </c>
    </row>
    <row r="305" spans="1:22" x14ac:dyDescent="0.35">
      <c r="A305" t="s">
        <v>1730</v>
      </c>
      <c r="B305" t="s">
        <v>1731</v>
      </c>
      <c r="C305" t="s">
        <v>44</v>
      </c>
      <c r="D305" t="s">
        <v>29</v>
      </c>
      <c r="E305" t="s">
        <v>29</v>
      </c>
      <c r="F305" t="s">
        <v>30</v>
      </c>
      <c r="G305" t="s">
        <v>173</v>
      </c>
      <c r="H305" t="s">
        <v>45</v>
      </c>
      <c r="I305" t="s">
        <v>36</v>
      </c>
      <c r="K305" t="s">
        <v>1712</v>
      </c>
      <c r="L305" t="s">
        <v>48</v>
      </c>
      <c r="M305" t="s">
        <v>38</v>
      </c>
      <c r="N305" t="s">
        <v>38</v>
      </c>
      <c r="O305" t="s">
        <v>1732</v>
      </c>
      <c r="P305" t="s">
        <v>38</v>
      </c>
      <c r="Q305" t="s">
        <v>1733</v>
      </c>
      <c r="R305" t="s">
        <v>1734</v>
      </c>
      <c r="S305" t="s">
        <v>79</v>
      </c>
      <c r="T305" t="s">
        <v>1722</v>
      </c>
      <c r="U305" t="s">
        <v>1735</v>
      </c>
      <c r="V305" t="s">
        <v>129</v>
      </c>
    </row>
    <row r="306" spans="1:22" x14ac:dyDescent="0.35">
      <c r="A306" t="s">
        <v>1736</v>
      </c>
      <c r="B306" t="s">
        <v>1212</v>
      </c>
      <c r="C306" t="s">
        <v>28</v>
      </c>
      <c r="D306" t="s">
        <v>158</v>
      </c>
      <c r="E306" t="s">
        <v>28</v>
      </c>
      <c r="F306" t="s">
        <v>197</v>
      </c>
      <c r="G306" t="s">
        <v>28</v>
      </c>
      <c r="H306" t="s">
        <v>292</v>
      </c>
      <c r="I306" t="s">
        <v>46</v>
      </c>
      <c r="K306" t="s">
        <v>1688</v>
      </c>
      <c r="L306" t="s">
        <v>38</v>
      </c>
      <c r="M306" t="s">
        <v>49</v>
      </c>
      <c r="N306" t="s">
        <v>48</v>
      </c>
      <c r="O306" t="s">
        <v>1737</v>
      </c>
      <c r="P306" t="s">
        <v>49</v>
      </c>
      <c r="Q306" t="s">
        <v>1738</v>
      </c>
      <c r="R306" t="s">
        <v>1739</v>
      </c>
      <c r="S306" t="s">
        <v>87</v>
      </c>
      <c r="T306" t="s">
        <v>1722</v>
      </c>
      <c r="U306" t="s">
        <v>1097</v>
      </c>
      <c r="V306" t="s">
        <v>91</v>
      </c>
    </row>
    <row r="307" spans="1:22" x14ac:dyDescent="0.35">
      <c r="A307" t="s">
        <v>1740</v>
      </c>
      <c r="B307" t="s">
        <v>1085</v>
      </c>
      <c r="C307" t="s">
        <v>28</v>
      </c>
      <c r="D307" t="s">
        <v>44</v>
      </c>
      <c r="E307" t="s">
        <v>206</v>
      </c>
      <c r="F307" t="s">
        <v>173</v>
      </c>
      <c r="G307" t="s">
        <v>368</v>
      </c>
      <c r="H307" t="s">
        <v>94</v>
      </c>
      <c r="I307" t="s">
        <v>36</v>
      </c>
      <c r="K307" t="s">
        <v>1741</v>
      </c>
      <c r="L307" t="s">
        <v>49</v>
      </c>
      <c r="M307" t="s">
        <v>48</v>
      </c>
      <c r="N307" t="s">
        <v>40</v>
      </c>
      <c r="O307" t="s">
        <v>1742</v>
      </c>
      <c r="P307" t="s">
        <v>48</v>
      </c>
      <c r="Q307" t="s">
        <v>1743</v>
      </c>
      <c r="R307" t="s">
        <v>1744</v>
      </c>
      <c r="S307" t="s">
        <v>53</v>
      </c>
      <c r="T307" t="s">
        <v>1722</v>
      </c>
      <c r="U307" t="s">
        <v>1090</v>
      </c>
      <c r="V307" t="s">
        <v>91</v>
      </c>
    </row>
    <row r="308" spans="1:22" x14ac:dyDescent="0.35">
      <c r="A308" t="s">
        <v>1159</v>
      </c>
      <c r="B308" t="s">
        <v>1192</v>
      </c>
      <c r="C308" t="s">
        <v>28</v>
      </c>
      <c r="D308" t="s">
        <v>158</v>
      </c>
      <c r="E308" t="s">
        <v>44</v>
      </c>
      <c r="F308" t="s">
        <v>196</v>
      </c>
      <c r="G308" t="s">
        <v>28</v>
      </c>
      <c r="H308" t="s">
        <v>74</v>
      </c>
      <c r="I308" t="s">
        <v>46</v>
      </c>
      <c r="K308" t="s">
        <v>1718</v>
      </c>
      <c r="L308" t="s">
        <v>49</v>
      </c>
      <c r="M308" t="s">
        <v>49</v>
      </c>
      <c r="N308" t="s">
        <v>48</v>
      </c>
      <c r="O308" t="s">
        <v>1745</v>
      </c>
      <c r="P308" t="s">
        <v>38</v>
      </c>
      <c r="Q308" t="s">
        <v>1746</v>
      </c>
      <c r="R308" t="s">
        <v>1747</v>
      </c>
      <c r="S308" t="s">
        <v>53</v>
      </c>
      <c r="T308" t="s">
        <v>1722</v>
      </c>
      <c r="U308" t="s">
        <v>704</v>
      </c>
      <c r="V308" t="s">
        <v>91</v>
      </c>
    </row>
    <row r="309" spans="1:22" x14ac:dyDescent="0.35">
      <c r="A309" t="s">
        <v>1748</v>
      </c>
      <c r="B309" t="s">
        <v>1282</v>
      </c>
      <c r="C309" t="s">
        <v>28</v>
      </c>
      <c r="D309" t="s">
        <v>60</v>
      </c>
      <c r="E309" t="s">
        <v>206</v>
      </c>
      <c r="F309" t="s">
        <v>173</v>
      </c>
      <c r="G309" t="s">
        <v>94</v>
      </c>
      <c r="H309" t="s">
        <v>73</v>
      </c>
      <c r="I309" t="s">
        <v>36</v>
      </c>
      <c r="K309" t="s">
        <v>1725</v>
      </c>
      <c r="L309" t="s">
        <v>49</v>
      </c>
      <c r="M309" t="s">
        <v>38</v>
      </c>
      <c r="N309" t="s">
        <v>40</v>
      </c>
      <c r="O309" t="s">
        <v>1749</v>
      </c>
      <c r="P309" t="s">
        <v>48</v>
      </c>
      <c r="Q309" t="s">
        <v>1750</v>
      </c>
      <c r="R309" t="s">
        <v>1751</v>
      </c>
      <c r="S309" t="s">
        <v>53</v>
      </c>
      <c r="T309" t="s">
        <v>1722</v>
      </c>
      <c r="U309" t="s">
        <v>1566</v>
      </c>
      <c r="V309" t="s">
        <v>91</v>
      </c>
    </row>
    <row r="310" spans="1:22" x14ac:dyDescent="0.35">
      <c r="A310" t="s">
        <v>1752</v>
      </c>
      <c r="B310" t="s">
        <v>1206</v>
      </c>
      <c r="C310" t="s">
        <v>344</v>
      </c>
      <c r="D310" t="s">
        <v>60</v>
      </c>
      <c r="E310" t="s">
        <v>60</v>
      </c>
      <c r="F310" t="s">
        <v>34</v>
      </c>
      <c r="G310" t="s">
        <v>30</v>
      </c>
      <c r="H310" t="s">
        <v>28</v>
      </c>
      <c r="I310" t="s">
        <v>46</v>
      </c>
      <c r="K310" t="s">
        <v>1712</v>
      </c>
      <c r="L310" t="s">
        <v>49</v>
      </c>
      <c r="M310" t="s">
        <v>48</v>
      </c>
      <c r="N310" t="s">
        <v>38</v>
      </c>
      <c r="O310" t="s">
        <v>1753</v>
      </c>
      <c r="P310" t="s">
        <v>38</v>
      </c>
      <c r="Q310" t="s">
        <v>1754</v>
      </c>
      <c r="R310" t="s">
        <v>1755</v>
      </c>
      <c r="S310" t="s">
        <v>87</v>
      </c>
      <c r="T310" t="s">
        <v>1722</v>
      </c>
      <c r="U310" t="s">
        <v>1075</v>
      </c>
      <c r="V310" t="s">
        <v>129</v>
      </c>
    </row>
    <row r="311" spans="1:22" x14ac:dyDescent="0.35">
      <c r="A311" t="s">
        <v>1756</v>
      </c>
      <c r="B311" t="s">
        <v>1099</v>
      </c>
      <c r="C311" t="s">
        <v>29</v>
      </c>
      <c r="D311" t="s">
        <v>33</v>
      </c>
      <c r="E311" t="s">
        <v>60</v>
      </c>
      <c r="F311" t="s">
        <v>103</v>
      </c>
      <c r="G311" t="s">
        <v>173</v>
      </c>
      <c r="H311" t="s">
        <v>45</v>
      </c>
      <c r="I311" t="s">
        <v>36</v>
      </c>
      <c r="K311" t="s">
        <v>1688</v>
      </c>
      <c r="L311" t="s">
        <v>48</v>
      </c>
      <c r="M311" t="s">
        <v>49</v>
      </c>
      <c r="N311" t="s">
        <v>39</v>
      </c>
      <c r="O311" t="s">
        <v>1757</v>
      </c>
      <c r="P311" t="s">
        <v>38</v>
      </c>
      <c r="Q311" t="s">
        <v>1758</v>
      </c>
      <c r="R311" t="s">
        <v>1759</v>
      </c>
      <c r="S311" t="s">
        <v>53</v>
      </c>
      <c r="T311" t="s">
        <v>1722</v>
      </c>
      <c r="U311" t="s">
        <v>1104</v>
      </c>
      <c r="V311" t="s">
        <v>170</v>
      </c>
    </row>
    <row r="312" spans="1:22" x14ac:dyDescent="0.35">
      <c r="A312" t="s">
        <v>1760</v>
      </c>
      <c r="B312" t="s">
        <v>1447</v>
      </c>
      <c r="C312" t="s">
        <v>28</v>
      </c>
      <c r="D312" t="s">
        <v>44</v>
      </c>
      <c r="E312" t="s">
        <v>206</v>
      </c>
      <c r="F312" t="s">
        <v>28</v>
      </c>
      <c r="G312" t="s">
        <v>368</v>
      </c>
      <c r="H312" t="s">
        <v>73</v>
      </c>
      <c r="I312" t="s">
        <v>46</v>
      </c>
      <c r="K312" t="s">
        <v>1718</v>
      </c>
      <c r="L312" t="s">
        <v>49</v>
      </c>
      <c r="M312" t="s">
        <v>49</v>
      </c>
      <c r="N312" t="s">
        <v>40</v>
      </c>
      <c r="O312" t="s">
        <v>1761</v>
      </c>
      <c r="P312" t="s">
        <v>48</v>
      </c>
      <c r="Q312" t="s">
        <v>1762</v>
      </c>
      <c r="R312" t="s">
        <v>1763</v>
      </c>
      <c r="S312" t="s">
        <v>135</v>
      </c>
      <c r="T312" t="s">
        <v>1722</v>
      </c>
      <c r="U312" t="s">
        <v>1572</v>
      </c>
      <c r="V312" t="s">
        <v>91</v>
      </c>
    </row>
    <row r="313" spans="1:22" x14ac:dyDescent="0.35">
      <c r="A313" t="s">
        <v>1764</v>
      </c>
      <c r="B313" t="s">
        <v>712</v>
      </c>
      <c r="C313" t="s">
        <v>28</v>
      </c>
      <c r="D313" t="s">
        <v>60</v>
      </c>
      <c r="E313" t="s">
        <v>73</v>
      </c>
      <c r="F313" t="s">
        <v>103</v>
      </c>
      <c r="G313" t="s">
        <v>94</v>
      </c>
      <c r="H313" t="s">
        <v>94</v>
      </c>
      <c r="I313" t="s">
        <v>36</v>
      </c>
      <c r="K313" t="s">
        <v>1765</v>
      </c>
      <c r="L313" t="s">
        <v>49</v>
      </c>
      <c r="M313" t="s">
        <v>49</v>
      </c>
      <c r="N313" t="s">
        <v>39</v>
      </c>
      <c r="O313" t="s">
        <v>1766</v>
      </c>
      <c r="P313" t="s">
        <v>48</v>
      </c>
      <c r="Q313" t="s">
        <v>1767</v>
      </c>
      <c r="R313" t="s">
        <v>1768</v>
      </c>
      <c r="S313" t="s">
        <v>87</v>
      </c>
      <c r="T313" t="s">
        <v>1722</v>
      </c>
      <c r="U313" t="s">
        <v>1769</v>
      </c>
      <c r="V313" t="s">
        <v>91</v>
      </c>
    </row>
    <row r="314" spans="1:22" x14ac:dyDescent="0.35">
      <c r="A314" t="s">
        <v>1770</v>
      </c>
      <c r="B314" t="s">
        <v>180</v>
      </c>
      <c r="C314" t="s">
        <v>28</v>
      </c>
      <c r="D314" t="s">
        <v>197</v>
      </c>
      <c r="E314" t="s">
        <v>28</v>
      </c>
      <c r="F314" t="s">
        <v>197</v>
      </c>
      <c r="G314" t="s">
        <v>103</v>
      </c>
      <c r="H314" t="s">
        <v>61</v>
      </c>
      <c r="I314" t="s">
        <v>36</v>
      </c>
      <c r="K314" t="s">
        <v>1718</v>
      </c>
      <c r="L314" t="s">
        <v>38</v>
      </c>
      <c r="M314" t="s">
        <v>38</v>
      </c>
      <c r="N314" t="s">
        <v>48</v>
      </c>
      <c r="O314" t="s">
        <v>1771</v>
      </c>
      <c r="P314" t="s">
        <v>40</v>
      </c>
      <c r="Q314" t="s">
        <v>1772</v>
      </c>
      <c r="R314" t="s">
        <v>1773</v>
      </c>
      <c r="S314" t="s">
        <v>53</v>
      </c>
      <c r="T314" t="s">
        <v>1722</v>
      </c>
      <c r="U314" t="s">
        <v>981</v>
      </c>
      <c r="V314" t="s">
        <v>91</v>
      </c>
    </row>
    <row r="315" spans="1:22" x14ac:dyDescent="0.35">
      <c r="A315" t="s">
        <v>1774</v>
      </c>
      <c r="B315" t="s">
        <v>1775</v>
      </c>
      <c r="C315" t="s">
        <v>28</v>
      </c>
      <c r="D315" t="s">
        <v>44</v>
      </c>
      <c r="E315" t="s">
        <v>284</v>
      </c>
      <c r="F315" t="s">
        <v>173</v>
      </c>
      <c r="G315" t="s">
        <v>368</v>
      </c>
      <c r="H315" t="s">
        <v>73</v>
      </c>
      <c r="I315" t="s">
        <v>46</v>
      </c>
      <c r="K315" t="s">
        <v>1725</v>
      </c>
      <c r="L315" t="s">
        <v>38</v>
      </c>
      <c r="M315" t="s">
        <v>49</v>
      </c>
      <c r="N315" t="s">
        <v>39</v>
      </c>
      <c r="O315" t="s">
        <v>1776</v>
      </c>
      <c r="P315" t="s">
        <v>48</v>
      </c>
      <c r="Q315" t="s">
        <v>1777</v>
      </c>
      <c r="R315" t="s">
        <v>1778</v>
      </c>
      <c r="S315" t="s">
        <v>53</v>
      </c>
      <c r="T315" t="s">
        <v>1722</v>
      </c>
      <c r="U315" t="s">
        <v>1581</v>
      </c>
      <c r="V315" t="s">
        <v>129</v>
      </c>
    </row>
    <row r="316" spans="1:22" x14ac:dyDescent="0.35">
      <c r="A316" t="s">
        <v>1779</v>
      </c>
      <c r="B316" t="s">
        <v>205</v>
      </c>
      <c r="C316" t="s">
        <v>28</v>
      </c>
      <c r="D316" t="s">
        <v>60</v>
      </c>
      <c r="E316" t="s">
        <v>284</v>
      </c>
      <c r="F316" t="s">
        <v>173</v>
      </c>
      <c r="G316" t="s">
        <v>368</v>
      </c>
      <c r="H316" t="s">
        <v>73</v>
      </c>
      <c r="I316" t="s">
        <v>36</v>
      </c>
      <c r="K316" t="s">
        <v>1712</v>
      </c>
      <c r="L316" t="s">
        <v>49</v>
      </c>
      <c r="M316" t="s">
        <v>49</v>
      </c>
      <c r="N316" t="s">
        <v>40</v>
      </c>
      <c r="O316" t="s">
        <v>1780</v>
      </c>
      <c r="P316" t="s">
        <v>49</v>
      </c>
      <c r="Q316" t="s">
        <v>1781</v>
      </c>
      <c r="R316" t="s">
        <v>1782</v>
      </c>
      <c r="S316" t="s">
        <v>65</v>
      </c>
      <c r="T316" t="s">
        <v>1722</v>
      </c>
      <c r="U316" t="s">
        <v>1616</v>
      </c>
      <c r="V316" t="s">
        <v>129</v>
      </c>
    </row>
    <row r="317" spans="1:22" x14ac:dyDescent="0.35">
      <c r="A317" t="s">
        <v>1783</v>
      </c>
      <c r="B317" t="s">
        <v>1520</v>
      </c>
      <c r="C317" t="s">
        <v>28</v>
      </c>
      <c r="D317" t="s">
        <v>60</v>
      </c>
      <c r="E317" t="s">
        <v>284</v>
      </c>
      <c r="F317" t="s">
        <v>173</v>
      </c>
      <c r="G317" t="s">
        <v>368</v>
      </c>
      <c r="H317" t="s">
        <v>94</v>
      </c>
      <c r="I317" t="s">
        <v>46</v>
      </c>
      <c r="K317" t="s">
        <v>1784</v>
      </c>
      <c r="L317" t="s">
        <v>49</v>
      </c>
      <c r="M317" t="s">
        <v>49</v>
      </c>
      <c r="N317" t="s">
        <v>38</v>
      </c>
      <c r="O317" t="s">
        <v>1785</v>
      </c>
      <c r="P317" t="s">
        <v>48</v>
      </c>
      <c r="Q317" t="s">
        <v>1786</v>
      </c>
      <c r="R317" t="s">
        <v>1787</v>
      </c>
      <c r="S317" t="s">
        <v>53</v>
      </c>
      <c r="T317" t="s">
        <v>1788</v>
      </c>
      <c r="U317" t="s">
        <v>1104</v>
      </c>
      <c r="V317" t="s">
        <v>170</v>
      </c>
    </row>
    <row r="318" spans="1:22" x14ac:dyDescent="0.35">
      <c r="A318" t="s">
        <v>1789</v>
      </c>
      <c r="B318" t="s">
        <v>1143</v>
      </c>
      <c r="C318" t="s">
        <v>377</v>
      </c>
      <c r="D318" t="s">
        <v>196</v>
      </c>
      <c r="E318" t="s">
        <v>157</v>
      </c>
      <c r="F318" t="s">
        <v>196</v>
      </c>
      <c r="G318" t="s">
        <v>173</v>
      </c>
      <c r="H318" t="s">
        <v>61</v>
      </c>
      <c r="I318" t="s">
        <v>36</v>
      </c>
      <c r="K318" t="s">
        <v>1790</v>
      </c>
      <c r="L318" t="s">
        <v>49</v>
      </c>
      <c r="M318" t="s">
        <v>49</v>
      </c>
      <c r="N318" t="s">
        <v>48</v>
      </c>
      <c r="O318" t="s">
        <v>1791</v>
      </c>
      <c r="P318" t="s">
        <v>49</v>
      </c>
      <c r="Q318" t="s">
        <v>1792</v>
      </c>
      <c r="R318" t="s">
        <v>1793</v>
      </c>
      <c r="S318" t="s">
        <v>87</v>
      </c>
      <c r="T318" t="s">
        <v>1788</v>
      </c>
      <c r="U318" t="s">
        <v>1061</v>
      </c>
      <c r="V318" t="s">
        <v>129</v>
      </c>
    </row>
    <row r="319" spans="1:22" x14ac:dyDescent="0.35">
      <c r="A319" t="s">
        <v>1794</v>
      </c>
      <c r="B319" t="s">
        <v>1795</v>
      </c>
      <c r="C319" t="s">
        <v>60</v>
      </c>
      <c r="D319" t="s">
        <v>29</v>
      </c>
      <c r="E319" t="s">
        <v>29</v>
      </c>
      <c r="F319" t="s">
        <v>173</v>
      </c>
      <c r="G319" t="s">
        <v>173</v>
      </c>
      <c r="H319" t="s">
        <v>35</v>
      </c>
      <c r="I319" t="s">
        <v>46</v>
      </c>
      <c r="K319" t="s">
        <v>1796</v>
      </c>
      <c r="L319" t="s">
        <v>48</v>
      </c>
      <c r="M319" t="s">
        <v>49</v>
      </c>
      <c r="N319" t="s">
        <v>49</v>
      </c>
      <c r="O319" t="s">
        <v>1797</v>
      </c>
      <c r="P319" t="s">
        <v>49</v>
      </c>
      <c r="Q319" t="s">
        <v>1798</v>
      </c>
      <c r="R319" t="s">
        <v>1799</v>
      </c>
      <c r="S319" t="s">
        <v>53</v>
      </c>
      <c r="T319" t="s">
        <v>1788</v>
      </c>
      <c r="U319" t="s">
        <v>1800</v>
      </c>
      <c r="V319" t="s">
        <v>91</v>
      </c>
    </row>
    <row r="320" spans="1:22" x14ac:dyDescent="0.35">
      <c r="A320" t="s">
        <v>1801</v>
      </c>
      <c r="B320" t="s">
        <v>1802</v>
      </c>
      <c r="C320" t="s">
        <v>28</v>
      </c>
      <c r="D320" t="s">
        <v>44</v>
      </c>
      <c r="E320" t="s">
        <v>284</v>
      </c>
      <c r="F320" t="s">
        <v>103</v>
      </c>
      <c r="G320" t="s">
        <v>368</v>
      </c>
      <c r="H320" t="s">
        <v>94</v>
      </c>
      <c r="I320" t="s">
        <v>36</v>
      </c>
      <c r="K320" t="s">
        <v>1784</v>
      </c>
      <c r="L320" t="s">
        <v>49</v>
      </c>
      <c r="M320" t="s">
        <v>49</v>
      </c>
      <c r="N320" t="s">
        <v>49</v>
      </c>
      <c r="O320" t="s">
        <v>1803</v>
      </c>
      <c r="P320" t="s">
        <v>48</v>
      </c>
      <c r="Q320" t="s">
        <v>1804</v>
      </c>
      <c r="R320" t="s">
        <v>1805</v>
      </c>
      <c r="S320" t="s">
        <v>79</v>
      </c>
      <c r="T320" t="s">
        <v>1788</v>
      </c>
      <c r="U320" t="s">
        <v>1047</v>
      </c>
      <c r="V320" t="s">
        <v>91</v>
      </c>
    </row>
    <row r="321" spans="1:22" x14ac:dyDescent="0.35">
      <c r="A321" t="s">
        <v>1806</v>
      </c>
      <c r="B321" t="s">
        <v>1212</v>
      </c>
      <c r="C321" t="s">
        <v>344</v>
      </c>
      <c r="D321" t="s">
        <v>197</v>
      </c>
      <c r="E321" t="s">
        <v>60</v>
      </c>
      <c r="F321" t="s">
        <v>30</v>
      </c>
      <c r="G321" t="s">
        <v>34</v>
      </c>
      <c r="H321" t="s">
        <v>292</v>
      </c>
      <c r="I321" t="s">
        <v>46</v>
      </c>
      <c r="K321" t="s">
        <v>1807</v>
      </c>
      <c r="L321" t="s">
        <v>49</v>
      </c>
      <c r="M321" t="s">
        <v>48</v>
      </c>
      <c r="N321" t="s">
        <v>49</v>
      </c>
      <c r="O321" t="s">
        <v>1808</v>
      </c>
      <c r="P321" t="s">
        <v>38</v>
      </c>
      <c r="Q321" t="s">
        <v>1809</v>
      </c>
      <c r="R321" t="s">
        <v>1810</v>
      </c>
      <c r="S321" t="s">
        <v>65</v>
      </c>
      <c r="T321" t="s">
        <v>1788</v>
      </c>
      <c r="U321" t="s">
        <v>1097</v>
      </c>
      <c r="V321" t="s">
        <v>129</v>
      </c>
    </row>
    <row r="322" spans="1:22" x14ac:dyDescent="0.35">
      <c r="A322" t="s">
        <v>1811</v>
      </c>
      <c r="B322" t="s">
        <v>1070</v>
      </c>
      <c r="C322" t="s">
        <v>449</v>
      </c>
      <c r="D322" t="s">
        <v>196</v>
      </c>
      <c r="E322" t="s">
        <v>44</v>
      </c>
      <c r="F322" t="s">
        <v>196</v>
      </c>
      <c r="G322" t="s">
        <v>30</v>
      </c>
      <c r="H322" t="s">
        <v>74</v>
      </c>
      <c r="I322" t="s">
        <v>46</v>
      </c>
      <c r="K322" t="s">
        <v>1812</v>
      </c>
      <c r="L322" t="s">
        <v>49</v>
      </c>
      <c r="M322" t="s">
        <v>49</v>
      </c>
      <c r="N322" t="s">
        <v>48</v>
      </c>
      <c r="O322" t="s">
        <v>1813</v>
      </c>
      <c r="P322" t="s">
        <v>49</v>
      </c>
      <c r="Q322" t="s">
        <v>1814</v>
      </c>
      <c r="R322" t="s">
        <v>1815</v>
      </c>
      <c r="S322" t="s">
        <v>53</v>
      </c>
      <c r="T322" t="s">
        <v>1788</v>
      </c>
      <c r="U322" t="s">
        <v>1075</v>
      </c>
      <c r="V322" t="s">
        <v>91</v>
      </c>
    </row>
    <row r="323" spans="1:22" x14ac:dyDescent="0.35">
      <c r="A323" t="s">
        <v>1816</v>
      </c>
      <c r="B323" t="s">
        <v>1085</v>
      </c>
      <c r="C323" t="s">
        <v>29</v>
      </c>
      <c r="D323" t="s">
        <v>197</v>
      </c>
      <c r="E323" t="s">
        <v>33</v>
      </c>
      <c r="F323" t="s">
        <v>196</v>
      </c>
      <c r="G323" t="s">
        <v>173</v>
      </c>
      <c r="H323" t="s">
        <v>61</v>
      </c>
      <c r="I323" t="s">
        <v>36</v>
      </c>
      <c r="K323" t="s">
        <v>1817</v>
      </c>
      <c r="L323" t="s">
        <v>49</v>
      </c>
      <c r="M323" t="s">
        <v>49</v>
      </c>
      <c r="N323" t="s">
        <v>48</v>
      </c>
      <c r="O323" t="s">
        <v>1818</v>
      </c>
      <c r="P323" t="s">
        <v>49</v>
      </c>
      <c r="Q323" t="s">
        <v>1819</v>
      </c>
      <c r="R323" t="s">
        <v>1820</v>
      </c>
      <c r="S323" t="s">
        <v>87</v>
      </c>
      <c r="T323" t="s">
        <v>1788</v>
      </c>
      <c r="U323" t="s">
        <v>1090</v>
      </c>
      <c r="V323" t="s">
        <v>129</v>
      </c>
    </row>
    <row r="324" spans="1:22" x14ac:dyDescent="0.35">
      <c r="A324" t="s">
        <v>1821</v>
      </c>
      <c r="B324" t="s">
        <v>1192</v>
      </c>
      <c r="C324" t="s">
        <v>28</v>
      </c>
      <c r="D324" t="s">
        <v>196</v>
      </c>
      <c r="E324" t="s">
        <v>28</v>
      </c>
      <c r="F324" t="s">
        <v>196</v>
      </c>
      <c r="G324" t="s">
        <v>28</v>
      </c>
      <c r="H324" t="s">
        <v>61</v>
      </c>
      <c r="I324" t="s">
        <v>46</v>
      </c>
      <c r="K324" t="s">
        <v>1822</v>
      </c>
      <c r="L324" t="s">
        <v>49</v>
      </c>
      <c r="M324" t="s">
        <v>49</v>
      </c>
      <c r="N324" t="s">
        <v>48</v>
      </c>
      <c r="O324" t="s">
        <v>1823</v>
      </c>
      <c r="P324" t="s">
        <v>49</v>
      </c>
      <c r="Q324" t="s">
        <v>1824</v>
      </c>
      <c r="R324" t="s">
        <v>1825</v>
      </c>
      <c r="S324" t="s">
        <v>53</v>
      </c>
      <c r="T324" t="s">
        <v>1788</v>
      </c>
      <c r="U324" t="s">
        <v>704</v>
      </c>
      <c r="V324" t="s">
        <v>91</v>
      </c>
    </row>
    <row r="325" spans="1:22" x14ac:dyDescent="0.35">
      <c r="A325" t="s">
        <v>1826</v>
      </c>
      <c r="B325" t="s">
        <v>1282</v>
      </c>
      <c r="C325" t="s">
        <v>449</v>
      </c>
      <c r="D325" t="s">
        <v>197</v>
      </c>
      <c r="E325" t="s">
        <v>60</v>
      </c>
      <c r="F325" t="s">
        <v>196</v>
      </c>
      <c r="G325" t="s">
        <v>30</v>
      </c>
      <c r="H325" t="s">
        <v>61</v>
      </c>
      <c r="I325" t="s">
        <v>36</v>
      </c>
      <c r="K325" t="s">
        <v>1827</v>
      </c>
      <c r="L325" t="s">
        <v>49</v>
      </c>
      <c r="M325" t="s">
        <v>49</v>
      </c>
      <c r="N325" t="s">
        <v>48</v>
      </c>
      <c r="O325" t="s">
        <v>1828</v>
      </c>
      <c r="P325" t="s">
        <v>49</v>
      </c>
      <c r="Q325" t="s">
        <v>1829</v>
      </c>
      <c r="R325" t="s">
        <v>1830</v>
      </c>
      <c r="S325" t="s">
        <v>53</v>
      </c>
      <c r="T325" t="s">
        <v>1788</v>
      </c>
      <c r="U325" t="s">
        <v>1566</v>
      </c>
      <c r="V325" t="s">
        <v>91</v>
      </c>
    </row>
    <row r="326" spans="1:22" x14ac:dyDescent="0.35">
      <c r="A326" t="s">
        <v>1831</v>
      </c>
      <c r="B326" t="s">
        <v>1832</v>
      </c>
      <c r="C326" t="s">
        <v>344</v>
      </c>
      <c r="D326" t="s">
        <v>197</v>
      </c>
      <c r="E326" t="s">
        <v>44</v>
      </c>
      <c r="F326" t="s">
        <v>28</v>
      </c>
      <c r="G326" t="s">
        <v>30</v>
      </c>
      <c r="H326" t="s">
        <v>61</v>
      </c>
      <c r="I326" t="s">
        <v>36</v>
      </c>
      <c r="K326" t="s">
        <v>1833</v>
      </c>
      <c r="L326" t="s">
        <v>49</v>
      </c>
      <c r="M326" t="s">
        <v>48</v>
      </c>
      <c r="N326" t="s">
        <v>48</v>
      </c>
      <c r="O326" t="s">
        <v>1834</v>
      </c>
      <c r="P326" t="s">
        <v>49</v>
      </c>
      <c r="Q326" t="s">
        <v>1835</v>
      </c>
      <c r="R326" t="s">
        <v>1836</v>
      </c>
      <c r="S326" t="s">
        <v>135</v>
      </c>
      <c r="T326" t="s">
        <v>1788</v>
      </c>
      <c r="U326" t="s">
        <v>1735</v>
      </c>
      <c r="V326" t="s">
        <v>170</v>
      </c>
    </row>
    <row r="327" spans="1:22" x14ac:dyDescent="0.35">
      <c r="A327" t="s">
        <v>1837</v>
      </c>
      <c r="B327" t="s">
        <v>1838</v>
      </c>
      <c r="C327" t="s">
        <v>344</v>
      </c>
      <c r="D327" t="s">
        <v>28</v>
      </c>
      <c r="E327" t="s">
        <v>28</v>
      </c>
      <c r="F327" t="s">
        <v>103</v>
      </c>
      <c r="G327" t="s">
        <v>173</v>
      </c>
      <c r="H327" t="s">
        <v>292</v>
      </c>
      <c r="I327" t="s">
        <v>46</v>
      </c>
      <c r="K327" t="s">
        <v>1839</v>
      </c>
      <c r="L327" t="s">
        <v>49</v>
      </c>
      <c r="M327" t="s">
        <v>48</v>
      </c>
      <c r="N327" t="s">
        <v>49</v>
      </c>
      <c r="O327" t="s">
        <v>1840</v>
      </c>
      <c r="P327" t="s">
        <v>49</v>
      </c>
      <c r="Q327" t="s">
        <v>1841</v>
      </c>
      <c r="R327" t="s">
        <v>1842</v>
      </c>
      <c r="S327" t="s">
        <v>135</v>
      </c>
      <c r="T327" t="s">
        <v>1788</v>
      </c>
      <c r="U327" t="s">
        <v>1800</v>
      </c>
      <c r="V327" t="s">
        <v>91</v>
      </c>
    </row>
    <row r="328" spans="1:22" x14ac:dyDescent="0.35">
      <c r="A328" t="s">
        <v>1843</v>
      </c>
      <c r="B328" t="s">
        <v>1802</v>
      </c>
      <c r="C328" t="s">
        <v>60</v>
      </c>
      <c r="D328" t="s">
        <v>29</v>
      </c>
      <c r="E328" t="s">
        <v>29</v>
      </c>
      <c r="F328" t="s">
        <v>103</v>
      </c>
      <c r="G328" t="s">
        <v>103</v>
      </c>
      <c r="H328" t="s">
        <v>28</v>
      </c>
      <c r="I328" t="s">
        <v>36</v>
      </c>
      <c r="K328" t="s">
        <v>1784</v>
      </c>
      <c r="L328" t="s">
        <v>48</v>
      </c>
      <c r="M328" t="s">
        <v>49</v>
      </c>
      <c r="N328" t="s">
        <v>49</v>
      </c>
      <c r="O328" t="s">
        <v>1844</v>
      </c>
      <c r="P328" t="s">
        <v>49</v>
      </c>
      <c r="Q328" t="s">
        <v>1845</v>
      </c>
      <c r="R328" t="s">
        <v>1846</v>
      </c>
      <c r="S328" t="s">
        <v>53</v>
      </c>
      <c r="T328" t="s">
        <v>1788</v>
      </c>
      <c r="U328" t="s">
        <v>1047</v>
      </c>
      <c r="V328" t="s">
        <v>91</v>
      </c>
    </row>
    <row r="329" spans="1:22" x14ac:dyDescent="0.35">
      <c r="A329" t="s">
        <v>1847</v>
      </c>
      <c r="B329" t="s">
        <v>1212</v>
      </c>
      <c r="C329" t="s">
        <v>29</v>
      </c>
      <c r="D329" t="s">
        <v>29</v>
      </c>
      <c r="E329" t="s">
        <v>29</v>
      </c>
      <c r="F329" t="s">
        <v>173</v>
      </c>
      <c r="G329" t="s">
        <v>173</v>
      </c>
      <c r="H329" t="s">
        <v>35</v>
      </c>
      <c r="I329" t="s">
        <v>46</v>
      </c>
      <c r="K329" t="s">
        <v>1848</v>
      </c>
      <c r="L329" t="s">
        <v>48</v>
      </c>
      <c r="M329" t="s">
        <v>49</v>
      </c>
      <c r="N329" t="s">
        <v>49</v>
      </c>
      <c r="O329" t="s">
        <v>1849</v>
      </c>
      <c r="P329" t="s">
        <v>49</v>
      </c>
      <c r="Q329" t="s">
        <v>1850</v>
      </c>
      <c r="R329" t="s">
        <v>1851</v>
      </c>
      <c r="S329" t="s">
        <v>87</v>
      </c>
      <c r="T329" t="s">
        <v>1788</v>
      </c>
      <c r="U329" t="s">
        <v>1097</v>
      </c>
      <c r="V329" t="s">
        <v>129</v>
      </c>
    </row>
    <row r="330" spans="1:22" x14ac:dyDescent="0.35">
      <c r="A330" t="s">
        <v>1852</v>
      </c>
      <c r="B330" t="s">
        <v>1143</v>
      </c>
      <c r="C330" t="s">
        <v>28</v>
      </c>
      <c r="D330" t="s">
        <v>60</v>
      </c>
      <c r="E330" t="s">
        <v>284</v>
      </c>
      <c r="F330" t="s">
        <v>173</v>
      </c>
      <c r="G330" t="s">
        <v>368</v>
      </c>
      <c r="H330" t="s">
        <v>368</v>
      </c>
      <c r="I330" t="s">
        <v>36</v>
      </c>
      <c r="K330" t="s">
        <v>1790</v>
      </c>
      <c r="L330" t="s">
        <v>49</v>
      </c>
      <c r="M330" t="s">
        <v>49</v>
      </c>
      <c r="N330" t="s">
        <v>49</v>
      </c>
      <c r="O330" t="s">
        <v>1853</v>
      </c>
      <c r="P330" t="s">
        <v>48</v>
      </c>
      <c r="Q330" t="s">
        <v>1854</v>
      </c>
      <c r="R330" t="s">
        <v>1855</v>
      </c>
      <c r="S330" t="s">
        <v>53</v>
      </c>
      <c r="T330" t="s">
        <v>1788</v>
      </c>
      <c r="U330" t="s">
        <v>1061</v>
      </c>
      <c r="V330" t="s">
        <v>129</v>
      </c>
    </row>
    <row r="331" spans="1:22" x14ac:dyDescent="0.35">
      <c r="A331" t="s">
        <v>1856</v>
      </c>
      <c r="B331" t="s">
        <v>1237</v>
      </c>
      <c r="C331" t="s">
        <v>449</v>
      </c>
      <c r="D331" t="s">
        <v>44</v>
      </c>
      <c r="E331" t="s">
        <v>206</v>
      </c>
      <c r="F331" t="s">
        <v>30</v>
      </c>
      <c r="G331" t="s">
        <v>368</v>
      </c>
      <c r="H331" t="s">
        <v>94</v>
      </c>
      <c r="I331" t="s">
        <v>46</v>
      </c>
      <c r="K331" t="s">
        <v>1857</v>
      </c>
      <c r="L331" t="s">
        <v>49</v>
      </c>
      <c r="M331" t="s">
        <v>49</v>
      </c>
      <c r="N331" t="s">
        <v>49</v>
      </c>
      <c r="O331" t="s">
        <v>1858</v>
      </c>
      <c r="P331" t="s">
        <v>48</v>
      </c>
      <c r="Q331" t="s">
        <v>1859</v>
      </c>
      <c r="R331" t="s">
        <v>1860</v>
      </c>
      <c r="S331" t="s">
        <v>79</v>
      </c>
      <c r="T331" t="s">
        <v>1788</v>
      </c>
      <c r="U331" t="s">
        <v>1075</v>
      </c>
      <c r="V331" t="s">
        <v>91</v>
      </c>
    </row>
    <row r="332" spans="1:22" x14ac:dyDescent="0.35">
      <c r="A332" t="s">
        <v>1861</v>
      </c>
      <c r="B332" t="s">
        <v>1085</v>
      </c>
      <c r="C332" t="s">
        <v>44</v>
      </c>
      <c r="D332" t="s">
        <v>197</v>
      </c>
      <c r="E332" t="s">
        <v>44</v>
      </c>
      <c r="F332" t="s">
        <v>197</v>
      </c>
      <c r="G332" t="s">
        <v>173</v>
      </c>
      <c r="H332" t="s">
        <v>292</v>
      </c>
      <c r="I332" t="s">
        <v>36</v>
      </c>
      <c r="K332" t="s">
        <v>1862</v>
      </c>
      <c r="L332" t="s">
        <v>49</v>
      </c>
      <c r="M332" t="s">
        <v>49</v>
      </c>
      <c r="N332" t="s">
        <v>48</v>
      </c>
      <c r="O332" t="s">
        <v>1863</v>
      </c>
      <c r="P332" t="s">
        <v>49</v>
      </c>
      <c r="Q332" t="s">
        <v>1864</v>
      </c>
      <c r="R332" t="s">
        <v>1865</v>
      </c>
      <c r="S332" t="s">
        <v>87</v>
      </c>
      <c r="T332" t="s">
        <v>1788</v>
      </c>
      <c r="U332" t="s">
        <v>1090</v>
      </c>
      <c r="V332" t="s">
        <v>129</v>
      </c>
    </row>
    <row r="333" spans="1:22" x14ac:dyDescent="0.35">
      <c r="A333" t="s">
        <v>1866</v>
      </c>
      <c r="B333" t="s">
        <v>1192</v>
      </c>
      <c r="C333" t="s">
        <v>28</v>
      </c>
      <c r="D333" t="s">
        <v>44</v>
      </c>
      <c r="E333" t="s">
        <v>284</v>
      </c>
      <c r="F333" t="s">
        <v>103</v>
      </c>
      <c r="G333" t="s">
        <v>368</v>
      </c>
      <c r="H333" t="s">
        <v>94</v>
      </c>
      <c r="I333" t="s">
        <v>46</v>
      </c>
      <c r="K333" t="s">
        <v>1812</v>
      </c>
      <c r="L333" t="s">
        <v>49</v>
      </c>
      <c r="M333" t="s">
        <v>49</v>
      </c>
      <c r="N333" t="s">
        <v>49</v>
      </c>
      <c r="O333" t="s">
        <v>1867</v>
      </c>
      <c r="P333" t="s">
        <v>48</v>
      </c>
      <c r="Q333" t="s">
        <v>1868</v>
      </c>
      <c r="R333" t="s">
        <v>1869</v>
      </c>
      <c r="S333" t="s">
        <v>53</v>
      </c>
      <c r="T333" t="s">
        <v>1788</v>
      </c>
      <c r="U333" t="s">
        <v>704</v>
      </c>
      <c r="V333" t="s">
        <v>170</v>
      </c>
    </row>
    <row r="334" spans="1:22" x14ac:dyDescent="0.35">
      <c r="A334" t="s">
        <v>1870</v>
      </c>
      <c r="B334" t="s">
        <v>1282</v>
      </c>
      <c r="C334" t="s">
        <v>449</v>
      </c>
      <c r="D334" t="s">
        <v>197</v>
      </c>
      <c r="E334" t="s">
        <v>60</v>
      </c>
      <c r="F334" t="s">
        <v>173</v>
      </c>
      <c r="G334" t="s">
        <v>30</v>
      </c>
      <c r="H334" t="s">
        <v>35</v>
      </c>
      <c r="I334" t="s">
        <v>36</v>
      </c>
      <c r="K334" t="s">
        <v>1784</v>
      </c>
      <c r="L334" t="s">
        <v>49</v>
      </c>
      <c r="M334" t="s">
        <v>48</v>
      </c>
      <c r="N334" t="s">
        <v>49</v>
      </c>
      <c r="O334" t="s">
        <v>1871</v>
      </c>
      <c r="P334" t="s">
        <v>49</v>
      </c>
      <c r="Q334" t="s">
        <v>1872</v>
      </c>
      <c r="R334" t="s">
        <v>1873</v>
      </c>
      <c r="S334" t="s">
        <v>87</v>
      </c>
      <c r="T334" t="s">
        <v>1788</v>
      </c>
      <c r="U334" t="s">
        <v>1566</v>
      </c>
      <c r="V334" t="s">
        <v>91</v>
      </c>
    </row>
    <row r="335" spans="1:22" x14ac:dyDescent="0.35">
      <c r="A335" t="s">
        <v>1874</v>
      </c>
      <c r="B335" t="s">
        <v>1875</v>
      </c>
      <c r="C335" t="s">
        <v>33</v>
      </c>
      <c r="D335" t="s">
        <v>28</v>
      </c>
      <c r="E335" t="s">
        <v>60</v>
      </c>
      <c r="F335" t="s">
        <v>30</v>
      </c>
      <c r="G335" t="s">
        <v>173</v>
      </c>
      <c r="H335" t="s">
        <v>28</v>
      </c>
      <c r="I335" t="s">
        <v>36</v>
      </c>
      <c r="K335" t="s">
        <v>1876</v>
      </c>
      <c r="L335" t="s">
        <v>38</v>
      </c>
      <c r="M335" t="s">
        <v>38</v>
      </c>
      <c r="N335" t="s">
        <v>38</v>
      </c>
      <c r="O335" t="s">
        <v>1877</v>
      </c>
      <c r="P335" t="s">
        <v>49</v>
      </c>
      <c r="Q335" t="s">
        <v>1878</v>
      </c>
      <c r="R335" t="s">
        <v>1879</v>
      </c>
      <c r="S335" t="s">
        <v>79</v>
      </c>
      <c r="T335" t="s">
        <v>81</v>
      </c>
      <c r="U335" t="s">
        <v>1881</v>
      </c>
      <c r="V335" t="s">
        <v>91</v>
      </c>
    </row>
    <row r="336" spans="1:22" x14ac:dyDescent="0.35">
      <c r="A336" t="s">
        <v>1882</v>
      </c>
      <c r="B336" t="s">
        <v>1883</v>
      </c>
      <c r="C336" t="s">
        <v>28</v>
      </c>
      <c r="D336" t="s">
        <v>28</v>
      </c>
      <c r="E336" t="s">
        <v>44</v>
      </c>
      <c r="F336" t="s">
        <v>173</v>
      </c>
      <c r="G336" t="s">
        <v>103</v>
      </c>
      <c r="H336" t="s">
        <v>45</v>
      </c>
      <c r="I336" t="s">
        <v>46</v>
      </c>
      <c r="K336" t="s">
        <v>1884</v>
      </c>
      <c r="L336" t="s">
        <v>38</v>
      </c>
      <c r="M336" t="s">
        <v>38</v>
      </c>
      <c r="N336" t="s">
        <v>38</v>
      </c>
      <c r="O336" t="s">
        <v>1885</v>
      </c>
      <c r="P336" t="s">
        <v>38</v>
      </c>
      <c r="Q336" t="s">
        <v>1886</v>
      </c>
      <c r="R336" t="s">
        <v>1887</v>
      </c>
      <c r="S336" t="s">
        <v>65</v>
      </c>
      <c r="T336" t="s">
        <v>1889</v>
      </c>
      <c r="U336" t="s">
        <v>1890</v>
      </c>
      <c r="V336" t="s">
        <v>91</v>
      </c>
    </row>
    <row r="337" spans="1:22" x14ac:dyDescent="0.35">
      <c r="A337" t="s">
        <v>1891</v>
      </c>
      <c r="B337" t="s">
        <v>1892</v>
      </c>
      <c r="C337" t="s">
        <v>60</v>
      </c>
      <c r="D337" t="s">
        <v>44</v>
      </c>
      <c r="E337" t="s">
        <v>28</v>
      </c>
      <c r="F337" t="s">
        <v>158</v>
      </c>
      <c r="G337" t="s">
        <v>368</v>
      </c>
      <c r="H337" t="s">
        <v>368</v>
      </c>
      <c r="I337" t="s">
        <v>46</v>
      </c>
      <c r="K337" t="s">
        <v>1884</v>
      </c>
      <c r="L337" t="s">
        <v>49</v>
      </c>
      <c r="M337" t="s">
        <v>48</v>
      </c>
      <c r="N337" t="s">
        <v>49</v>
      </c>
      <c r="O337" t="s">
        <v>1893</v>
      </c>
      <c r="P337" t="s">
        <v>48</v>
      </c>
      <c r="Q337" t="s">
        <v>1894</v>
      </c>
      <c r="R337" t="s">
        <v>1895</v>
      </c>
      <c r="S337" t="s">
        <v>79</v>
      </c>
      <c r="T337" t="s">
        <v>1889</v>
      </c>
      <c r="U337" t="s">
        <v>1897</v>
      </c>
      <c r="V337" t="s">
        <v>91</v>
      </c>
    </row>
    <row r="338" spans="1:22" x14ac:dyDescent="0.35">
      <c r="A338" t="s">
        <v>1898</v>
      </c>
      <c r="B338" t="s">
        <v>1899</v>
      </c>
      <c r="C338" t="s">
        <v>377</v>
      </c>
      <c r="D338" t="s">
        <v>28</v>
      </c>
      <c r="E338" t="s">
        <v>28</v>
      </c>
      <c r="F338" t="s">
        <v>28</v>
      </c>
      <c r="G338" t="s">
        <v>28</v>
      </c>
      <c r="H338" t="s">
        <v>28</v>
      </c>
      <c r="I338" t="s">
        <v>36</v>
      </c>
      <c r="K338" t="s">
        <v>1900</v>
      </c>
      <c r="L338" t="s">
        <v>38</v>
      </c>
      <c r="M338" t="s">
        <v>38</v>
      </c>
      <c r="N338" t="s">
        <v>38</v>
      </c>
      <c r="O338" t="s">
        <v>1901</v>
      </c>
      <c r="P338" t="s">
        <v>38</v>
      </c>
      <c r="Q338" t="s">
        <v>1902</v>
      </c>
      <c r="R338" t="s">
        <v>1903</v>
      </c>
      <c r="S338" t="s">
        <v>53</v>
      </c>
      <c r="T338" t="s">
        <v>81</v>
      </c>
      <c r="U338" t="s">
        <v>1905</v>
      </c>
      <c r="V338" t="s">
        <v>129</v>
      </c>
    </row>
    <row r="339" spans="1:22" x14ac:dyDescent="0.35">
      <c r="A339" t="s">
        <v>1906</v>
      </c>
      <c r="B339" t="s">
        <v>1907</v>
      </c>
      <c r="C339" t="s">
        <v>28</v>
      </c>
      <c r="D339" t="s">
        <v>28</v>
      </c>
      <c r="E339" t="s">
        <v>28</v>
      </c>
      <c r="F339" t="s">
        <v>28</v>
      </c>
      <c r="G339" t="s">
        <v>28</v>
      </c>
      <c r="H339" t="s">
        <v>28</v>
      </c>
      <c r="I339" t="s">
        <v>46</v>
      </c>
      <c r="K339" t="s">
        <v>1908</v>
      </c>
      <c r="L339" t="s">
        <v>48</v>
      </c>
      <c r="M339" t="s">
        <v>48</v>
      </c>
      <c r="N339" t="s">
        <v>48</v>
      </c>
      <c r="O339" t="s">
        <v>1909</v>
      </c>
      <c r="P339" t="s">
        <v>48</v>
      </c>
      <c r="Q339" t="s">
        <v>1910</v>
      </c>
      <c r="R339" t="s">
        <v>1911</v>
      </c>
      <c r="S339" t="s">
        <v>53</v>
      </c>
      <c r="T339" t="s">
        <v>81</v>
      </c>
      <c r="U339" t="s">
        <v>1913</v>
      </c>
      <c r="V339" t="s">
        <v>91</v>
      </c>
    </row>
    <row r="340" spans="1:22" x14ac:dyDescent="0.35">
      <c r="A340" t="s">
        <v>1914</v>
      </c>
      <c r="B340" t="s">
        <v>1883</v>
      </c>
      <c r="C340" t="s">
        <v>33</v>
      </c>
      <c r="D340" t="s">
        <v>60</v>
      </c>
      <c r="E340" t="s">
        <v>44</v>
      </c>
      <c r="F340" t="s">
        <v>173</v>
      </c>
      <c r="G340" t="s">
        <v>103</v>
      </c>
      <c r="H340" t="s">
        <v>45</v>
      </c>
      <c r="I340" t="s">
        <v>46</v>
      </c>
      <c r="K340" t="s">
        <v>1915</v>
      </c>
      <c r="L340" t="s">
        <v>48</v>
      </c>
      <c r="M340" t="s">
        <v>49</v>
      </c>
      <c r="N340" t="s">
        <v>38</v>
      </c>
      <c r="O340" t="s">
        <v>1916</v>
      </c>
      <c r="P340" t="s">
        <v>49</v>
      </c>
      <c r="Q340" t="s">
        <v>1917</v>
      </c>
      <c r="R340" t="s">
        <v>1918</v>
      </c>
      <c r="S340" t="s">
        <v>79</v>
      </c>
      <c r="T340" t="s">
        <v>1889</v>
      </c>
      <c r="U340" t="s">
        <v>1920</v>
      </c>
      <c r="V340" t="s">
        <v>91</v>
      </c>
    </row>
    <row r="341" spans="1:22" x14ac:dyDescent="0.35">
      <c r="A341" t="s">
        <v>1921</v>
      </c>
      <c r="B341" t="s">
        <v>1899</v>
      </c>
      <c r="C341" t="s">
        <v>28</v>
      </c>
      <c r="D341" t="s">
        <v>28</v>
      </c>
      <c r="E341" t="s">
        <v>28</v>
      </c>
      <c r="F341" t="s">
        <v>28</v>
      </c>
      <c r="G341" t="s">
        <v>28</v>
      </c>
      <c r="H341" t="s">
        <v>28</v>
      </c>
      <c r="I341" t="s">
        <v>46</v>
      </c>
      <c r="K341" t="s">
        <v>1922</v>
      </c>
      <c r="L341" t="s">
        <v>48</v>
      </c>
      <c r="M341" t="s">
        <v>48</v>
      </c>
      <c r="N341" t="s">
        <v>48</v>
      </c>
      <c r="O341" t="s">
        <v>1923</v>
      </c>
      <c r="P341" t="s">
        <v>48</v>
      </c>
      <c r="Q341" t="s">
        <v>1924</v>
      </c>
      <c r="R341" t="s">
        <v>1925</v>
      </c>
      <c r="S341" t="s">
        <v>53</v>
      </c>
      <c r="T341" t="s">
        <v>81</v>
      </c>
      <c r="U341" t="s">
        <v>1927</v>
      </c>
      <c r="V341" t="s">
        <v>91</v>
      </c>
    </row>
    <row r="342" spans="1:22" x14ac:dyDescent="0.35">
      <c r="A342" t="s">
        <v>1928</v>
      </c>
      <c r="B342" t="s">
        <v>1929</v>
      </c>
      <c r="C342" t="s">
        <v>60</v>
      </c>
      <c r="D342" t="s">
        <v>28</v>
      </c>
      <c r="E342" t="s">
        <v>60</v>
      </c>
      <c r="F342" t="s">
        <v>197</v>
      </c>
      <c r="G342" t="s">
        <v>173</v>
      </c>
      <c r="H342" t="s">
        <v>292</v>
      </c>
      <c r="I342" t="s">
        <v>46</v>
      </c>
      <c r="K342" t="s">
        <v>1930</v>
      </c>
      <c r="L342" t="s">
        <v>48</v>
      </c>
      <c r="M342" t="s">
        <v>48</v>
      </c>
      <c r="N342" t="s">
        <v>48</v>
      </c>
      <c r="O342" t="s">
        <v>1931</v>
      </c>
      <c r="P342" t="s">
        <v>48</v>
      </c>
      <c r="R342" t="s">
        <v>1932</v>
      </c>
      <c r="S342" t="s">
        <v>53</v>
      </c>
      <c r="T342" t="s">
        <v>81</v>
      </c>
      <c r="U342" t="s">
        <v>1934</v>
      </c>
      <c r="V342" t="s">
        <v>91</v>
      </c>
    </row>
    <row r="343" spans="1:22" x14ac:dyDescent="0.35">
      <c r="A343" t="s">
        <v>1935</v>
      </c>
      <c r="B343" t="s">
        <v>1875</v>
      </c>
      <c r="C343" t="s">
        <v>28</v>
      </c>
      <c r="D343" t="s">
        <v>29</v>
      </c>
      <c r="E343" t="s">
        <v>28</v>
      </c>
      <c r="F343" t="s">
        <v>197</v>
      </c>
      <c r="G343" t="s">
        <v>73</v>
      </c>
      <c r="H343" t="s">
        <v>368</v>
      </c>
      <c r="I343" t="s">
        <v>46</v>
      </c>
      <c r="K343" t="s">
        <v>1915</v>
      </c>
      <c r="L343" t="s">
        <v>49</v>
      </c>
      <c r="M343" t="s">
        <v>48</v>
      </c>
      <c r="N343" t="s">
        <v>38</v>
      </c>
      <c r="O343" t="s">
        <v>1936</v>
      </c>
      <c r="P343" t="s">
        <v>49</v>
      </c>
      <c r="Q343" t="s">
        <v>1937</v>
      </c>
      <c r="R343" t="s">
        <v>1938</v>
      </c>
      <c r="S343" t="s">
        <v>53</v>
      </c>
      <c r="T343" t="s">
        <v>1889</v>
      </c>
      <c r="U343" t="s">
        <v>1940</v>
      </c>
      <c r="V343" t="s">
        <v>91</v>
      </c>
    </row>
    <row r="344" spans="1:22" x14ac:dyDescent="0.35">
      <c r="A344" t="s">
        <v>1921</v>
      </c>
      <c r="B344" t="s">
        <v>1899</v>
      </c>
      <c r="C344" t="s">
        <v>33</v>
      </c>
      <c r="D344" t="s">
        <v>28</v>
      </c>
      <c r="E344" t="s">
        <v>284</v>
      </c>
      <c r="F344" t="s">
        <v>173</v>
      </c>
      <c r="G344" t="s">
        <v>28</v>
      </c>
      <c r="H344" t="s">
        <v>35</v>
      </c>
      <c r="I344" t="s">
        <v>46</v>
      </c>
      <c r="K344" t="s">
        <v>1922</v>
      </c>
      <c r="L344" t="s">
        <v>49</v>
      </c>
      <c r="M344" t="s">
        <v>49</v>
      </c>
      <c r="N344" t="s">
        <v>49</v>
      </c>
      <c r="O344" t="s">
        <v>1941</v>
      </c>
      <c r="P344" t="s">
        <v>49</v>
      </c>
      <c r="Q344" t="s">
        <v>1942</v>
      </c>
      <c r="R344" t="s">
        <v>1943</v>
      </c>
      <c r="S344" t="s">
        <v>53</v>
      </c>
      <c r="T344" t="s">
        <v>81</v>
      </c>
      <c r="U344" t="s">
        <v>1927</v>
      </c>
      <c r="V344" t="s">
        <v>57</v>
      </c>
    </row>
    <row r="345" spans="1:22" x14ac:dyDescent="0.35">
      <c r="A345" t="s">
        <v>1944</v>
      </c>
      <c r="B345" t="s">
        <v>1899</v>
      </c>
      <c r="C345" t="s">
        <v>44</v>
      </c>
      <c r="D345" t="s">
        <v>28</v>
      </c>
      <c r="E345" t="s">
        <v>28</v>
      </c>
      <c r="F345" t="s">
        <v>28</v>
      </c>
      <c r="G345" t="s">
        <v>28</v>
      </c>
      <c r="H345" t="s">
        <v>28</v>
      </c>
      <c r="I345" t="s">
        <v>36</v>
      </c>
      <c r="K345" t="s">
        <v>1945</v>
      </c>
      <c r="L345" t="s">
        <v>48</v>
      </c>
      <c r="M345" t="s">
        <v>48</v>
      </c>
      <c r="N345" t="s">
        <v>48</v>
      </c>
      <c r="O345" t="s">
        <v>1923</v>
      </c>
      <c r="P345" t="s">
        <v>48</v>
      </c>
      <c r="Q345" t="s">
        <v>1924</v>
      </c>
      <c r="R345" t="s">
        <v>1925</v>
      </c>
      <c r="S345" t="s">
        <v>53</v>
      </c>
      <c r="T345" t="s">
        <v>1947</v>
      </c>
      <c r="U345" t="s">
        <v>1948</v>
      </c>
      <c r="V345" t="s">
        <v>129</v>
      </c>
    </row>
    <row r="346" spans="1:22" x14ac:dyDescent="0.35">
      <c r="A346" t="s">
        <v>1949</v>
      </c>
      <c r="B346" t="s">
        <v>1929</v>
      </c>
      <c r="C346" t="s">
        <v>60</v>
      </c>
      <c r="D346" t="s">
        <v>28</v>
      </c>
      <c r="E346" t="s">
        <v>60</v>
      </c>
      <c r="F346" t="s">
        <v>197</v>
      </c>
      <c r="G346" t="s">
        <v>173</v>
      </c>
      <c r="H346" t="s">
        <v>292</v>
      </c>
      <c r="I346" t="s">
        <v>46</v>
      </c>
      <c r="K346" t="s">
        <v>1950</v>
      </c>
      <c r="L346" t="s">
        <v>48</v>
      </c>
      <c r="M346" t="s">
        <v>48</v>
      </c>
      <c r="N346" t="s">
        <v>48</v>
      </c>
      <c r="O346" t="s">
        <v>1951</v>
      </c>
      <c r="P346" t="s">
        <v>48</v>
      </c>
      <c r="Q346" t="s">
        <v>1952</v>
      </c>
      <c r="R346" t="s">
        <v>1953</v>
      </c>
      <c r="S346" t="s">
        <v>53</v>
      </c>
      <c r="T346" t="s">
        <v>81</v>
      </c>
      <c r="U346" t="s">
        <v>1955</v>
      </c>
      <c r="V346" t="s">
        <v>91</v>
      </c>
    </row>
    <row r="347" spans="1:22" x14ac:dyDescent="0.35">
      <c r="A347" t="s">
        <v>1956</v>
      </c>
      <c r="B347" t="s">
        <v>1899</v>
      </c>
      <c r="C347" t="s">
        <v>28</v>
      </c>
      <c r="D347" t="s">
        <v>28</v>
      </c>
      <c r="E347" t="s">
        <v>28</v>
      </c>
      <c r="F347" t="s">
        <v>28</v>
      </c>
      <c r="G347" t="s">
        <v>28</v>
      </c>
      <c r="H347" t="s">
        <v>28</v>
      </c>
      <c r="I347" t="s">
        <v>46</v>
      </c>
      <c r="K347" t="s">
        <v>1945</v>
      </c>
      <c r="L347" t="s">
        <v>48</v>
      </c>
      <c r="M347" t="s">
        <v>48</v>
      </c>
      <c r="N347" t="s">
        <v>48</v>
      </c>
      <c r="O347" t="s">
        <v>1923</v>
      </c>
      <c r="P347" t="s">
        <v>48</v>
      </c>
      <c r="Q347" t="s">
        <v>1924</v>
      </c>
      <c r="R347" t="s">
        <v>1925</v>
      </c>
      <c r="S347" t="s">
        <v>53</v>
      </c>
      <c r="T347" t="s">
        <v>1947</v>
      </c>
      <c r="U347" t="s">
        <v>1958</v>
      </c>
      <c r="V347" t="s">
        <v>129</v>
      </c>
    </row>
    <row r="348" spans="1:22" x14ac:dyDescent="0.35">
      <c r="A348" t="s">
        <v>1959</v>
      </c>
      <c r="B348" t="s">
        <v>1960</v>
      </c>
      <c r="C348" t="s">
        <v>60</v>
      </c>
      <c r="D348" t="s">
        <v>29</v>
      </c>
      <c r="E348" t="s">
        <v>28</v>
      </c>
      <c r="F348" t="s">
        <v>173</v>
      </c>
      <c r="G348" t="s">
        <v>28</v>
      </c>
      <c r="H348" t="s">
        <v>45</v>
      </c>
      <c r="I348" t="s">
        <v>46</v>
      </c>
      <c r="K348" t="s">
        <v>1961</v>
      </c>
      <c r="L348" t="s">
        <v>48</v>
      </c>
      <c r="M348" t="s">
        <v>49</v>
      </c>
      <c r="N348" t="s">
        <v>49</v>
      </c>
      <c r="O348" t="s">
        <v>1885</v>
      </c>
      <c r="P348" t="s">
        <v>49</v>
      </c>
      <c r="Q348" t="s">
        <v>1962</v>
      </c>
      <c r="R348" t="s">
        <v>1887</v>
      </c>
      <c r="S348" t="s">
        <v>65</v>
      </c>
      <c r="T348" t="s">
        <v>1889</v>
      </c>
      <c r="U348" t="s">
        <v>1964</v>
      </c>
      <c r="V348" t="s">
        <v>91</v>
      </c>
    </row>
    <row r="349" spans="1:22" x14ac:dyDescent="0.35">
      <c r="A349" t="s">
        <v>1965</v>
      </c>
      <c r="B349" t="s">
        <v>1899</v>
      </c>
      <c r="C349" t="s">
        <v>377</v>
      </c>
      <c r="D349" t="s">
        <v>28</v>
      </c>
      <c r="E349" t="s">
        <v>28</v>
      </c>
      <c r="F349" t="s">
        <v>28</v>
      </c>
      <c r="G349" t="s">
        <v>28</v>
      </c>
      <c r="H349" t="s">
        <v>28</v>
      </c>
      <c r="I349" t="s">
        <v>46</v>
      </c>
      <c r="K349" t="s">
        <v>1966</v>
      </c>
      <c r="L349" t="s">
        <v>48</v>
      </c>
      <c r="M349" t="s">
        <v>48</v>
      </c>
      <c r="N349" t="s">
        <v>49</v>
      </c>
      <c r="O349" t="s">
        <v>1967</v>
      </c>
      <c r="P349" t="s">
        <v>49</v>
      </c>
      <c r="Q349" t="s">
        <v>1924</v>
      </c>
      <c r="R349" t="s">
        <v>1925</v>
      </c>
      <c r="S349" t="s">
        <v>53</v>
      </c>
      <c r="T349" t="s">
        <v>1947</v>
      </c>
      <c r="U349" t="s">
        <v>1969</v>
      </c>
      <c r="V349" t="s">
        <v>170</v>
      </c>
    </row>
    <row r="350" spans="1:22" x14ac:dyDescent="0.35">
      <c r="A350" t="s">
        <v>1970</v>
      </c>
      <c r="B350" t="s">
        <v>1899</v>
      </c>
      <c r="C350" t="s">
        <v>44</v>
      </c>
      <c r="D350" t="s">
        <v>28</v>
      </c>
      <c r="E350" t="s">
        <v>157</v>
      </c>
      <c r="F350" t="s">
        <v>173</v>
      </c>
      <c r="G350" t="s">
        <v>103</v>
      </c>
      <c r="H350" t="s">
        <v>35</v>
      </c>
      <c r="I350" t="s">
        <v>46</v>
      </c>
      <c r="K350" t="s">
        <v>1971</v>
      </c>
      <c r="L350" t="s">
        <v>48</v>
      </c>
      <c r="M350" t="s">
        <v>48</v>
      </c>
      <c r="N350" t="s">
        <v>48</v>
      </c>
      <c r="O350" t="s">
        <v>1923</v>
      </c>
      <c r="P350" t="s">
        <v>48</v>
      </c>
      <c r="Q350" t="s">
        <v>1924</v>
      </c>
      <c r="R350" t="s">
        <v>1925</v>
      </c>
      <c r="S350" t="s">
        <v>53</v>
      </c>
      <c r="T350" t="s">
        <v>1947</v>
      </c>
      <c r="U350" t="s">
        <v>1973</v>
      </c>
      <c r="V350" t="s">
        <v>91</v>
      </c>
    </row>
    <row r="351" spans="1:22" x14ac:dyDescent="0.35">
      <c r="A351" t="s">
        <v>1974</v>
      </c>
      <c r="B351" t="s">
        <v>1929</v>
      </c>
      <c r="C351" t="s">
        <v>60</v>
      </c>
      <c r="D351" t="s">
        <v>28</v>
      </c>
      <c r="E351" t="s">
        <v>60</v>
      </c>
      <c r="F351" t="s">
        <v>28</v>
      </c>
      <c r="G351" t="s">
        <v>173</v>
      </c>
      <c r="H351" t="s">
        <v>292</v>
      </c>
      <c r="I351" t="s">
        <v>46</v>
      </c>
      <c r="K351" t="s">
        <v>1975</v>
      </c>
      <c r="L351" t="s">
        <v>48</v>
      </c>
      <c r="M351" t="s">
        <v>48</v>
      </c>
      <c r="N351" t="s">
        <v>48</v>
      </c>
      <c r="O351" t="s">
        <v>1951</v>
      </c>
      <c r="P351" t="s">
        <v>48</v>
      </c>
      <c r="Q351" t="s">
        <v>1952</v>
      </c>
      <c r="R351" t="s">
        <v>1976</v>
      </c>
      <c r="S351" t="s">
        <v>53</v>
      </c>
      <c r="T351" t="s">
        <v>81</v>
      </c>
      <c r="U351" t="s">
        <v>1978</v>
      </c>
      <c r="V351" t="s">
        <v>91</v>
      </c>
    </row>
    <row r="352" spans="1:22" x14ac:dyDescent="0.35">
      <c r="A352" t="s">
        <v>1979</v>
      </c>
      <c r="B352" t="s">
        <v>1875</v>
      </c>
      <c r="C352" t="s">
        <v>377</v>
      </c>
      <c r="D352" t="s">
        <v>60</v>
      </c>
      <c r="E352" t="s">
        <v>284</v>
      </c>
      <c r="F352" t="s">
        <v>103</v>
      </c>
      <c r="G352" t="s">
        <v>368</v>
      </c>
      <c r="H352" t="s">
        <v>292</v>
      </c>
      <c r="I352" t="s">
        <v>36</v>
      </c>
      <c r="K352" t="s">
        <v>1945</v>
      </c>
      <c r="L352" t="s">
        <v>49</v>
      </c>
      <c r="M352" t="s">
        <v>49</v>
      </c>
      <c r="N352" t="s">
        <v>48</v>
      </c>
      <c r="O352" t="s">
        <v>1980</v>
      </c>
      <c r="P352" t="s">
        <v>49</v>
      </c>
      <c r="Q352" t="s">
        <v>1981</v>
      </c>
      <c r="R352" t="s">
        <v>1982</v>
      </c>
      <c r="S352" t="s">
        <v>53</v>
      </c>
      <c r="T352" t="s">
        <v>1984</v>
      </c>
      <c r="U352" t="s">
        <v>1985</v>
      </c>
      <c r="V352" t="s">
        <v>91</v>
      </c>
    </row>
    <row r="353" spans="1:22" x14ac:dyDescent="0.35">
      <c r="A353" t="s">
        <v>1986</v>
      </c>
      <c r="B353" t="s">
        <v>1960</v>
      </c>
      <c r="C353" t="s">
        <v>44</v>
      </c>
      <c r="D353" t="s">
        <v>44</v>
      </c>
      <c r="E353" t="s">
        <v>60</v>
      </c>
      <c r="F353" t="s">
        <v>103</v>
      </c>
      <c r="G353" t="s">
        <v>103</v>
      </c>
      <c r="H353" t="s">
        <v>45</v>
      </c>
      <c r="I353" t="s">
        <v>46</v>
      </c>
      <c r="K353" t="s">
        <v>1961</v>
      </c>
      <c r="L353" t="s">
        <v>48</v>
      </c>
      <c r="M353" t="s">
        <v>48</v>
      </c>
      <c r="N353" t="s">
        <v>49</v>
      </c>
      <c r="O353" t="s">
        <v>1916</v>
      </c>
      <c r="P353" t="s">
        <v>49</v>
      </c>
      <c r="Q353" t="s">
        <v>1917</v>
      </c>
      <c r="R353" t="s">
        <v>1918</v>
      </c>
      <c r="S353" t="s">
        <v>79</v>
      </c>
      <c r="T353" t="s">
        <v>1889</v>
      </c>
      <c r="U353" t="s">
        <v>1988</v>
      </c>
      <c r="V353" t="s">
        <v>91</v>
      </c>
    </row>
    <row r="354" spans="1:22" x14ac:dyDescent="0.35">
      <c r="A354" t="s">
        <v>1989</v>
      </c>
      <c r="B354" t="s">
        <v>1929</v>
      </c>
      <c r="C354" t="s">
        <v>60</v>
      </c>
      <c r="D354" t="s">
        <v>28</v>
      </c>
      <c r="E354" t="s">
        <v>60</v>
      </c>
      <c r="F354" t="s">
        <v>173</v>
      </c>
      <c r="G354" t="s">
        <v>28</v>
      </c>
      <c r="H354" t="s">
        <v>368</v>
      </c>
      <c r="I354" t="s">
        <v>46</v>
      </c>
      <c r="K354" t="s">
        <v>1990</v>
      </c>
      <c r="L354" t="s">
        <v>48</v>
      </c>
      <c r="M354" t="s">
        <v>48</v>
      </c>
      <c r="N354" t="s">
        <v>48</v>
      </c>
      <c r="O354" t="s">
        <v>1951</v>
      </c>
      <c r="P354" t="s">
        <v>48</v>
      </c>
      <c r="Q354" t="s">
        <v>1952</v>
      </c>
      <c r="R354" t="s">
        <v>1976</v>
      </c>
      <c r="S354" t="s">
        <v>53</v>
      </c>
      <c r="T354" t="s">
        <v>81</v>
      </c>
      <c r="U354" t="s">
        <v>1992</v>
      </c>
      <c r="V354" t="s">
        <v>91</v>
      </c>
    </row>
    <row r="355" spans="1:22" x14ac:dyDescent="0.35">
      <c r="A355" t="s">
        <v>1993</v>
      </c>
      <c r="B355" t="s">
        <v>1899</v>
      </c>
      <c r="C355" t="s">
        <v>377</v>
      </c>
      <c r="D355" t="s">
        <v>28</v>
      </c>
      <c r="E355" t="s">
        <v>44</v>
      </c>
      <c r="F355" t="s">
        <v>28</v>
      </c>
      <c r="G355" t="s">
        <v>28</v>
      </c>
      <c r="H355" t="s">
        <v>28</v>
      </c>
      <c r="I355" t="s">
        <v>46</v>
      </c>
      <c r="K355" t="s">
        <v>1971</v>
      </c>
      <c r="L355" t="s">
        <v>48</v>
      </c>
      <c r="M355" t="s">
        <v>49</v>
      </c>
      <c r="N355" t="s">
        <v>48</v>
      </c>
      <c r="O355" t="s">
        <v>1923</v>
      </c>
      <c r="P355" t="s">
        <v>48</v>
      </c>
      <c r="Q355" t="s">
        <v>1924</v>
      </c>
      <c r="R355" t="s">
        <v>1925</v>
      </c>
      <c r="S355" t="s">
        <v>53</v>
      </c>
      <c r="T355" t="s">
        <v>1947</v>
      </c>
      <c r="U355" t="s">
        <v>1995</v>
      </c>
      <c r="V355" t="s">
        <v>129</v>
      </c>
    </row>
    <row r="356" spans="1:22" x14ac:dyDescent="0.35">
      <c r="A356" t="s">
        <v>1996</v>
      </c>
      <c r="B356" t="s">
        <v>1899</v>
      </c>
      <c r="C356" t="s">
        <v>44</v>
      </c>
      <c r="D356" t="s">
        <v>197</v>
      </c>
      <c r="E356" t="s">
        <v>157</v>
      </c>
      <c r="F356" t="s">
        <v>158</v>
      </c>
      <c r="G356" t="s">
        <v>28</v>
      </c>
      <c r="H356" t="s">
        <v>45</v>
      </c>
      <c r="I356" t="s">
        <v>46</v>
      </c>
      <c r="K356" t="s">
        <v>1922</v>
      </c>
      <c r="L356" t="s">
        <v>49</v>
      </c>
      <c r="M356" t="s">
        <v>49</v>
      </c>
      <c r="N356" t="s">
        <v>48</v>
      </c>
      <c r="O356" t="s">
        <v>1997</v>
      </c>
      <c r="P356" t="s">
        <v>49</v>
      </c>
      <c r="Q356" t="s">
        <v>1998</v>
      </c>
      <c r="R356" t="s">
        <v>1999</v>
      </c>
      <c r="S356" t="s">
        <v>53</v>
      </c>
      <c r="T356" t="s">
        <v>81</v>
      </c>
      <c r="U356" t="s">
        <v>2001</v>
      </c>
      <c r="V356" t="s">
        <v>170</v>
      </c>
    </row>
    <row r="357" spans="1:22" x14ac:dyDescent="0.35">
      <c r="A357" t="s">
        <v>2002</v>
      </c>
      <c r="B357" t="s">
        <v>1899</v>
      </c>
      <c r="C357" t="s">
        <v>28</v>
      </c>
      <c r="D357" t="s">
        <v>44</v>
      </c>
      <c r="E357" t="s">
        <v>157</v>
      </c>
      <c r="F357" t="s">
        <v>28</v>
      </c>
      <c r="G357" t="s">
        <v>173</v>
      </c>
      <c r="H357" t="s">
        <v>45</v>
      </c>
      <c r="I357" t="s">
        <v>46</v>
      </c>
      <c r="K357" t="s">
        <v>1971</v>
      </c>
      <c r="L357" t="s">
        <v>49</v>
      </c>
      <c r="M357" t="s">
        <v>49</v>
      </c>
      <c r="N357" t="s">
        <v>49</v>
      </c>
      <c r="O357" t="s">
        <v>2003</v>
      </c>
      <c r="P357" t="s">
        <v>49</v>
      </c>
      <c r="Q357" t="s">
        <v>1924</v>
      </c>
      <c r="R357" t="s">
        <v>1925</v>
      </c>
      <c r="S357" t="s">
        <v>53</v>
      </c>
      <c r="T357" t="s">
        <v>1947</v>
      </c>
      <c r="U357" t="s">
        <v>2005</v>
      </c>
      <c r="V357" t="s">
        <v>129</v>
      </c>
    </row>
    <row r="358" spans="1:22" x14ac:dyDescent="0.35">
      <c r="A358" t="s">
        <v>2006</v>
      </c>
      <c r="B358" t="s">
        <v>1929</v>
      </c>
      <c r="C358" t="s">
        <v>60</v>
      </c>
      <c r="D358" t="s">
        <v>28</v>
      </c>
      <c r="E358" t="s">
        <v>60</v>
      </c>
      <c r="F358" t="s">
        <v>197</v>
      </c>
      <c r="G358" t="s">
        <v>28</v>
      </c>
      <c r="H358" t="s">
        <v>292</v>
      </c>
      <c r="I358" t="s">
        <v>36</v>
      </c>
      <c r="K358" t="s">
        <v>1971</v>
      </c>
      <c r="L358" t="s">
        <v>48</v>
      </c>
      <c r="M358" t="s">
        <v>48</v>
      </c>
      <c r="N358" t="s">
        <v>48</v>
      </c>
      <c r="O358" t="s">
        <v>1951</v>
      </c>
      <c r="P358" t="s">
        <v>48</v>
      </c>
      <c r="Q358" t="s">
        <v>1952</v>
      </c>
      <c r="R358" t="s">
        <v>1976</v>
      </c>
      <c r="S358" t="s">
        <v>53</v>
      </c>
      <c r="T358" t="s">
        <v>81</v>
      </c>
      <c r="U358" t="s">
        <v>2008</v>
      </c>
      <c r="V358" t="s">
        <v>91</v>
      </c>
    </row>
    <row r="359" spans="1:22" x14ac:dyDescent="0.35">
      <c r="A359" t="s">
        <v>2009</v>
      </c>
      <c r="B359" t="s">
        <v>1960</v>
      </c>
      <c r="C359" t="s">
        <v>29</v>
      </c>
      <c r="D359" t="s">
        <v>29</v>
      </c>
      <c r="E359" t="s">
        <v>28</v>
      </c>
      <c r="F359" t="s">
        <v>173</v>
      </c>
      <c r="G359" t="s">
        <v>173</v>
      </c>
      <c r="H359" t="s">
        <v>292</v>
      </c>
      <c r="I359" t="s">
        <v>46</v>
      </c>
      <c r="K359" t="s">
        <v>2010</v>
      </c>
      <c r="L359" t="s">
        <v>48</v>
      </c>
      <c r="M359" t="s">
        <v>48</v>
      </c>
      <c r="N359" t="s">
        <v>40</v>
      </c>
      <c r="O359" t="s">
        <v>1885</v>
      </c>
      <c r="P359" t="s">
        <v>38</v>
      </c>
      <c r="Q359" t="s">
        <v>2011</v>
      </c>
      <c r="R359" t="s">
        <v>1887</v>
      </c>
      <c r="S359" t="s">
        <v>65</v>
      </c>
      <c r="T359" t="s">
        <v>1889</v>
      </c>
      <c r="U359" t="s">
        <v>2013</v>
      </c>
      <c r="V359" t="s">
        <v>91</v>
      </c>
    </row>
    <row r="360" spans="1:22" x14ac:dyDescent="0.35">
      <c r="A360" t="s">
        <v>2014</v>
      </c>
      <c r="B360" t="s">
        <v>2015</v>
      </c>
      <c r="C360" t="s">
        <v>28</v>
      </c>
      <c r="D360" t="s">
        <v>60</v>
      </c>
      <c r="E360" t="s">
        <v>60</v>
      </c>
      <c r="F360" t="s">
        <v>173</v>
      </c>
      <c r="G360" t="s">
        <v>103</v>
      </c>
      <c r="H360" t="s">
        <v>28</v>
      </c>
      <c r="I360" t="s">
        <v>46</v>
      </c>
      <c r="K360" t="s">
        <v>1945</v>
      </c>
      <c r="L360" t="s">
        <v>38</v>
      </c>
      <c r="M360" t="s">
        <v>48</v>
      </c>
      <c r="N360" t="s">
        <v>49</v>
      </c>
      <c r="P360" t="s">
        <v>38</v>
      </c>
      <c r="S360" t="s">
        <v>53</v>
      </c>
      <c r="T360" t="s">
        <v>81</v>
      </c>
      <c r="U360" t="s">
        <v>2017</v>
      </c>
      <c r="V360" t="s">
        <v>91</v>
      </c>
    </row>
    <row r="361" spans="1:22" x14ac:dyDescent="0.35">
      <c r="A361" t="s">
        <v>2018</v>
      </c>
      <c r="B361" t="s">
        <v>2019</v>
      </c>
      <c r="C361" t="s">
        <v>28</v>
      </c>
      <c r="D361" t="s">
        <v>28</v>
      </c>
      <c r="E361" t="s">
        <v>157</v>
      </c>
      <c r="F361" t="s">
        <v>197</v>
      </c>
      <c r="G361" t="s">
        <v>94</v>
      </c>
      <c r="H361" t="s">
        <v>368</v>
      </c>
      <c r="I361" t="s">
        <v>36</v>
      </c>
      <c r="K361" t="s">
        <v>1945</v>
      </c>
      <c r="L361" t="s">
        <v>40</v>
      </c>
      <c r="M361" t="s">
        <v>38</v>
      </c>
      <c r="N361" t="s">
        <v>38</v>
      </c>
      <c r="O361" t="s">
        <v>1941</v>
      </c>
      <c r="Q361" t="s">
        <v>2020</v>
      </c>
      <c r="R361" t="s">
        <v>2021</v>
      </c>
      <c r="S361" t="s">
        <v>53</v>
      </c>
      <c r="T361" t="s">
        <v>81</v>
      </c>
      <c r="U361" t="s">
        <v>2023</v>
      </c>
      <c r="V361" t="s">
        <v>91</v>
      </c>
    </row>
    <row r="362" spans="1:22" x14ac:dyDescent="0.35">
      <c r="A362" t="s">
        <v>2024</v>
      </c>
      <c r="B362" t="s">
        <v>1929</v>
      </c>
      <c r="C362" t="s">
        <v>28</v>
      </c>
      <c r="D362" t="s">
        <v>60</v>
      </c>
      <c r="E362" t="s">
        <v>284</v>
      </c>
      <c r="F362" t="s">
        <v>28</v>
      </c>
      <c r="G362" t="s">
        <v>368</v>
      </c>
      <c r="H362" t="s">
        <v>292</v>
      </c>
      <c r="I362" t="s">
        <v>46</v>
      </c>
      <c r="K362" t="s">
        <v>1971</v>
      </c>
      <c r="L362" t="s">
        <v>48</v>
      </c>
      <c r="M362" t="s">
        <v>48</v>
      </c>
      <c r="N362" t="s">
        <v>48</v>
      </c>
      <c r="O362" t="s">
        <v>1951</v>
      </c>
      <c r="P362" t="s">
        <v>48</v>
      </c>
      <c r="Q362" t="s">
        <v>1952</v>
      </c>
      <c r="R362" t="s">
        <v>1976</v>
      </c>
      <c r="S362" t="s">
        <v>53</v>
      </c>
      <c r="T362" t="s">
        <v>81</v>
      </c>
      <c r="U362" t="s">
        <v>2026</v>
      </c>
      <c r="V362" t="s">
        <v>91</v>
      </c>
    </row>
    <row r="363" spans="1:22" x14ac:dyDescent="0.35">
      <c r="A363" t="s">
        <v>2027</v>
      </c>
      <c r="B363" t="s">
        <v>1899</v>
      </c>
      <c r="C363" t="s">
        <v>44</v>
      </c>
      <c r="D363" t="s">
        <v>44</v>
      </c>
      <c r="E363" t="s">
        <v>28</v>
      </c>
      <c r="F363" t="s">
        <v>28</v>
      </c>
      <c r="G363" t="s">
        <v>28</v>
      </c>
      <c r="H363" t="s">
        <v>28</v>
      </c>
      <c r="I363" t="s">
        <v>36</v>
      </c>
      <c r="K363" t="s">
        <v>2028</v>
      </c>
      <c r="L363" t="s">
        <v>49</v>
      </c>
      <c r="M363" t="s">
        <v>49</v>
      </c>
      <c r="N363" t="s">
        <v>49</v>
      </c>
      <c r="O363" t="s">
        <v>1923</v>
      </c>
      <c r="P363" t="s">
        <v>49</v>
      </c>
      <c r="Q363" t="s">
        <v>1924</v>
      </c>
      <c r="R363" t="s">
        <v>1925</v>
      </c>
      <c r="S363" t="s">
        <v>53</v>
      </c>
      <c r="T363" t="s">
        <v>2030</v>
      </c>
      <c r="U363" t="s">
        <v>2031</v>
      </c>
      <c r="V363" t="s">
        <v>129</v>
      </c>
    </row>
    <row r="364" spans="1:22" x14ac:dyDescent="0.35">
      <c r="A364" t="s">
        <v>2032</v>
      </c>
      <c r="B364" t="s">
        <v>2033</v>
      </c>
      <c r="C364" t="s">
        <v>28</v>
      </c>
      <c r="D364" t="s">
        <v>60</v>
      </c>
      <c r="E364" t="s">
        <v>284</v>
      </c>
      <c r="F364" t="s">
        <v>30</v>
      </c>
      <c r="G364" t="s">
        <v>45</v>
      </c>
      <c r="H364" t="s">
        <v>61</v>
      </c>
      <c r="I364" t="s">
        <v>46</v>
      </c>
      <c r="K364" t="s">
        <v>1945</v>
      </c>
      <c r="L364" t="s">
        <v>49</v>
      </c>
      <c r="M364" t="s">
        <v>48</v>
      </c>
      <c r="N364" t="s">
        <v>49</v>
      </c>
      <c r="O364" t="s">
        <v>2034</v>
      </c>
      <c r="P364" t="s">
        <v>48</v>
      </c>
      <c r="Q364" t="s">
        <v>2035</v>
      </c>
      <c r="R364" t="s">
        <v>2036</v>
      </c>
      <c r="S364" t="s">
        <v>53</v>
      </c>
      <c r="T364" t="s">
        <v>1984</v>
      </c>
      <c r="U364" t="s">
        <v>2038</v>
      </c>
      <c r="V364" t="s">
        <v>91</v>
      </c>
    </row>
    <row r="365" spans="1:22" x14ac:dyDescent="0.35">
      <c r="A365" t="s">
        <v>2039</v>
      </c>
      <c r="B365" t="s">
        <v>1929</v>
      </c>
      <c r="C365" t="s">
        <v>60</v>
      </c>
      <c r="D365" t="s">
        <v>28</v>
      </c>
      <c r="E365" t="s">
        <v>284</v>
      </c>
      <c r="F365" t="s">
        <v>28</v>
      </c>
      <c r="G365" t="s">
        <v>45</v>
      </c>
      <c r="H365" t="s">
        <v>292</v>
      </c>
      <c r="I365" t="s">
        <v>36</v>
      </c>
      <c r="K365" t="s">
        <v>2040</v>
      </c>
      <c r="L365" t="s">
        <v>48</v>
      </c>
      <c r="M365" t="s">
        <v>48</v>
      </c>
      <c r="N365" t="s">
        <v>48</v>
      </c>
      <c r="O365" t="s">
        <v>1951</v>
      </c>
      <c r="P365" t="s">
        <v>48</v>
      </c>
      <c r="Q365" t="s">
        <v>1952</v>
      </c>
      <c r="R365" t="s">
        <v>1976</v>
      </c>
      <c r="S365" t="s">
        <v>53</v>
      </c>
      <c r="T365" t="s">
        <v>2042</v>
      </c>
      <c r="U365" t="s">
        <v>2043</v>
      </c>
      <c r="V365" t="s">
        <v>91</v>
      </c>
    </row>
    <row r="366" spans="1:22" x14ac:dyDescent="0.35">
      <c r="A366" t="s">
        <v>2044</v>
      </c>
      <c r="B366" t="s">
        <v>2045</v>
      </c>
      <c r="C366" t="s">
        <v>33</v>
      </c>
      <c r="D366" t="s">
        <v>33</v>
      </c>
      <c r="E366" t="s">
        <v>33</v>
      </c>
      <c r="F366" t="s">
        <v>30</v>
      </c>
      <c r="G366" t="s">
        <v>45</v>
      </c>
      <c r="H366" t="s">
        <v>74</v>
      </c>
      <c r="I366" t="s">
        <v>46</v>
      </c>
      <c r="K366" t="s">
        <v>1971</v>
      </c>
      <c r="L366" t="s">
        <v>38</v>
      </c>
      <c r="M366" t="s">
        <v>49</v>
      </c>
      <c r="N366" t="s">
        <v>38</v>
      </c>
      <c r="O366" t="s">
        <v>2046</v>
      </c>
      <c r="P366" t="s">
        <v>39</v>
      </c>
      <c r="Q366" t="s">
        <v>2047</v>
      </c>
      <c r="R366" t="s">
        <v>2048</v>
      </c>
      <c r="S366" t="s">
        <v>53</v>
      </c>
      <c r="T366" t="s">
        <v>81</v>
      </c>
      <c r="U366" t="s">
        <v>2050</v>
      </c>
      <c r="V366" t="s">
        <v>91</v>
      </c>
    </row>
    <row r="367" spans="1:22" x14ac:dyDescent="0.35">
      <c r="A367" t="s">
        <v>2051</v>
      </c>
      <c r="B367" t="s">
        <v>1899</v>
      </c>
      <c r="C367" t="s">
        <v>29</v>
      </c>
      <c r="D367" t="s">
        <v>158</v>
      </c>
      <c r="E367" t="s">
        <v>284</v>
      </c>
      <c r="F367" t="s">
        <v>158</v>
      </c>
      <c r="G367" t="s">
        <v>28</v>
      </c>
      <c r="H367" t="s">
        <v>368</v>
      </c>
      <c r="I367" t="s">
        <v>46</v>
      </c>
      <c r="K367" t="s">
        <v>2028</v>
      </c>
      <c r="L367" t="s">
        <v>49</v>
      </c>
      <c r="M367" t="s">
        <v>49</v>
      </c>
      <c r="N367" t="s">
        <v>49</v>
      </c>
      <c r="O367" t="s">
        <v>1923</v>
      </c>
      <c r="P367" t="s">
        <v>49</v>
      </c>
      <c r="Q367" t="s">
        <v>1924</v>
      </c>
      <c r="R367" t="s">
        <v>1925</v>
      </c>
      <c r="S367" t="s">
        <v>53</v>
      </c>
      <c r="T367" t="s">
        <v>2030</v>
      </c>
      <c r="U367" t="s">
        <v>2053</v>
      </c>
      <c r="V367" t="s">
        <v>91</v>
      </c>
    </row>
    <row r="368" spans="1:22" x14ac:dyDescent="0.35">
      <c r="A368" t="s">
        <v>2054</v>
      </c>
      <c r="B368" t="s">
        <v>2055</v>
      </c>
      <c r="C368" t="s">
        <v>29</v>
      </c>
      <c r="D368" t="s">
        <v>60</v>
      </c>
      <c r="E368" t="s">
        <v>44</v>
      </c>
      <c r="F368" t="s">
        <v>173</v>
      </c>
      <c r="G368" t="s">
        <v>28</v>
      </c>
      <c r="H368" t="s">
        <v>368</v>
      </c>
      <c r="I368" t="s">
        <v>46</v>
      </c>
      <c r="K368" t="s">
        <v>2056</v>
      </c>
      <c r="L368" t="s">
        <v>48</v>
      </c>
      <c r="M368" t="s">
        <v>48</v>
      </c>
      <c r="N368" t="s">
        <v>49</v>
      </c>
      <c r="O368" t="s">
        <v>1916</v>
      </c>
      <c r="P368" t="s">
        <v>49</v>
      </c>
      <c r="Q368" t="s">
        <v>1962</v>
      </c>
      <c r="R368" t="s">
        <v>1918</v>
      </c>
      <c r="S368" t="s">
        <v>53</v>
      </c>
      <c r="T368" t="s">
        <v>1947</v>
      </c>
      <c r="U368" t="s">
        <v>2013</v>
      </c>
      <c r="V368" t="s">
        <v>91</v>
      </c>
    </row>
    <row r="369" spans="1:22" x14ac:dyDescent="0.35">
      <c r="A369" t="s">
        <v>2058</v>
      </c>
      <c r="B369" t="s">
        <v>2059</v>
      </c>
      <c r="C369" t="s">
        <v>28</v>
      </c>
      <c r="D369" t="s">
        <v>28</v>
      </c>
      <c r="E369" t="s">
        <v>28</v>
      </c>
      <c r="F369" t="s">
        <v>28</v>
      </c>
      <c r="G369" t="s">
        <v>28</v>
      </c>
      <c r="H369" t="s">
        <v>28</v>
      </c>
      <c r="I369" t="s">
        <v>46</v>
      </c>
      <c r="K369" t="s">
        <v>1966</v>
      </c>
      <c r="L369" t="s">
        <v>49</v>
      </c>
      <c r="M369" t="s">
        <v>49</v>
      </c>
      <c r="N369" t="s">
        <v>49</v>
      </c>
      <c r="P369" t="s">
        <v>49</v>
      </c>
      <c r="Q369" t="s">
        <v>1998</v>
      </c>
      <c r="R369" t="s">
        <v>2060</v>
      </c>
      <c r="S369" t="s">
        <v>53</v>
      </c>
      <c r="T369" t="s">
        <v>81</v>
      </c>
      <c r="U369" t="s">
        <v>2061</v>
      </c>
      <c r="V369" t="s">
        <v>91</v>
      </c>
    </row>
    <row r="370" spans="1:22" x14ac:dyDescent="0.35">
      <c r="A370" t="s">
        <v>2062</v>
      </c>
      <c r="B370" t="s">
        <v>1899</v>
      </c>
      <c r="C370" t="s">
        <v>44</v>
      </c>
      <c r="D370" t="s">
        <v>158</v>
      </c>
      <c r="E370" t="s">
        <v>284</v>
      </c>
      <c r="F370" t="s">
        <v>173</v>
      </c>
      <c r="G370" t="s">
        <v>103</v>
      </c>
      <c r="H370" t="s">
        <v>28</v>
      </c>
      <c r="I370" t="s">
        <v>46</v>
      </c>
      <c r="K370" t="s">
        <v>2063</v>
      </c>
      <c r="L370" t="s">
        <v>49</v>
      </c>
      <c r="M370" t="s">
        <v>49</v>
      </c>
      <c r="N370" t="s">
        <v>49</v>
      </c>
      <c r="O370" t="s">
        <v>1923</v>
      </c>
      <c r="P370" t="s">
        <v>49</v>
      </c>
      <c r="Q370" t="s">
        <v>1924</v>
      </c>
      <c r="R370" t="s">
        <v>1925</v>
      </c>
      <c r="S370" t="s">
        <v>53</v>
      </c>
      <c r="T370" t="s">
        <v>2065</v>
      </c>
      <c r="U370" t="s">
        <v>2066</v>
      </c>
      <c r="V370" t="s">
        <v>91</v>
      </c>
    </row>
    <row r="371" spans="1:22" x14ac:dyDescent="0.35">
      <c r="A371" t="s">
        <v>2067</v>
      </c>
      <c r="B371" t="s">
        <v>1929</v>
      </c>
      <c r="C371" t="s">
        <v>29</v>
      </c>
      <c r="D371" t="s">
        <v>60</v>
      </c>
      <c r="E371" t="s">
        <v>206</v>
      </c>
      <c r="F371" t="s">
        <v>28</v>
      </c>
      <c r="G371" t="s">
        <v>173</v>
      </c>
      <c r="H371" t="s">
        <v>368</v>
      </c>
      <c r="I371" t="s">
        <v>36</v>
      </c>
      <c r="K371" t="s">
        <v>2068</v>
      </c>
      <c r="L371" t="s">
        <v>48</v>
      </c>
      <c r="M371" t="s">
        <v>48</v>
      </c>
      <c r="N371" t="s">
        <v>48</v>
      </c>
      <c r="O371" t="s">
        <v>1951</v>
      </c>
      <c r="P371" t="s">
        <v>48</v>
      </c>
      <c r="Q371" t="s">
        <v>1952</v>
      </c>
      <c r="R371" t="s">
        <v>1976</v>
      </c>
      <c r="S371" t="s">
        <v>53</v>
      </c>
      <c r="T371" t="s">
        <v>2042</v>
      </c>
      <c r="U371" t="s">
        <v>193</v>
      </c>
      <c r="V371" t="s">
        <v>91</v>
      </c>
    </row>
    <row r="372" spans="1:22" x14ac:dyDescent="0.35">
      <c r="A372" t="s">
        <v>2070</v>
      </c>
      <c r="B372" t="s">
        <v>1899</v>
      </c>
      <c r="C372" t="s">
        <v>60</v>
      </c>
      <c r="D372" t="s">
        <v>28</v>
      </c>
      <c r="E372" t="s">
        <v>284</v>
      </c>
      <c r="F372" t="s">
        <v>103</v>
      </c>
      <c r="G372" t="s">
        <v>28</v>
      </c>
      <c r="H372" t="s">
        <v>28</v>
      </c>
      <c r="I372" t="s">
        <v>36</v>
      </c>
      <c r="K372" t="s">
        <v>2071</v>
      </c>
      <c r="L372" t="s">
        <v>49</v>
      </c>
      <c r="M372" t="s">
        <v>48</v>
      </c>
      <c r="N372" t="s">
        <v>48</v>
      </c>
      <c r="O372" t="s">
        <v>1967</v>
      </c>
      <c r="P372" t="s">
        <v>48</v>
      </c>
      <c r="Q372" t="s">
        <v>1924</v>
      </c>
      <c r="R372" t="s">
        <v>2072</v>
      </c>
      <c r="S372" t="s">
        <v>53</v>
      </c>
      <c r="T372" t="s">
        <v>2065</v>
      </c>
      <c r="U372" t="s">
        <v>2074</v>
      </c>
      <c r="V372" t="s">
        <v>91</v>
      </c>
    </row>
    <row r="373" spans="1:22" x14ac:dyDescent="0.35">
      <c r="A373" t="s">
        <v>2075</v>
      </c>
      <c r="B373" t="s">
        <v>1929</v>
      </c>
      <c r="C373" t="s">
        <v>29</v>
      </c>
      <c r="D373" t="s">
        <v>60</v>
      </c>
      <c r="E373" t="s">
        <v>206</v>
      </c>
      <c r="F373" t="s">
        <v>28</v>
      </c>
      <c r="G373" t="s">
        <v>368</v>
      </c>
      <c r="H373" t="s">
        <v>292</v>
      </c>
      <c r="I373" t="s">
        <v>46</v>
      </c>
      <c r="K373" t="s">
        <v>2063</v>
      </c>
      <c r="L373" t="s">
        <v>48</v>
      </c>
      <c r="M373" t="s">
        <v>48</v>
      </c>
      <c r="N373" t="s">
        <v>48</v>
      </c>
      <c r="O373" t="s">
        <v>1951</v>
      </c>
      <c r="P373" t="s">
        <v>48</v>
      </c>
      <c r="Q373" t="s">
        <v>1952</v>
      </c>
      <c r="R373" t="s">
        <v>1976</v>
      </c>
      <c r="S373" t="s">
        <v>53</v>
      </c>
      <c r="T373" t="s">
        <v>2077</v>
      </c>
      <c r="U373" t="s">
        <v>2078</v>
      </c>
      <c r="V373" t="s">
        <v>91</v>
      </c>
    </row>
    <row r="374" spans="1:22" x14ac:dyDescent="0.35">
      <c r="A374" t="s">
        <v>2079</v>
      </c>
      <c r="B374" t="s">
        <v>1960</v>
      </c>
      <c r="C374" t="s">
        <v>29</v>
      </c>
      <c r="D374" t="s">
        <v>44</v>
      </c>
      <c r="E374" t="s">
        <v>60</v>
      </c>
      <c r="F374" t="s">
        <v>103</v>
      </c>
      <c r="G374" t="s">
        <v>28</v>
      </c>
      <c r="H374" t="s">
        <v>368</v>
      </c>
      <c r="I374" t="s">
        <v>36</v>
      </c>
      <c r="K374" t="s">
        <v>2080</v>
      </c>
      <c r="L374" t="s">
        <v>48</v>
      </c>
      <c r="M374" t="s">
        <v>48</v>
      </c>
      <c r="N374" t="s">
        <v>38</v>
      </c>
      <c r="O374" t="s">
        <v>1885</v>
      </c>
      <c r="P374" t="s">
        <v>38</v>
      </c>
      <c r="Q374" t="s">
        <v>2081</v>
      </c>
      <c r="R374" t="s">
        <v>1887</v>
      </c>
      <c r="S374" t="s">
        <v>53</v>
      </c>
      <c r="T374" t="s">
        <v>2083</v>
      </c>
      <c r="U374" t="s">
        <v>2013</v>
      </c>
      <c r="V374" t="s">
        <v>91</v>
      </c>
    </row>
    <row r="375" spans="1:22" x14ac:dyDescent="0.35">
      <c r="A375" t="s">
        <v>1970</v>
      </c>
      <c r="B375" t="s">
        <v>2033</v>
      </c>
      <c r="C375" t="s">
        <v>44</v>
      </c>
      <c r="D375" t="s">
        <v>28</v>
      </c>
      <c r="E375" t="s">
        <v>157</v>
      </c>
      <c r="F375" t="s">
        <v>173</v>
      </c>
      <c r="G375" t="s">
        <v>45</v>
      </c>
      <c r="H375" t="s">
        <v>368</v>
      </c>
      <c r="I375" t="s">
        <v>46</v>
      </c>
      <c r="K375" t="s">
        <v>1971</v>
      </c>
      <c r="L375" t="s">
        <v>48</v>
      </c>
      <c r="M375" t="s">
        <v>48</v>
      </c>
      <c r="N375" t="s">
        <v>48</v>
      </c>
      <c r="O375" t="s">
        <v>2084</v>
      </c>
      <c r="P375" t="s">
        <v>48</v>
      </c>
      <c r="Q375" t="s">
        <v>2085</v>
      </c>
      <c r="R375" t="s">
        <v>2086</v>
      </c>
      <c r="S375" t="s">
        <v>53</v>
      </c>
      <c r="T375" t="s">
        <v>1984</v>
      </c>
      <c r="U375" t="s">
        <v>1973</v>
      </c>
      <c r="V375" t="s">
        <v>91</v>
      </c>
    </row>
    <row r="376" spans="1:22" x14ac:dyDescent="0.35">
      <c r="A376" t="s">
        <v>2087</v>
      </c>
      <c r="B376" t="s">
        <v>1899</v>
      </c>
      <c r="C376" t="s">
        <v>60</v>
      </c>
      <c r="D376" t="s">
        <v>28</v>
      </c>
      <c r="E376" t="s">
        <v>28</v>
      </c>
      <c r="F376" t="s">
        <v>28</v>
      </c>
      <c r="G376" t="s">
        <v>28</v>
      </c>
      <c r="H376" t="s">
        <v>28</v>
      </c>
      <c r="I376" t="s">
        <v>36</v>
      </c>
      <c r="K376" t="s">
        <v>2088</v>
      </c>
      <c r="L376" t="s">
        <v>49</v>
      </c>
      <c r="M376" t="s">
        <v>49</v>
      </c>
      <c r="N376" t="s">
        <v>49</v>
      </c>
      <c r="O376" t="s">
        <v>1923</v>
      </c>
      <c r="P376" t="s">
        <v>48</v>
      </c>
      <c r="Q376" t="s">
        <v>2089</v>
      </c>
      <c r="R376" t="s">
        <v>2072</v>
      </c>
      <c r="S376" t="s">
        <v>53</v>
      </c>
      <c r="T376" t="s">
        <v>2065</v>
      </c>
      <c r="U376" t="s">
        <v>2091</v>
      </c>
      <c r="V376" t="s">
        <v>129</v>
      </c>
    </row>
    <row r="377" spans="1:22" x14ac:dyDescent="0.35">
      <c r="A377" t="s">
        <v>2092</v>
      </c>
      <c r="B377" t="s">
        <v>2055</v>
      </c>
      <c r="C377" t="s">
        <v>44</v>
      </c>
      <c r="D377" t="s">
        <v>60</v>
      </c>
      <c r="E377" t="s">
        <v>29</v>
      </c>
      <c r="F377" t="s">
        <v>103</v>
      </c>
      <c r="G377" t="s">
        <v>103</v>
      </c>
      <c r="H377" t="s">
        <v>45</v>
      </c>
      <c r="I377" t="s">
        <v>36</v>
      </c>
      <c r="K377" t="s">
        <v>2093</v>
      </c>
      <c r="L377" t="s">
        <v>48</v>
      </c>
      <c r="M377" t="s">
        <v>48</v>
      </c>
      <c r="N377" t="s">
        <v>38</v>
      </c>
      <c r="O377" t="s">
        <v>2094</v>
      </c>
      <c r="P377" t="s">
        <v>38</v>
      </c>
      <c r="Q377" t="s">
        <v>2095</v>
      </c>
      <c r="R377" t="s">
        <v>2096</v>
      </c>
      <c r="S377" t="s">
        <v>53</v>
      </c>
      <c r="T377" t="s">
        <v>2042</v>
      </c>
      <c r="U377" t="s">
        <v>759</v>
      </c>
      <c r="V377" t="s">
        <v>91</v>
      </c>
    </row>
    <row r="378" spans="1:22" x14ac:dyDescent="0.35">
      <c r="A378" t="s">
        <v>2006</v>
      </c>
      <c r="B378" t="s">
        <v>2098</v>
      </c>
      <c r="C378" t="s">
        <v>449</v>
      </c>
      <c r="D378" t="s">
        <v>28</v>
      </c>
      <c r="E378" t="s">
        <v>29</v>
      </c>
      <c r="F378" t="s">
        <v>28</v>
      </c>
      <c r="G378" t="s">
        <v>103</v>
      </c>
      <c r="H378" t="s">
        <v>28</v>
      </c>
      <c r="I378" t="s">
        <v>36</v>
      </c>
      <c r="K378" t="s">
        <v>1971</v>
      </c>
      <c r="L378" t="s">
        <v>38</v>
      </c>
      <c r="M378" t="s">
        <v>38</v>
      </c>
      <c r="N378" t="s">
        <v>38</v>
      </c>
      <c r="O378" t="s">
        <v>2099</v>
      </c>
      <c r="P378" t="s">
        <v>38</v>
      </c>
      <c r="Q378" t="s">
        <v>2100</v>
      </c>
      <c r="R378" t="s">
        <v>1999</v>
      </c>
      <c r="S378" t="s">
        <v>53</v>
      </c>
      <c r="T378" t="s">
        <v>81</v>
      </c>
      <c r="U378" t="s">
        <v>2008</v>
      </c>
      <c r="V378" t="s">
        <v>91</v>
      </c>
    </row>
    <row r="379" spans="1:22" x14ac:dyDescent="0.35">
      <c r="A379" t="s">
        <v>2101</v>
      </c>
      <c r="B379" t="s">
        <v>1899</v>
      </c>
      <c r="C379" t="s">
        <v>344</v>
      </c>
      <c r="D379" t="s">
        <v>28</v>
      </c>
      <c r="E379" t="s">
        <v>44</v>
      </c>
      <c r="F379" t="s">
        <v>158</v>
      </c>
      <c r="G379" t="s">
        <v>173</v>
      </c>
      <c r="H379" t="s">
        <v>368</v>
      </c>
      <c r="I379" t="s">
        <v>46</v>
      </c>
      <c r="K379" t="s">
        <v>2088</v>
      </c>
      <c r="L379" t="s">
        <v>49</v>
      </c>
      <c r="M379" t="s">
        <v>48</v>
      </c>
      <c r="N379" t="s">
        <v>48</v>
      </c>
      <c r="O379" t="s">
        <v>1923</v>
      </c>
      <c r="P379" t="s">
        <v>48</v>
      </c>
      <c r="Q379" t="s">
        <v>2089</v>
      </c>
      <c r="R379" t="s">
        <v>2072</v>
      </c>
      <c r="S379" t="s">
        <v>53</v>
      </c>
      <c r="T379" t="s">
        <v>2065</v>
      </c>
      <c r="U379" t="s">
        <v>2103</v>
      </c>
      <c r="V379" t="s">
        <v>91</v>
      </c>
    </row>
    <row r="380" spans="1:22" x14ac:dyDescent="0.35">
      <c r="A380" t="s">
        <v>2104</v>
      </c>
      <c r="B380" t="s">
        <v>2105</v>
      </c>
      <c r="C380" t="s">
        <v>60</v>
      </c>
      <c r="D380" t="s">
        <v>44</v>
      </c>
      <c r="E380" t="s">
        <v>28</v>
      </c>
      <c r="F380" t="s">
        <v>173</v>
      </c>
      <c r="G380" t="s">
        <v>94</v>
      </c>
      <c r="H380" t="s">
        <v>368</v>
      </c>
      <c r="I380" t="s">
        <v>46</v>
      </c>
      <c r="K380" t="s">
        <v>2071</v>
      </c>
      <c r="L380" t="s">
        <v>48</v>
      </c>
      <c r="M380" t="s">
        <v>48</v>
      </c>
      <c r="N380" t="s">
        <v>48</v>
      </c>
      <c r="O380" t="s">
        <v>1951</v>
      </c>
      <c r="P380" t="s">
        <v>48</v>
      </c>
      <c r="Q380" t="s">
        <v>1952</v>
      </c>
      <c r="R380" t="s">
        <v>1976</v>
      </c>
      <c r="S380" t="s">
        <v>53</v>
      </c>
      <c r="T380" t="s">
        <v>2107</v>
      </c>
      <c r="U380" t="s">
        <v>2108</v>
      </c>
      <c r="V380" t="s">
        <v>91</v>
      </c>
    </row>
    <row r="381" spans="1:22" x14ac:dyDescent="0.35">
      <c r="A381" t="s">
        <v>2109</v>
      </c>
      <c r="B381" t="s">
        <v>1899</v>
      </c>
      <c r="C381" t="s">
        <v>44</v>
      </c>
      <c r="D381" t="s">
        <v>28</v>
      </c>
      <c r="E381" t="s">
        <v>157</v>
      </c>
      <c r="F381" t="s">
        <v>28</v>
      </c>
      <c r="G381" t="s">
        <v>103</v>
      </c>
      <c r="H381" t="s">
        <v>45</v>
      </c>
      <c r="I381" t="s">
        <v>46</v>
      </c>
      <c r="K381" t="s">
        <v>2110</v>
      </c>
      <c r="L381" t="s">
        <v>48</v>
      </c>
      <c r="M381" t="s">
        <v>48</v>
      </c>
      <c r="N381" t="s">
        <v>48</v>
      </c>
      <c r="O381" t="s">
        <v>1923</v>
      </c>
      <c r="P381" t="s">
        <v>48</v>
      </c>
      <c r="Q381" t="s">
        <v>2089</v>
      </c>
      <c r="R381" t="s">
        <v>2072</v>
      </c>
      <c r="S381" t="s">
        <v>53</v>
      </c>
      <c r="T381" t="s">
        <v>2065</v>
      </c>
      <c r="U381" t="s">
        <v>2112</v>
      </c>
      <c r="V381" t="s">
        <v>91</v>
      </c>
    </row>
    <row r="382" spans="1:22" x14ac:dyDescent="0.35">
      <c r="A382" t="s">
        <v>1993</v>
      </c>
      <c r="B382" t="s">
        <v>2033</v>
      </c>
      <c r="C382" t="s">
        <v>377</v>
      </c>
      <c r="D382" t="s">
        <v>60</v>
      </c>
      <c r="E382" t="s">
        <v>28</v>
      </c>
      <c r="F382" t="s">
        <v>197</v>
      </c>
      <c r="G382" t="s">
        <v>173</v>
      </c>
      <c r="H382" t="s">
        <v>45</v>
      </c>
      <c r="I382" t="s">
        <v>46</v>
      </c>
      <c r="K382" t="s">
        <v>1971</v>
      </c>
      <c r="L382" t="s">
        <v>49</v>
      </c>
      <c r="M382" t="s">
        <v>49</v>
      </c>
      <c r="N382" t="s">
        <v>49</v>
      </c>
      <c r="O382" t="s">
        <v>2113</v>
      </c>
      <c r="P382" t="s">
        <v>49</v>
      </c>
      <c r="Q382" t="s">
        <v>2114</v>
      </c>
      <c r="R382" t="s">
        <v>2115</v>
      </c>
      <c r="S382" t="s">
        <v>53</v>
      </c>
      <c r="T382" t="s">
        <v>1889</v>
      </c>
      <c r="U382" t="s">
        <v>1995</v>
      </c>
      <c r="V382" t="s">
        <v>91</v>
      </c>
    </row>
    <row r="383" spans="1:22" x14ac:dyDescent="0.35">
      <c r="A383" t="s">
        <v>2116</v>
      </c>
      <c r="B383" t="s">
        <v>2105</v>
      </c>
      <c r="C383" t="s">
        <v>29</v>
      </c>
      <c r="D383" t="s">
        <v>60</v>
      </c>
      <c r="E383" t="s">
        <v>28</v>
      </c>
      <c r="F383" t="s">
        <v>158</v>
      </c>
      <c r="G383" t="s">
        <v>94</v>
      </c>
      <c r="H383" t="s">
        <v>28</v>
      </c>
      <c r="I383" t="s">
        <v>46</v>
      </c>
      <c r="K383" t="s">
        <v>2088</v>
      </c>
      <c r="L383" t="s">
        <v>48</v>
      </c>
      <c r="M383" t="s">
        <v>48</v>
      </c>
      <c r="N383" t="s">
        <v>48</v>
      </c>
      <c r="O383" t="s">
        <v>1951</v>
      </c>
      <c r="P383" t="s">
        <v>48</v>
      </c>
      <c r="Q383" t="s">
        <v>1952</v>
      </c>
      <c r="R383" t="s">
        <v>1976</v>
      </c>
      <c r="S383" t="s">
        <v>53</v>
      </c>
      <c r="T383" t="s">
        <v>2077</v>
      </c>
      <c r="U383" t="s">
        <v>193</v>
      </c>
      <c r="V383" t="s">
        <v>91</v>
      </c>
    </row>
    <row r="384" spans="1:22" x14ac:dyDescent="0.35">
      <c r="A384" t="s">
        <v>2118</v>
      </c>
      <c r="B384" t="s">
        <v>2119</v>
      </c>
      <c r="C384" t="s">
        <v>29</v>
      </c>
      <c r="D384" t="s">
        <v>28</v>
      </c>
      <c r="E384" t="s">
        <v>33</v>
      </c>
      <c r="F384" t="s">
        <v>34</v>
      </c>
      <c r="G384" t="s">
        <v>34</v>
      </c>
      <c r="H384" t="s">
        <v>45</v>
      </c>
      <c r="I384" t="s">
        <v>46</v>
      </c>
      <c r="K384" t="s">
        <v>2040</v>
      </c>
      <c r="L384" t="s">
        <v>49</v>
      </c>
      <c r="M384" t="s">
        <v>49</v>
      </c>
      <c r="N384" t="s">
        <v>48</v>
      </c>
      <c r="O384" t="s">
        <v>2120</v>
      </c>
      <c r="P384" t="s">
        <v>49</v>
      </c>
      <c r="Q384" t="s">
        <v>2120</v>
      </c>
      <c r="R384" t="s">
        <v>2121</v>
      </c>
      <c r="S384" t="s">
        <v>53</v>
      </c>
      <c r="T384" t="s">
        <v>2042</v>
      </c>
      <c r="U384" t="s">
        <v>2123</v>
      </c>
      <c r="V384" t="s">
        <v>91</v>
      </c>
    </row>
    <row r="385" spans="1:22" x14ac:dyDescent="0.35">
      <c r="A385" t="s">
        <v>2124</v>
      </c>
      <c r="B385" t="s">
        <v>2119</v>
      </c>
      <c r="C385" t="s">
        <v>33</v>
      </c>
      <c r="D385" t="s">
        <v>44</v>
      </c>
      <c r="E385" t="s">
        <v>28</v>
      </c>
      <c r="F385" t="s">
        <v>28</v>
      </c>
      <c r="G385" t="s">
        <v>103</v>
      </c>
      <c r="H385" t="s">
        <v>45</v>
      </c>
      <c r="I385" t="s">
        <v>46</v>
      </c>
      <c r="K385" t="s">
        <v>2028</v>
      </c>
      <c r="L385" t="s">
        <v>39</v>
      </c>
      <c r="M385" t="s">
        <v>48</v>
      </c>
      <c r="N385" t="s">
        <v>38</v>
      </c>
      <c r="O385" t="s">
        <v>2125</v>
      </c>
      <c r="P385" t="s">
        <v>48</v>
      </c>
      <c r="Q385" t="s">
        <v>2126</v>
      </c>
      <c r="R385" t="s">
        <v>2127</v>
      </c>
      <c r="S385" t="s">
        <v>53</v>
      </c>
      <c r="T385" t="s">
        <v>2042</v>
      </c>
      <c r="U385" t="s">
        <v>2129</v>
      </c>
      <c r="V385" t="s">
        <v>129</v>
      </c>
    </row>
    <row r="386" spans="1:22" x14ac:dyDescent="0.35">
      <c r="A386" t="s">
        <v>2130</v>
      </c>
      <c r="B386" t="s">
        <v>1960</v>
      </c>
      <c r="C386" t="s">
        <v>44</v>
      </c>
      <c r="D386" t="s">
        <v>60</v>
      </c>
      <c r="E386" t="s">
        <v>60</v>
      </c>
      <c r="F386" t="s">
        <v>103</v>
      </c>
      <c r="G386" t="s">
        <v>28</v>
      </c>
      <c r="H386" t="s">
        <v>45</v>
      </c>
      <c r="I386" t="s">
        <v>36</v>
      </c>
      <c r="K386" t="s">
        <v>2063</v>
      </c>
      <c r="L386" t="s">
        <v>48</v>
      </c>
      <c r="M386" t="s">
        <v>48</v>
      </c>
      <c r="N386" t="s">
        <v>38</v>
      </c>
      <c r="O386" t="s">
        <v>1885</v>
      </c>
      <c r="P386" t="s">
        <v>38</v>
      </c>
      <c r="Q386" t="s">
        <v>2011</v>
      </c>
      <c r="R386" t="s">
        <v>1887</v>
      </c>
      <c r="S386" t="s">
        <v>53</v>
      </c>
      <c r="T386" t="s">
        <v>2132</v>
      </c>
      <c r="U386" t="s">
        <v>2133</v>
      </c>
      <c r="V386" t="s">
        <v>91</v>
      </c>
    </row>
    <row r="387" spans="1:22" x14ac:dyDescent="0.35">
      <c r="A387" t="s">
        <v>2134</v>
      </c>
      <c r="B387" t="s">
        <v>32</v>
      </c>
      <c r="C387" t="s">
        <v>33</v>
      </c>
      <c r="D387" t="s">
        <v>60</v>
      </c>
      <c r="E387" t="s">
        <v>33</v>
      </c>
      <c r="F387" t="s">
        <v>30</v>
      </c>
      <c r="G387" t="s">
        <v>34</v>
      </c>
      <c r="H387" t="s">
        <v>61</v>
      </c>
      <c r="I387" t="s">
        <v>46</v>
      </c>
      <c r="K387" t="s">
        <v>2063</v>
      </c>
      <c r="L387" t="s">
        <v>39</v>
      </c>
      <c r="M387" t="s">
        <v>38</v>
      </c>
      <c r="N387" t="s">
        <v>49</v>
      </c>
      <c r="O387" t="s">
        <v>2135</v>
      </c>
      <c r="P387" t="s">
        <v>48</v>
      </c>
      <c r="R387" t="s">
        <v>134</v>
      </c>
      <c r="S387" t="s">
        <v>53</v>
      </c>
      <c r="T387" t="s">
        <v>2077</v>
      </c>
      <c r="U387" t="s">
        <v>2137</v>
      </c>
      <c r="V387" t="s">
        <v>129</v>
      </c>
    </row>
    <row r="388" spans="1:22" x14ac:dyDescent="0.35">
      <c r="A388" t="s">
        <v>2138</v>
      </c>
      <c r="B388" t="s">
        <v>2033</v>
      </c>
      <c r="C388" t="s">
        <v>377</v>
      </c>
      <c r="D388" t="s">
        <v>196</v>
      </c>
      <c r="E388" t="s">
        <v>60</v>
      </c>
      <c r="F388" t="s">
        <v>173</v>
      </c>
      <c r="G388" t="s">
        <v>45</v>
      </c>
      <c r="H388" t="s">
        <v>368</v>
      </c>
      <c r="I388" t="s">
        <v>46</v>
      </c>
      <c r="K388" t="s">
        <v>2139</v>
      </c>
      <c r="L388" t="s">
        <v>49</v>
      </c>
      <c r="M388" t="s">
        <v>48</v>
      </c>
      <c r="N388" t="s">
        <v>40</v>
      </c>
      <c r="O388" t="s">
        <v>2140</v>
      </c>
      <c r="P388" t="s">
        <v>38</v>
      </c>
      <c r="Q388" t="s">
        <v>2141</v>
      </c>
      <c r="R388" t="s">
        <v>2142</v>
      </c>
      <c r="S388" t="s">
        <v>53</v>
      </c>
      <c r="T388" t="s">
        <v>374</v>
      </c>
      <c r="U388" t="s">
        <v>2144</v>
      </c>
      <c r="V388" t="s">
        <v>91</v>
      </c>
    </row>
    <row r="389" spans="1:22" x14ac:dyDescent="0.35">
      <c r="A389" t="s">
        <v>2145</v>
      </c>
      <c r="B389" t="s">
        <v>2033</v>
      </c>
      <c r="C389" t="s">
        <v>44</v>
      </c>
      <c r="D389" t="s">
        <v>197</v>
      </c>
      <c r="E389" t="s">
        <v>60</v>
      </c>
      <c r="F389" t="s">
        <v>197</v>
      </c>
      <c r="G389" t="s">
        <v>173</v>
      </c>
      <c r="H389" t="s">
        <v>45</v>
      </c>
      <c r="I389" t="s">
        <v>36</v>
      </c>
      <c r="K389" t="s">
        <v>2028</v>
      </c>
      <c r="L389" t="s">
        <v>49</v>
      </c>
      <c r="M389" t="s">
        <v>48</v>
      </c>
      <c r="N389" t="s">
        <v>38</v>
      </c>
      <c r="O389" t="s">
        <v>2146</v>
      </c>
      <c r="P389" t="s">
        <v>49</v>
      </c>
      <c r="Q389" t="s">
        <v>2147</v>
      </c>
      <c r="R389" t="s">
        <v>2148</v>
      </c>
      <c r="S389" t="s">
        <v>53</v>
      </c>
      <c r="T389" t="s">
        <v>2150</v>
      </c>
      <c r="U389" t="s">
        <v>2151</v>
      </c>
      <c r="V389" t="s">
        <v>91</v>
      </c>
    </row>
    <row r="390" spans="1:22" x14ac:dyDescent="0.35">
      <c r="A390" t="s">
        <v>1956</v>
      </c>
      <c r="B390" t="s">
        <v>1899</v>
      </c>
      <c r="C390" t="s">
        <v>28</v>
      </c>
      <c r="D390" t="s">
        <v>28</v>
      </c>
      <c r="E390" t="s">
        <v>28</v>
      </c>
      <c r="F390" t="s">
        <v>28</v>
      </c>
      <c r="G390" t="s">
        <v>28</v>
      </c>
      <c r="H390" t="s">
        <v>28</v>
      </c>
      <c r="I390" t="s">
        <v>46</v>
      </c>
      <c r="K390" t="s">
        <v>1971</v>
      </c>
      <c r="L390" t="s">
        <v>38</v>
      </c>
      <c r="M390" t="s">
        <v>38</v>
      </c>
      <c r="N390" t="s">
        <v>38</v>
      </c>
      <c r="O390" t="s">
        <v>2152</v>
      </c>
      <c r="P390" t="s">
        <v>38</v>
      </c>
      <c r="Q390" t="s">
        <v>2153</v>
      </c>
      <c r="R390" t="s">
        <v>2154</v>
      </c>
      <c r="S390" t="s">
        <v>53</v>
      </c>
      <c r="T390" t="s">
        <v>81</v>
      </c>
      <c r="U390" t="s">
        <v>1958</v>
      </c>
      <c r="V390" t="s">
        <v>91</v>
      </c>
    </row>
    <row r="391" spans="1:22" x14ac:dyDescent="0.35">
      <c r="A391" t="s">
        <v>1956</v>
      </c>
      <c r="B391" t="s">
        <v>2155</v>
      </c>
      <c r="C391" t="s">
        <v>28</v>
      </c>
      <c r="D391" t="s">
        <v>28</v>
      </c>
      <c r="E391" t="s">
        <v>60</v>
      </c>
      <c r="F391" t="s">
        <v>28</v>
      </c>
      <c r="G391" t="s">
        <v>45</v>
      </c>
      <c r="H391" t="s">
        <v>28</v>
      </c>
      <c r="I391" t="s">
        <v>46</v>
      </c>
      <c r="K391" t="s">
        <v>1945</v>
      </c>
      <c r="L391" t="s">
        <v>38</v>
      </c>
      <c r="M391" t="s">
        <v>49</v>
      </c>
      <c r="N391" t="s">
        <v>38</v>
      </c>
      <c r="O391" t="s">
        <v>2156</v>
      </c>
      <c r="P391" t="s">
        <v>38</v>
      </c>
      <c r="Q391" t="s">
        <v>2157</v>
      </c>
      <c r="R391" t="s">
        <v>2158</v>
      </c>
      <c r="S391" t="s">
        <v>53</v>
      </c>
      <c r="T391" t="s">
        <v>81</v>
      </c>
      <c r="U391" t="s">
        <v>1958</v>
      </c>
      <c r="V391" t="s">
        <v>91</v>
      </c>
    </row>
    <row r="392" spans="1:22" x14ac:dyDescent="0.35">
      <c r="A392" t="s">
        <v>2159</v>
      </c>
      <c r="B392" t="s">
        <v>2155</v>
      </c>
      <c r="C392" t="s">
        <v>28</v>
      </c>
      <c r="D392" t="s">
        <v>28</v>
      </c>
      <c r="E392" t="s">
        <v>28</v>
      </c>
      <c r="F392" t="s">
        <v>28</v>
      </c>
      <c r="G392" t="s">
        <v>28</v>
      </c>
      <c r="H392" t="s">
        <v>35</v>
      </c>
      <c r="I392" t="s">
        <v>46</v>
      </c>
      <c r="K392" t="s">
        <v>1971</v>
      </c>
      <c r="L392" t="s">
        <v>38</v>
      </c>
      <c r="M392" t="s">
        <v>38</v>
      </c>
      <c r="N392" t="s">
        <v>38</v>
      </c>
      <c r="O392" t="s">
        <v>2160</v>
      </c>
      <c r="P392" t="s">
        <v>38</v>
      </c>
      <c r="Q392" t="s">
        <v>2161</v>
      </c>
      <c r="R392" t="s">
        <v>2162</v>
      </c>
      <c r="S392" t="s">
        <v>53</v>
      </c>
      <c r="T392" t="s">
        <v>81</v>
      </c>
      <c r="U392" t="s">
        <v>2164</v>
      </c>
      <c r="V392" t="s">
        <v>91</v>
      </c>
    </row>
    <row r="393" spans="1:22" x14ac:dyDescent="0.35">
      <c r="A393" t="s">
        <v>2165</v>
      </c>
      <c r="B393" t="s">
        <v>1875</v>
      </c>
      <c r="C393" t="s">
        <v>60</v>
      </c>
      <c r="D393" t="s">
        <v>197</v>
      </c>
      <c r="E393" t="s">
        <v>60</v>
      </c>
      <c r="F393" t="s">
        <v>197</v>
      </c>
      <c r="G393" t="s">
        <v>103</v>
      </c>
      <c r="H393" t="s">
        <v>45</v>
      </c>
      <c r="I393" t="s">
        <v>36</v>
      </c>
      <c r="K393" t="s">
        <v>2166</v>
      </c>
      <c r="L393" t="s">
        <v>49</v>
      </c>
      <c r="M393" t="s">
        <v>38</v>
      </c>
      <c r="N393" t="s">
        <v>48</v>
      </c>
      <c r="O393" t="s">
        <v>2167</v>
      </c>
      <c r="P393" t="s">
        <v>49</v>
      </c>
      <c r="Q393" t="s">
        <v>2168</v>
      </c>
      <c r="R393" t="s">
        <v>2169</v>
      </c>
      <c r="S393" t="s">
        <v>53</v>
      </c>
      <c r="T393" t="s">
        <v>2042</v>
      </c>
      <c r="U393" t="s">
        <v>2171</v>
      </c>
      <c r="V393" t="s">
        <v>91</v>
      </c>
    </row>
    <row r="394" spans="1:22" x14ac:dyDescent="0.35">
      <c r="A394" t="s">
        <v>2172</v>
      </c>
      <c r="B394" t="s">
        <v>1883</v>
      </c>
      <c r="C394" t="s">
        <v>28</v>
      </c>
      <c r="D394" t="s">
        <v>28</v>
      </c>
      <c r="E394" t="s">
        <v>28</v>
      </c>
      <c r="F394" t="s">
        <v>28</v>
      </c>
      <c r="G394" t="s">
        <v>28</v>
      </c>
      <c r="H394" t="s">
        <v>28</v>
      </c>
      <c r="I394" t="s">
        <v>46</v>
      </c>
      <c r="K394" t="s">
        <v>2028</v>
      </c>
      <c r="L394" t="s">
        <v>38</v>
      </c>
      <c r="M394" t="s">
        <v>38</v>
      </c>
      <c r="N394" t="s">
        <v>38</v>
      </c>
      <c r="O394" t="s">
        <v>2173</v>
      </c>
      <c r="P394" t="s">
        <v>38</v>
      </c>
      <c r="Q394" t="s">
        <v>2174</v>
      </c>
      <c r="R394" t="s">
        <v>2175</v>
      </c>
      <c r="S394" t="s">
        <v>53</v>
      </c>
      <c r="T394" t="s">
        <v>2042</v>
      </c>
      <c r="U394" t="s">
        <v>2177</v>
      </c>
      <c r="V394" t="s">
        <v>91</v>
      </c>
    </row>
    <row r="395" spans="1:22" x14ac:dyDescent="0.35">
      <c r="A395" t="s">
        <v>2178</v>
      </c>
      <c r="B395" t="s">
        <v>1875</v>
      </c>
      <c r="C395" t="s">
        <v>449</v>
      </c>
      <c r="D395" t="s">
        <v>60</v>
      </c>
      <c r="E395" t="s">
        <v>206</v>
      </c>
      <c r="F395" t="s">
        <v>30</v>
      </c>
      <c r="G395" t="s">
        <v>173</v>
      </c>
      <c r="H395" t="s">
        <v>368</v>
      </c>
      <c r="I395" t="s">
        <v>36</v>
      </c>
      <c r="K395" t="s">
        <v>2063</v>
      </c>
      <c r="L395" t="s">
        <v>49</v>
      </c>
      <c r="M395" t="s">
        <v>48</v>
      </c>
      <c r="N395" t="s">
        <v>49</v>
      </c>
      <c r="O395" t="s">
        <v>2179</v>
      </c>
      <c r="P395" t="s">
        <v>48</v>
      </c>
      <c r="Q395" t="s">
        <v>2180</v>
      </c>
      <c r="R395" t="s">
        <v>2181</v>
      </c>
      <c r="S395" t="s">
        <v>53</v>
      </c>
      <c r="T395" t="s">
        <v>2077</v>
      </c>
      <c r="U395" t="s">
        <v>2183</v>
      </c>
      <c r="V395" t="s">
        <v>91</v>
      </c>
    </row>
    <row r="396" spans="1:22" x14ac:dyDescent="0.35">
      <c r="A396" t="s">
        <v>2184</v>
      </c>
      <c r="B396" t="s">
        <v>2155</v>
      </c>
      <c r="C396" t="s">
        <v>33</v>
      </c>
      <c r="D396" t="s">
        <v>33</v>
      </c>
      <c r="E396" t="s">
        <v>28</v>
      </c>
      <c r="F396" t="s">
        <v>28</v>
      </c>
      <c r="G396" t="s">
        <v>28</v>
      </c>
      <c r="H396" t="s">
        <v>28</v>
      </c>
      <c r="I396" t="s">
        <v>46</v>
      </c>
      <c r="K396" t="s">
        <v>2028</v>
      </c>
      <c r="L396" t="s">
        <v>38</v>
      </c>
      <c r="M396" t="s">
        <v>38</v>
      </c>
      <c r="N396" t="s">
        <v>38</v>
      </c>
      <c r="O396" t="s">
        <v>2185</v>
      </c>
      <c r="P396" t="s">
        <v>38</v>
      </c>
      <c r="Q396" t="s">
        <v>2186</v>
      </c>
      <c r="R396" t="s">
        <v>2162</v>
      </c>
      <c r="S396" t="s">
        <v>53</v>
      </c>
      <c r="T396" t="s">
        <v>2042</v>
      </c>
      <c r="U396" t="s">
        <v>2188</v>
      </c>
      <c r="V396" t="s">
        <v>91</v>
      </c>
    </row>
    <row r="397" spans="1:22" x14ac:dyDescent="0.35">
      <c r="A397" t="s">
        <v>2189</v>
      </c>
      <c r="B397" t="s">
        <v>2190</v>
      </c>
      <c r="C397" t="s">
        <v>28</v>
      </c>
      <c r="D397" t="s">
        <v>28</v>
      </c>
      <c r="E397" t="s">
        <v>28</v>
      </c>
      <c r="F397" t="s">
        <v>28</v>
      </c>
      <c r="G397" t="s">
        <v>28</v>
      </c>
      <c r="H397" t="s">
        <v>28</v>
      </c>
      <c r="I397" t="s">
        <v>46</v>
      </c>
      <c r="K397" t="s">
        <v>2063</v>
      </c>
      <c r="L397" t="s">
        <v>38</v>
      </c>
      <c r="M397" t="s">
        <v>38</v>
      </c>
      <c r="N397" t="s">
        <v>38</v>
      </c>
      <c r="O397" t="s">
        <v>2191</v>
      </c>
      <c r="P397" t="s">
        <v>38</v>
      </c>
      <c r="Q397" t="s">
        <v>2192</v>
      </c>
      <c r="R397" t="s">
        <v>2175</v>
      </c>
      <c r="S397" t="s">
        <v>53</v>
      </c>
      <c r="T397" t="s">
        <v>2077</v>
      </c>
      <c r="U397" t="s">
        <v>2190</v>
      </c>
      <c r="V397" t="s">
        <v>91</v>
      </c>
    </row>
    <row r="398" spans="1:22" x14ac:dyDescent="0.35">
      <c r="A398" t="s">
        <v>2194</v>
      </c>
      <c r="B398" t="s">
        <v>2155</v>
      </c>
      <c r="C398" t="s">
        <v>28</v>
      </c>
      <c r="D398" t="s">
        <v>28</v>
      </c>
      <c r="E398" t="s">
        <v>28</v>
      </c>
      <c r="F398" t="s">
        <v>28</v>
      </c>
      <c r="G398" t="s">
        <v>28</v>
      </c>
      <c r="H398" t="s">
        <v>28</v>
      </c>
      <c r="I398" t="s">
        <v>46</v>
      </c>
      <c r="K398" t="s">
        <v>2071</v>
      </c>
      <c r="L398" t="s">
        <v>38</v>
      </c>
      <c r="M398" t="s">
        <v>38</v>
      </c>
      <c r="N398" t="s">
        <v>38</v>
      </c>
      <c r="O398" t="s">
        <v>2195</v>
      </c>
      <c r="P398" t="s">
        <v>38</v>
      </c>
      <c r="Q398" t="s">
        <v>2186</v>
      </c>
      <c r="R398" t="s">
        <v>2175</v>
      </c>
      <c r="S398" t="s">
        <v>53</v>
      </c>
      <c r="T398" t="s">
        <v>2077</v>
      </c>
      <c r="U398" t="s">
        <v>2197</v>
      </c>
      <c r="V398" t="s">
        <v>91</v>
      </c>
    </row>
    <row r="399" spans="1:22" x14ac:dyDescent="0.35">
      <c r="A399" t="s">
        <v>2198</v>
      </c>
      <c r="B399" t="s">
        <v>2155</v>
      </c>
      <c r="C399" t="s">
        <v>28</v>
      </c>
      <c r="D399" t="s">
        <v>28</v>
      </c>
      <c r="E399" t="s">
        <v>28</v>
      </c>
      <c r="F399" t="s">
        <v>28</v>
      </c>
      <c r="G399" t="s">
        <v>28</v>
      </c>
      <c r="H399" t="s">
        <v>28</v>
      </c>
      <c r="I399" t="s">
        <v>46</v>
      </c>
      <c r="K399" t="s">
        <v>2088</v>
      </c>
      <c r="L399" t="s">
        <v>38</v>
      </c>
      <c r="M399" t="s">
        <v>38</v>
      </c>
      <c r="N399" t="s">
        <v>48</v>
      </c>
      <c r="O399" t="s">
        <v>2199</v>
      </c>
      <c r="P399" t="s">
        <v>49</v>
      </c>
      <c r="Q399" t="s">
        <v>2200</v>
      </c>
      <c r="R399" t="s">
        <v>2175</v>
      </c>
      <c r="S399" t="s">
        <v>53</v>
      </c>
      <c r="T399" t="s">
        <v>2077</v>
      </c>
      <c r="U399" t="s">
        <v>251</v>
      </c>
      <c r="V399" t="s">
        <v>91</v>
      </c>
    </row>
    <row r="400" spans="1:22" x14ac:dyDescent="0.35">
      <c r="A400" t="s">
        <v>2202</v>
      </c>
      <c r="B400" t="s">
        <v>2155</v>
      </c>
      <c r="C400" t="s">
        <v>28</v>
      </c>
      <c r="D400" t="s">
        <v>28</v>
      </c>
      <c r="E400" t="s">
        <v>28</v>
      </c>
      <c r="F400" t="s">
        <v>28</v>
      </c>
      <c r="G400" t="s">
        <v>28</v>
      </c>
      <c r="H400" t="s">
        <v>28</v>
      </c>
      <c r="I400" t="s">
        <v>36</v>
      </c>
      <c r="K400" t="s">
        <v>2088</v>
      </c>
      <c r="L400" t="s">
        <v>38</v>
      </c>
      <c r="M400" t="s">
        <v>49</v>
      </c>
      <c r="N400" t="s">
        <v>38</v>
      </c>
      <c r="O400" t="s">
        <v>2195</v>
      </c>
      <c r="P400" t="s">
        <v>49</v>
      </c>
      <c r="Q400" t="s">
        <v>2186</v>
      </c>
      <c r="R400" t="s">
        <v>2175</v>
      </c>
      <c r="S400" t="s">
        <v>53</v>
      </c>
      <c r="T400" t="s">
        <v>2077</v>
      </c>
      <c r="U400" t="s">
        <v>2204</v>
      </c>
      <c r="V400" t="s">
        <v>91</v>
      </c>
    </row>
    <row r="401" spans="1:22" x14ac:dyDescent="0.35">
      <c r="A401" t="s">
        <v>2205</v>
      </c>
      <c r="B401" t="s">
        <v>1899</v>
      </c>
      <c r="C401" t="s">
        <v>44</v>
      </c>
      <c r="D401" t="s">
        <v>28</v>
      </c>
      <c r="E401" t="s">
        <v>44</v>
      </c>
      <c r="F401" t="s">
        <v>158</v>
      </c>
      <c r="G401" t="s">
        <v>28</v>
      </c>
      <c r="H401" t="s">
        <v>28</v>
      </c>
      <c r="I401" t="s">
        <v>46</v>
      </c>
      <c r="K401" t="s">
        <v>2110</v>
      </c>
      <c r="L401" t="s">
        <v>49</v>
      </c>
      <c r="M401" t="s">
        <v>49</v>
      </c>
      <c r="N401" t="s">
        <v>49</v>
      </c>
      <c r="O401" t="s">
        <v>2206</v>
      </c>
      <c r="P401" t="s">
        <v>48</v>
      </c>
      <c r="Q401" t="s">
        <v>2207</v>
      </c>
      <c r="R401" t="s">
        <v>2208</v>
      </c>
      <c r="S401" t="s">
        <v>53</v>
      </c>
      <c r="T401" t="s">
        <v>2065</v>
      </c>
      <c r="U401" t="s">
        <v>2210</v>
      </c>
      <c r="V401" t="s">
        <v>91</v>
      </c>
    </row>
    <row r="402" spans="1:22" x14ac:dyDescent="0.35">
      <c r="A402" t="s">
        <v>2211</v>
      </c>
      <c r="B402" t="s">
        <v>1899</v>
      </c>
      <c r="C402" t="s">
        <v>28</v>
      </c>
      <c r="D402" t="s">
        <v>28</v>
      </c>
      <c r="E402" t="s">
        <v>28</v>
      </c>
      <c r="F402" t="s">
        <v>28</v>
      </c>
      <c r="G402" t="s">
        <v>28</v>
      </c>
      <c r="H402" t="s">
        <v>35</v>
      </c>
      <c r="I402" t="s">
        <v>46</v>
      </c>
      <c r="K402" t="s">
        <v>2212</v>
      </c>
      <c r="L402" t="s">
        <v>49</v>
      </c>
      <c r="M402" t="s">
        <v>48</v>
      </c>
      <c r="N402" t="s">
        <v>48</v>
      </c>
      <c r="O402" t="s">
        <v>2206</v>
      </c>
      <c r="P402" t="s">
        <v>48</v>
      </c>
      <c r="Q402" t="s">
        <v>2213</v>
      </c>
      <c r="R402" t="s">
        <v>2208</v>
      </c>
      <c r="S402" t="s">
        <v>53</v>
      </c>
      <c r="T402" t="s">
        <v>2215</v>
      </c>
      <c r="U402" t="s">
        <v>2216</v>
      </c>
      <c r="V402" t="s">
        <v>91</v>
      </c>
    </row>
    <row r="403" spans="1:22" x14ac:dyDescent="0.35">
      <c r="A403" t="s">
        <v>2217</v>
      </c>
      <c r="B403" t="s">
        <v>1899</v>
      </c>
      <c r="C403" t="s">
        <v>28</v>
      </c>
      <c r="D403" t="s">
        <v>28</v>
      </c>
      <c r="E403" t="s">
        <v>28</v>
      </c>
      <c r="F403" t="s">
        <v>28</v>
      </c>
      <c r="G403" t="s">
        <v>28</v>
      </c>
      <c r="H403" t="s">
        <v>28</v>
      </c>
      <c r="I403" t="s">
        <v>36</v>
      </c>
      <c r="K403" t="s">
        <v>2212</v>
      </c>
      <c r="L403" t="s">
        <v>48</v>
      </c>
      <c r="M403" t="s">
        <v>48</v>
      </c>
      <c r="N403" t="s">
        <v>48</v>
      </c>
      <c r="O403" t="s">
        <v>2218</v>
      </c>
      <c r="P403" t="s">
        <v>48</v>
      </c>
      <c r="Q403" t="s">
        <v>2219</v>
      </c>
      <c r="R403" t="s">
        <v>2220</v>
      </c>
      <c r="S403" t="s">
        <v>53</v>
      </c>
      <c r="T403" t="s">
        <v>2215</v>
      </c>
      <c r="U403" t="s">
        <v>2222</v>
      </c>
      <c r="V403" t="s">
        <v>170</v>
      </c>
    </row>
    <row r="404" spans="1:22" x14ac:dyDescent="0.35">
      <c r="A404" t="s">
        <v>2223</v>
      </c>
      <c r="B404" t="s">
        <v>2155</v>
      </c>
      <c r="C404" t="s">
        <v>377</v>
      </c>
      <c r="D404" t="s">
        <v>28</v>
      </c>
      <c r="E404" t="s">
        <v>29</v>
      </c>
      <c r="F404" t="s">
        <v>28</v>
      </c>
      <c r="G404" t="s">
        <v>28</v>
      </c>
      <c r="H404" t="s">
        <v>28</v>
      </c>
      <c r="I404" t="s">
        <v>46</v>
      </c>
      <c r="K404" t="s">
        <v>2110</v>
      </c>
      <c r="L404" t="s">
        <v>38</v>
      </c>
      <c r="M404" t="s">
        <v>38</v>
      </c>
      <c r="N404" t="s">
        <v>38</v>
      </c>
      <c r="O404" t="s">
        <v>2224</v>
      </c>
      <c r="P404" t="s">
        <v>49</v>
      </c>
      <c r="Q404" t="s">
        <v>2225</v>
      </c>
      <c r="R404" t="s">
        <v>2175</v>
      </c>
      <c r="S404" t="s">
        <v>53</v>
      </c>
      <c r="T404" t="s">
        <v>2077</v>
      </c>
      <c r="U404" t="s">
        <v>2227</v>
      </c>
      <c r="V404" t="s">
        <v>91</v>
      </c>
    </row>
    <row r="405" spans="1:22" x14ac:dyDescent="0.35">
      <c r="A405" t="s">
        <v>2228</v>
      </c>
      <c r="B405" t="s">
        <v>1899</v>
      </c>
      <c r="C405" t="s">
        <v>28</v>
      </c>
      <c r="D405" t="s">
        <v>28</v>
      </c>
      <c r="E405" t="s">
        <v>28</v>
      </c>
      <c r="F405" t="s">
        <v>28</v>
      </c>
      <c r="G405" t="s">
        <v>28</v>
      </c>
      <c r="H405" t="s">
        <v>28</v>
      </c>
      <c r="I405" t="s">
        <v>46</v>
      </c>
      <c r="K405" t="s">
        <v>2212</v>
      </c>
      <c r="L405" t="s">
        <v>48</v>
      </c>
      <c r="M405" t="s">
        <v>48</v>
      </c>
      <c r="N405" t="s">
        <v>48</v>
      </c>
      <c r="O405" t="s">
        <v>2218</v>
      </c>
      <c r="P405" t="s">
        <v>48</v>
      </c>
      <c r="Q405" t="s">
        <v>2219</v>
      </c>
      <c r="R405" t="s">
        <v>2220</v>
      </c>
      <c r="S405" t="s">
        <v>53</v>
      </c>
      <c r="T405" t="s">
        <v>2215</v>
      </c>
      <c r="U405" t="s">
        <v>2230</v>
      </c>
      <c r="V405" t="s">
        <v>91</v>
      </c>
    </row>
    <row r="406" spans="1:22" x14ac:dyDescent="0.35">
      <c r="A406" t="s">
        <v>2231</v>
      </c>
      <c r="B406" t="s">
        <v>2155</v>
      </c>
      <c r="C406" t="s">
        <v>28</v>
      </c>
      <c r="D406" t="s">
        <v>60</v>
      </c>
      <c r="E406" t="s">
        <v>28</v>
      </c>
      <c r="F406" t="s">
        <v>103</v>
      </c>
      <c r="G406" t="s">
        <v>28</v>
      </c>
      <c r="H406" t="s">
        <v>28</v>
      </c>
      <c r="I406" t="s">
        <v>36</v>
      </c>
      <c r="K406" t="s">
        <v>2110</v>
      </c>
      <c r="L406" t="s">
        <v>49</v>
      </c>
      <c r="M406" t="s">
        <v>49</v>
      </c>
      <c r="N406" t="s">
        <v>48</v>
      </c>
      <c r="O406" t="s">
        <v>2195</v>
      </c>
      <c r="P406" t="s">
        <v>48</v>
      </c>
      <c r="Q406" t="s">
        <v>2186</v>
      </c>
      <c r="R406" t="s">
        <v>2175</v>
      </c>
      <c r="S406" t="s">
        <v>53</v>
      </c>
      <c r="T406" t="s">
        <v>2077</v>
      </c>
      <c r="U406" t="s">
        <v>2233</v>
      </c>
      <c r="V406" t="s">
        <v>91</v>
      </c>
    </row>
    <row r="407" spans="1:22" x14ac:dyDescent="0.35">
      <c r="A407" t="s">
        <v>2234</v>
      </c>
      <c r="B407" t="s">
        <v>1899</v>
      </c>
      <c r="C407" t="s">
        <v>449</v>
      </c>
      <c r="D407" t="s">
        <v>44</v>
      </c>
      <c r="E407" t="s">
        <v>28</v>
      </c>
      <c r="F407" t="s">
        <v>158</v>
      </c>
      <c r="G407" t="s">
        <v>28</v>
      </c>
      <c r="H407" t="s">
        <v>28</v>
      </c>
      <c r="I407" t="s">
        <v>46</v>
      </c>
      <c r="K407" t="s">
        <v>2235</v>
      </c>
      <c r="L407" t="s">
        <v>48</v>
      </c>
      <c r="M407" t="s">
        <v>48</v>
      </c>
      <c r="N407" t="s">
        <v>48</v>
      </c>
      <c r="O407" t="s">
        <v>2236</v>
      </c>
      <c r="P407" t="s">
        <v>48</v>
      </c>
      <c r="Q407" t="s">
        <v>2237</v>
      </c>
      <c r="R407" t="s">
        <v>2238</v>
      </c>
      <c r="S407" t="s">
        <v>53</v>
      </c>
      <c r="T407" t="s">
        <v>2240</v>
      </c>
      <c r="U407" t="s">
        <v>2241</v>
      </c>
      <c r="V407" t="s">
        <v>91</v>
      </c>
    </row>
    <row r="408" spans="1:22" x14ac:dyDescent="0.35">
      <c r="A408" t="s">
        <v>2242</v>
      </c>
      <c r="B408" t="s">
        <v>2155</v>
      </c>
      <c r="C408" t="s">
        <v>60</v>
      </c>
      <c r="D408" t="s">
        <v>28</v>
      </c>
      <c r="E408" t="s">
        <v>60</v>
      </c>
      <c r="F408" t="s">
        <v>28</v>
      </c>
      <c r="G408" t="s">
        <v>28</v>
      </c>
      <c r="H408" t="s">
        <v>28</v>
      </c>
      <c r="I408" t="s">
        <v>46</v>
      </c>
      <c r="K408" t="s">
        <v>2212</v>
      </c>
      <c r="L408" t="s">
        <v>49</v>
      </c>
      <c r="M408" t="s">
        <v>49</v>
      </c>
      <c r="N408" t="s">
        <v>49</v>
      </c>
      <c r="O408" t="s">
        <v>2243</v>
      </c>
      <c r="P408" t="s">
        <v>49</v>
      </c>
      <c r="Q408" t="s">
        <v>2244</v>
      </c>
      <c r="R408" t="s">
        <v>2175</v>
      </c>
      <c r="S408" t="s">
        <v>53</v>
      </c>
      <c r="T408" t="s">
        <v>2246</v>
      </c>
      <c r="U408" t="s">
        <v>2247</v>
      </c>
      <c r="V408" t="s">
        <v>91</v>
      </c>
    </row>
    <row r="409" spans="1:22" x14ac:dyDescent="0.35">
      <c r="A409" t="s">
        <v>2248</v>
      </c>
      <c r="B409" t="s">
        <v>1899</v>
      </c>
      <c r="C409" t="s">
        <v>28</v>
      </c>
      <c r="D409" t="s">
        <v>28</v>
      </c>
      <c r="E409" t="s">
        <v>28</v>
      </c>
      <c r="F409" t="s">
        <v>173</v>
      </c>
      <c r="G409" t="s">
        <v>28</v>
      </c>
      <c r="H409" t="s">
        <v>28</v>
      </c>
      <c r="I409" t="s">
        <v>46</v>
      </c>
      <c r="K409" t="s">
        <v>2235</v>
      </c>
      <c r="L409" t="s">
        <v>48</v>
      </c>
      <c r="M409" t="s">
        <v>48</v>
      </c>
      <c r="N409" t="s">
        <v>48</v>
      </c>
      <c r="O409" t="s">
        <v>2206</v>
      </c>
      <c r="P409" t="s">
        <v>48</v>
      </c>
      <c r="Q409" t="s">
        <v>2213</v>
      </c>
      <c r="R409" t="s">
        <v>2249</v>
      </c>
      <c r="S409" t="s">
        <v>53</v>
      </c>
      <c r="T409" t="s">
        <v>2240</v>
      </c>
      <c r="U409" t="s">
        <v>2251</v>
      </c>
      <c r="V409" t="s">
        <v>91</v>
      </c>
    </row>
    <row r="410" spans="1:22" x14ac:dyDescent="0.35">
      <c r="A410" t="s">
        <v>2252</v>
      </c>
      <c r="B410" t="s">
        <v>2155</v>
      </c>
      <c r="C410" t="s">
        <v>28</v>
      </c>
      <c r="D410" t="s">
        <v>60</v>
      </c>
      <c r="E410" t="s">
        <v>29</v>
      </c>
      <c r="F410" t="s">
        <v>30</v>
      </c>
      <c r="G410" t="s">
        <v>103</v>
      </c>
      <c r="H410" t="s">
        <v>28</v>
      </c>
      <c r="I410" t="s">
        <v>46</v>
      </c>
      <c r="K410" t="s">
        <v>2212</v>
      </c>
      <c r="M410" t="s">
        <v>38</v>
      </c>
      <c r="N410" t="s">
        <v>48</v>
      </c>
      <c r="O410" t="s">
        <v>2253</v>
      </c>
      <c r="Q410" t="s">
        <v>2186</v>
      </c>
      <c r="R410" t="s">
        <v>2175</v>
      </c>
      <c r="S410" t="s">
        <v>53</v>
      </c>
      <c r="T410" t="s">
        <v>2246</v>
      </c>
      <c r="U410" t="s">
        <v>2255</v>
      </c>
      <c r="V410" t="s">
        <v>91</v>
      </c>
    </row>
    <row r="411" spans="1:22" x14ac:dyDescent="0.35">
      <c r="A411" t="s">
        <v>2256</v>
      </c>
      <c r="B411" t="s">
        <v>1899</v>
      </c>
      <c r="C411" t="s">
        <v>28</v>
      </c>
      <c r="D411" t="s">
        <v>28</v>
      </c>
      <c r="E411" t="s">
        <v>28</v>
      </c>
      <c r="F411" t="s">
        <v>28</v>
      </c>
      <c r="G411" t="s">
        <v>28</v>
      </c>
      <c r="H411" t="s">
        <v>28</v>
      </c>
      <c r="I411" t="s">
        <v>46</v>
      </c>
      <c r="K411" t="s">
        <v>2235</v>
      </c>
      <c r="L411" t="s">
        <v>48</v>
      </c>
      <c r="M411" t="s">
        <v>48</v>
      </c>
      <c r="N411" t="s">
        <v>48</v>
      </c>
      <c r="O411" t="s">
        <v>2218</v>
      </c>
      <c r="P411" t="s">
        <v>48</v>
      </c>
      <c r="Q411" t="s">
        <v>2257</v>
      </c>
      <c r="R411" t="s">
        <v>2220</v>
      </c>
      <c r="S411" t="s">
        <v>53</v>
      </c>
      <c r="T411" t="s">
        <v>2240</v>
      </c>
      <c r="U411" t="s">
        <v>2259</v>
      </c>
      <c r="V411" t="s">
        <v>129</v>
      </c>
    </row>
    <row r="412" spans="1:22" x14ac:dyDescent="0.35">
      <c r="A412" t="s">
        <v>2260</v>
      </c>
      <c r="B412" t="s">
        <v>2155</v>
      </c>
      <c r="C412" t="s">
        <v>28</v>
      </c>
      <c r="D412" t="s">
        <v>196</v>
      </c>
      <c r="E412" t="s">
        <v>157</v>
      </c>
      <c r="F412" t="s">
        <v>103</v>
      </c>
      <c r="G412" t="s">
        <v>28</v>
      </c>
      <c r="H412" t="s">
        <v>28</v>
      </c>
      <c r="I412" t="s">
        <v>46</v>
      </c>
      <c r="K412" t="s">
        <v>2212</v>
      </c>
      <c r="L412" t="s">
        <v>38</v>
      </c>
      <c r="M412" t="s">
        <v>49</v>
      </c>
      <c r="N412" t="s">
        <v>49</v>
      </c>
      <c r="O412" t="s">
        <v>2195</v>
      </c>
      <c r="P412" t="s">
        <v>49</v>
      </c>
      <c r="Q412" t="s">
        <v>2186</v>
      </c>
      <c r="R412" t="s">
        <v>2175</v>
      </c>
      <c r="S412" t="s">
        <v>53</v>
      </c>
      <c r="T412" t="s">
        <v>2246</v>
      </c>
      <c r="U412" t="s">
        <v>2262</v>
      </c>
      <c r="V412" t="s">
        <v>91</v>
      </c>
    </row>
    <row r="413" spans="1:22" x14ac:dyDescent="0.35">
      <c r="A413" t="s">
        <v>2263</v>
      </c>
      <c r="B413" t="s">
        <v>1899</v>
      </c>
      <c r="C413" t="s">
        <v>28</v>
      </c>
      <c r="D413" t="s">
        <v>28</v>
      </c>
      <c r="E413" t="s">
        <v>28</v>
      </c>
      <c r="F413" t="s">
        <v>28</v>
      </c>
      <c r="G413" t="s">
        <v>28</v>
      </c>
      <c r="H413" t="s">
        <v>28</v>
      </c>
      <c r="I413" t="s">
        <v>36</v>
      </c>
      <c r="K413" t="s">
        <v>2264</v>
      </c>
      <c r="L413" t="s">
        <v>48</v>
      </c>
      <c r="M413" t="s">
        <v>48</v>
      </c>
      <c r="N413" t="s">
        <v>48</v>
      </c>
      <c r="O413" t="s">
        <v>2265</v>
      </c>
      <c r="P413" t="s">
        <v>48</v>
      </c>
      <c r="Q413" t="s">
        <v>2266</v>
      </c>
      <c r="R413" t="s">
        <v>2238</v>
      </c>
      <c r="S413" t="s">
        <v>53</v>
      </c>
      <c r="T413" t="s">
        <v>834</v>
      </c>
      <c r="U413" t="s">
        <v>2268</v>
      </c>
      <c r="V413" t="s">
        <v>91</v>
      </c>
    </row>
    <row r="414" spans="1:22" x14ac:dyDescent="0.35">
      <c r="A414" t="s">
        <v>2269</v>
      </c>
      <c r="B414" t="s">
        <v>1960</v>
      </c>
      <c r="C414" t="s">
        <v>44</v>
      </c>
      <c r="D414" t="s">
        <v>44</v>
      </c>
      <c r="E414" t="s">
        <v>60</v>
      </c>
      <c r="F414" t="s">
        <v>173</v>
      </c>
      <c r="G414" t="s">
        <v>368</v>
      </c>
      <c r="H414" t="s">
        <v>45</v>
      </c>
      <c r="I414" t="s">
        <v>36</v>
      </c>
      <c r="K414" t="s">
        <v>2063</v>
      </c>
      <c r="L414" t="s">
        <v>48</v>
      </c>
      <c r="M414" t="s">
        <v>38</v>
      </c>
      <c r="N414" t="s">
        <v>38</v>
      </c>
      <c r="O414" t="s">
        <v>1885</v>
      </c>
      <c r="P414" t="s">
        <v>38</v>
      </c>
      <c r="Q414" t="s">
        <v>1962</v>
      </c>
      <c r="R414" t="s">
        <v>1887</v>
      </c>
      <c r="S414" t="s">
        <v>65</v>
      </c>
      <c r="T414" t="s">
        <v>2065</v>
      </c>
      <c r="U414" t="s">
        <v>2271</v>
      </c>
      <c r="V414" t="s">
        <v>91</v>
      </c>
    </row>
    <row r="415" spans="1:22" x14ac:dyDescent="0.35">
      <c r="A415" t="s">
        <v>2272</v>
      </c>
      <c r="B415" t="s">
        <v>2155</v>
      </c>
      <c r="C415" t="s">
        <v>28</v>
      </c>
      <c r="D415" t="s">
        <v>196</v>
      </c>
      <c r="E415" t="s">
        <v>28</v>
      </c>
      <c r="F415" t="s">
        <v>197</v>
      </c>
      <c r="G415" t="s">
        <v>28</v>
      </c>
      <c r="H415" t="s">
        <v>28</v>
      </c>
      <c r="I415" t="s">
        <v>46</v>
      </c>
      <c r="K415" t="s">
        <v>2235</v>
      </c>
      <c r="L415" t="s">
        <v>38</v>
      </c>
      <c r="M415" t="s">
        <v>49</v>
      </c>
      <c r="N415" t="s">
        <v>38</v>
      </c>
      <c r="O415" t="s">
        <v>2195</v>
      </c>
      <c r="P415" t="s">
        <v>38</v>
      </c>
      <c r="Q415" t="s">
        <v>2225</v>
      </c>
      <c r="R415" t="s">
        <v>2175</v>
      </c>
      <c r="S415" t="s">
        <v>53</v>
      </c>
      <c r="T415" t="s">
        <v>2246</v>
      </c>
      <c r="U415" t="s">
        <v>2274</v>
      </c>
      <c r="V415" t="s">
        <v>91</v>
      </c>
    </row>
    <row r="416" spans="1:22" x14ac:dyDescent="0.35">
      <c r="A416" t="s">
        <v>2275</v>
      </c>
      <c r="B416" t="s">
        <v>1899</v>
      </c>
      <c r="C416" t="s">
        <v>28</v>
      </c>
      <c r="D416" t="s">
        <v>44</v>
      </c>
      <c r="E416" t="s">
        <v>157</v>
      </c>
      <c r="F416" t="s">
        <v>28</v>
      </c>
      <c r="G416" t="s">
        <v>173</v>
      </c>
      <c r="H416" t="s">
        <v>28</v>
      </c>
      <c r="I416" t="s">
        <v>46</v>
      </c>
      <c r="K416" t="s">
        <v>2276</v>
      </c>
      <c r="L416" t="s">
        <v>48</v>
      </c>
      <c r="M416" t="s">
        <v>48</v>
      </c>
      <c r="N416" t="s">
        <v>48</v>
      </c>
      <c r="O416" t="s">
        <v>2277</v>
      </c>
      <c r="P416" t="s">
        <v>48</v>
      </c>
      <c r="Q416" t="s">
        <v>2266</v>
      </c>
      <c r="R416" t="s">
        <v>2238</v>
      </c>
      <c r="S416" t="s">
        <v>53</v>
      </c>
      <c r="T416" t="s">
        <v>118</v>
      </c>
      <c r="U416" t="s">
        <v>2279</v>
      </c>
      <c r="V416" t="s">
        <v>91</v>
      </c>
    </row>
    <row r="417" spans="1:22" x14ac:dyDescent="0.35">
      <c r="A417" t="s">
        <v>2280</v>
      </c>
      <c r="B417" t="s">
        <v>2055</v>
      </c>
      <c r="C417" t="s">
        <v>29</v>
      </c>
      <c r="D417" t="s">
        <v>33</v>
      </c>
      <c r="E417" t="s">
        <v>29</v>
      </c>
      <c r="F417" t="s">
        <v>30</v>
      </c>
      <c r="G417" t="s">
        <v>30</v>
      </c>
      <c r="H417" t="s">
        <v>61</v>
      </c>
      <c r="I417" t="s">
        <v>46</v>
      </c>
      <c r="K417" t="s">
        <v>2281</v>
      </c>
      <c r="L417" t="s">
        <v>48</v>
      </c>
      <c r="M417" t="s">
        <v>49</v>
      </c>
      <c r="N417" t="s">
        <v>49</v>
      </c>
      <c r="O417" t="s">
        <v>2094</v>
      </c>
      <c r="P417" t="s">
        <v>38</v>
      </c>
      <c r="Q417" t="s">
        <v>2095</v>
      </c>
      <c r="R417" t="s">
        <v>2282</v>
      </c>
      <c r="S417" t="s">
        <v>53</v>
      </c>
      <c r="T417" t="s">
        <v>2077</v>
      </c>
      <c r="U417" t="s">
        <v>2284</v>
      </c>
      <c r="V417" t="s">
        <v>91</v>
      </c>
    </row>
    <row r="418" spans="1:22" x14ac:dyDescent="0.35">
      <c r="A418" t="s">
        <v>2285</v>
      </c>
      <c r="B418" t="s">
        <v>1899</v>
      </c>
      <c r="C418" t="s">
        <v>28</v>
      </c>
      <c r="D418" t="s">
        <v>44</v>
      </c>
      <c r="E418" t="s">
        <v>157</v>
      </c>
      <c r="F418" t="s">
        <v>103</v>
      </c>
      <c r="G418" t="s">
        <v>103</v>
      </c>
      <c r="H418" t="s">
        <v>28</v>
      </c>
      <c r="I418" t="s">
        <v>46</v>
      </c>
      <c r="K418" t="s">
        <v>2276</v>
      </c>
      <c r="L418" t="s">
        <v>48</v>
      </c>
      <c r="M418" t="s">
        <v>48</v>
      </c>
      <c r="N418" t="s">
        <v>48</v>
      </c>
      <c r="O418" t="s">
        <v>2286</v>
      </c>
      <c r="P418" t="s">
        <v>48</v>
      </c>
      <c r="Q418" t="s">
        <v>2287</v>
      </c>
      <c r="R418" t="s">
        <v>2288</v>
      </c>
      <c r="S418" t="s">
        <v>53</v>
      </c>
      <c r="T418" t="s">
        <v>118</v>
      </c>
      <c r="U418" t="s">
        <v>2290</v>
      </c>
      <c r="V418" t="s">
        <v>170</v>
      </c>
    </row>
    <row r="419" spans="1:22" x14ac:dyDescent="0.35">
      <c r="A419" t="s">
        <v>2291</v>
      </c>
      <c r="B419" t="s">
        <v>2155</v>
      </c>
      <c r="C419" t="s">
        <v>28</v>
      </c>
      <c r="D419" t="s">
        <v>197</v>
      </c>
      <c r="E419" t="s">
        <v>28</v>
      </c>
      <c r="F419" t="s">
        <v>28</v>
      </c>
      <c r="G419" t="s">
        <v>28</v>
      </c>
      <c r="H419" t="s">
        <v>28</v>
      </c>
      <c r="I419" t="s">
        <v>46</v>
      </c>
      <c r="K419" t="s">
        <v>2235</v>
      </c>
      <c r="L419" t="s">
        <v>38</v>
      </c>
      <c r="M419" t="s">
        <v>49</v>
      </c>
      <c r="O419" t="s">
        <v>2191</v>
      </c>
      <c r="P419" t="s">
        <v>49</v>
      </c>
      <c r="Q419" t="s">
        <v>2186</v>
      </c>
      <c r="R419" t="s">
        <v>2175</v>
      </c>
      <c r="S419" t="s">
        <v>53</v>
      </c>
      <c r="T419" t="s">
        <v>2246</v>
      </c>
      <c r="U419" t="s">
        <v>2293</v>
      </c>
      <c r="V419" t="s">
        <v>91</v>
      </c>
    </row>
    <row r="420" spans="1:22" x14ac:dyDescent="0.35">
      <c r="A420" t="s">
        <v>2294</v>
      </c>
      <c r="B420" t="s">
        <v>1899</v>
      </c>
      <c r="C420" t="s">
        <v>28</v>
      </c>
      <c r="D420" t="s">
        <v>28</v>
      </c>
      <c r="E420" t="s">
        <v>28</v>
      </c>
      <c r="F420" t="s">
        <v>28</v>
      </c>
      <c r="G420" t="s">
        <v>28</v>
      </c>
      <c r="H420" t="s">
        <v>28</v>
      </c>
      <c r="I420" t="s">
        <v>46</v>
      </c>
      <c r="K420" t="s">
        <v>2276</v>
      </c>
      <c r="L420" t="s">
        <v>48</v>
      </c>
      <c r="M420" t="s">
        <v>48</v>
      </c>
      <c r="N420" t="s">
        <v>48</v>
      </c>
      <c r="O420" t="s">
        <v>2277</v>
      </c>
      <c r="Q420" t="s">
        <v>2266</v>
      </c>
      <c r="R420" t="s">
        <v>2238</v>
      </c>
      <c r="S420" t="s">
        <v>53</v>
      </c>
      <c r="T420" t="s">
        <v>118</v>
      </c>
      <c r="U420" t="s">
        <v>2296</v>
      </c>
      <c r="V420" t="s">
        <v>129</v>
      </c>
    </row>
    <row r="421" spans="1:22" x14ac:dyDescent="0.35">
      <c r="A421" t="s">
        <v>2297</v>
      </c>
      <c r="B421" t="s">
        <v>1875</v>
      </c>
      <c r="C421" t="s">
        <v>44</v>
      </c>
      <c r="D421" t="s">
        <v>60</v>
      </c>
      <c r="E421" t="s">
        <v>28</v>
      </c>
      <c r="F421" t="s">
        <v>30</v>
      </c>
      <c r="G421" t="s">
        <v>368</v>
      </c>
      <c r="H421" t="s">
        <v>94</v>
      </c>
      <c r="I421" t="s">
        <v>36</v>
      </c>
      <c r="K421" t="s">
        <v>2071</v>
      </c>
      <c r="L421" t="s">
        <v>49</v>
      </c>
      <c r="M421" t="s">
        <v>48</v>
      </c>
      <c r="N421" t="s">
        <v>38</v>
      </c>
      <c r="O421" t="s">
        <v>2298</v>
      </c>
      <c r="P421" t="s">
        <v>49</v>
      </c>
      <c r="Q421" t="s">
        <v>2299</v>
      </c>
      <c r="R421" t="s">
        <v>2300</v>
      </c>
      <c r="S421" t="s">
        <v>53</v>
      </c>
      <c r="T421" t="s">
        <v>2077</v>
      </c>
      <c r="U421" t="s">
        <v>2302</v>
      </c>
      <c r="V421" t="s">
        <v>91</v>
      </c>
    </row>
    <row r="422" spans="1:22" x14ac:dyDescent="0.35">
      <c r="A422" t="s">
        <v>2303</v>
      </c>
      <c r="B422" t="s">
        <v>2155</v>
      </c>
      <c r="C422" t="s">
        <v>28</v>
      </c>
      <c r="D422" t="s">
        <v>28</v>
      </c>
      <c r="E422" t="s">
        <v>28</v>
      </c>
      <c r="F422" t="s">
        <v>28</v>
      </c>
      <c r="G422" t="s">
        <v>173</v>
      </c>
      <c r="H422" t="s">
        <v>292</v>
      </c>
      <c r="I422" t="s">
        <v>46</v>
      </c>
      <c r="K422" t="s">
        <v>2235</v>
      </c>
      <c r="L422" t="s">
        <v>38</v>
      </c>
      <c r="M422" t="s">
        <v>49</v>
      </c>
      <c r="N422" t="s">
        <v>49</v>
      </c>
      <c r="O422" t="s">
        <v>2195</v>
      </c>
      <c r="P422" t="s">
        <v>38</v>
      </c>
      <c r="Q422" t="s">
        <v>2304</v>
      </c>
      <c r="R422" t="s">
        <v>2175</v>
      </c>
      <c r="S422" t="s">
        <v>53</v>
      </c>
      <c r="T422" t="s">
        <v>2246</v>
      </c>
      <c r="U422" t="s">
        <v>2306</v>
      </c>
      <c r="V422" t="s">
        <v>91</v>
      </c>
    </row>
    <row r="423" spans="1:22" x14ac:dyDescent="0.35">
      <c r="A423" t="s">
        <v>2307</v>
      </c>
      <c r="B423" t="s">
        <v>1960</v>
      </c>
      <c r="C423" t="s">
        <v>60</v>
      </c>
      <c r="D423" t="s">
        <v>60</v>
      </c>
      <c r="E423" t="s">
        <v>44</v>
      </c>
      <c r="F423" t="s">
        <v>103</v>
      </c>
      <c r="G423" t="s">
        <v>28</v>
      </c>
      <c r="H423" t="s">
        <v>28</v>
      </c>
      <c r="I423" t="s">
        <v>46</v>
      </c>
      <c r="K423" t="s">
        <v>2308</v>
      </c>
      <c r="L423" t="s">
        <v>48</v>
      </c>
      <c r="M423" t="s">
        <v>48</v>
      </c>
      <c r="N423" t="s">
        <v>38</v>
      </c>
      <c r="O423" t="s">
        <v>1885</v>
      </c>
      <c r="P423" t="s">
        <v>38</v>
      </c>
      <c r="Q423" t="s">
        <v>2011</v>
      </c>
      <c r="R423" t="s">
        <v>1887</v>
      </c>
      <c r="S423" t="s">
        <v>53</v>
      </c>
      <c r="T423" t="s">
        <v>2132</v>
      </c>
      <c r="U423" t="s">
        <v>2310</v>
      </c>
      <c r="V423" t="s">
        <v>91</v>
      </c>
    </row>
    <row r="424" spans="1:22" x14ac:dyDescent="0.35">
      <c r="A424" t="s">
        <v>2311</v>
      </c>
      <c r="B424" t="s">
        <v>2055</v>
      </c>
      <c r="C424" t="s">
        <v>44</v>
      </c>
      <c r="D424" t="s">
        <v>60</v>
      </c>
      <c r="E424" t="s">
        <v>44</v>
      </c>
      <c r="F424" t="s">
        <v>173</v>
      </c>
      <c r="G424" t="s">
        <v>28</v>
      </c>
      <c r="H424" t="s">
        <v>28</v>
      </c>
      <c r="I424" t="s">
        <v>46</v>
      </c>
      <c r="K424" t="s">
        <v>2312</v>
      </c>
      <c r="L424" t="s">
        <v>49</v>
      </c>
      <c r="M424" t="s">
        <v>49</v>
      </c>
      <c r="N424" t="s">
        <v>48</v>
      </c>
      <c r="O424" t="s">
        <v>2313</v>
      </c>
      <c r="P424" t="s">
        <v>49</v>
      </c>
      <c r="Q424" t="s">
        <v>2095</v>
      </c>
      <c r="R424" t="s">
        <v>2282</v>
      </c>
      <c r="S424" t="s">
        <v>53</v>
      </c>
      <c r="T424" t="s">
        <v>2077</v>
      </c>
      <c r="U424" t="s">
        <v>2315</v>
      </c>
      <c r="V424" t="s">
        <v>91</v>
      </c>
    </row>
    <row r="425" spans="1:22" x14ac:dyDescent="0.35">
      <c r="A425" t="s">
        <v>2316</v>
      </c>
      <c r="B425" t="s">
        <v>1899</v>
      </c>
      <c r="C425" t="s">
        <v>28</v>
      </c>
      <c r="D425" t="s">
        <v>28</v>
      </c>
      <c r="E425" t="s">
        <v>28</v>
      </c>
      <c r="F425" t="s">
        <v>28</v>
      </c>
      <c r="G425" t="s">
        <v>28</v>
      </c>
      <c r="H425" t="s">
        <v>28</v>
      </c>
      <c r="I425" t="s">
        <v>46</v>
      </c>
      <c r="K425" t="s">
        <v>2317</v>
      </c>
      <c r="L425" t="s">
        <v>48</v>
      </c>
      <c r="M425" t="s">
        <v>48</v>
      </c>
      <c r="N425" t="s">
        <v>48</v>
      </c>
      <c r="O425" t="s">
        <v>2318</v>
      </c>
      <c r="P425" t="s">
        <v>48</v>
      </c>
      <c r="Q425" t="s">
        <v>2319</v>
      </c>
      <c r="R425" t="s">
        <v>2238</v>
      </c>
      <c r="S425" t="s">
        <v>53</v>
      </c>
      <c r="T425" t="s">
        <v>118</v>
      </c>
      <c r="U425" t="s">
        <v>2321</v>
      </c>
      <c r="V425" t="s">
        <v>91</v>
      </c>
    </row>
    <row r="426" spans="1:22" x14ac:dyDescent="0.35">
      <c r="A426" t="s">
        <v>2322</v>
      </c>
      <c r="B426" t="s">
        <v>1875</v>
      </c>
      <c r="C426" t="s">
        <v>60</v>
      </c>
      <c r="D426" t="s">
        <v>29</v>
      </c>
      <c r="E426" t="s">
        <v>28</v>
      </c>
      <c r="F426" t="s">
        <v>30</v>
      </c>
      <c r="G426" t="s">
        <v>28</v>
      </c>
      <c r="H426" t="s">
        <v>368</v>
      </c>
      <c r="I426" t="s">
        <v>46</v>
      </c>
      <c r="K426" t="s">
        <v>2088</v>
      </c>
      <c r="L426" t="s">
        <v>49</v>
      </c>
      <c r="M426" t="s">
        <v>38</v>
      </c>
      <c r="N426" t="s">
        <v>48</v>
      </c>
      <c r="O426" t="s">
        <v>2323</v>
      </c>
      <c r="P426" t="s">
        <v>49</v>
      </c>
      <c r="Q426" t="s">
        <v>2324</v>
      </c>
      <c r="R426" t="s">
        <v>2325</v>
      </c>
      <c r="S426" t="s">
        <v>53</v>
      </c>
      <c r="T426" t="s">
        <v>2077</v>
      </c>
      <c r="U426" t="s">
        <v>2327</v>
      </c>
      <c r="V426" t="s">
        <v>91</v>
      </c>
    </row>
    <row r="427" spans="1:22" x14ac:dyDescent="0.35">
      <c r="A427" t="s">
        <v>2328</v>
      </c>
      <c r="B427" t="s">
        <v>1899</v>
      </c>
      <c r="C427" t="s">
        <v>28</v>
      </c>
      <c r="D427" t="s">
        <v>28</v>
      </c>
      <c r="E427" t="s">
        <v>28</v>
      </c>
      <c r="F427" t="s">
        <v>28</v>
      </c>
      <c r="G427" t="s">
        <v>28</v>
      </c>
      <c r="H427" t="s">
        <v>28</v>
      </c>
      <c r="I427" t="s">
        <v>46</v>
      </c>
      <c r="K427" t="s">
        <v>2317</v>
      </c>
      <c r="L427" t="s">
        <v>48</v>
      </c>
      <c r="M427" t="s">
        <v>48</v>
      </c>
      <c r="N427" t="s">
        <v>48</v>
      </c>
      <c r="O427" t="s">
        <v>2286</v>
      </c>
      <c r="P427" t="s">
        <v>48</v>
      </c>
      <c r="Q427" t="s">
        <v>2287</v>
      </c>
      <c r="R427" t="s">
        <v>2288</v>
      </c>
      <c r="S427" t="s">
        <v>53</v>
      </c>
      <c r="T427" t="s">
        <v>118</v>
      </c>
      <c r="U427" t="s">
        <v>2330</v>
      </c>
      <c r="V427" t="s">
        <v>91</v>
      </c>
    </row>
    <row r="428" spans="1:22" x14ac:dyDescent="0.35">
      <c r="A428" t="s">
        <v>2331</v>
      </c>
      <c r="B428" t="s">
        <v>1875</v>
      </c>
      <c r="C428" t="s">
        <v>60</v>
      </c>
      <c r="D428" t="s">
        <v>60</v>
      </c>
      <c r="E428" t="s">
        <v>28</v>
      </c>
      <c r="F428" t="s">
        <v>173</v>
      </c>
      <c r="G428" t="s">
        <v>368</v>
      </c>
      <c r="H428" t="s">
        <v>94</v>
      </c>
      <c r="I428" t="s">
        <v>46</v>
      </c>
      <c r="K428" t="s">
        <v>2088</v>
      </c>
      <c r="L428" t="s">
        <v>49</v>
      </c>
      <c r="M428" t="s">
        <v>38</v>
      </c>
      <c r="N428" t="s">
        <v>48</v>
      </c>
      <c r="O428" t="s">
        <v>2332</v>
      </c>
      <c r="P428" t="s">
        <v>49</v>
      </c>
      <c r="Q428" t="s">
        <v>2333</v>
      </c>
      <c r="R428" t="s">
        <v>2334</v>
      </c>
      <c r="S428" t="s">
        <v>53</v>
      </c>
      <c r="T428" t="s">
        <v>2077</v>
      </c>
      <c r="U428" t="s">
        <v>2336</v>
      </c>
      <c r="V428" t="s">
        <v>91</v>
      </c>
    </row>
    <row r="429" spans="1:22" x14ac:dyDescent="0.35">
      <c r="A429" t="s">
        <v>2337</v>
      </c>
      <c r="B429" t="s">
        <v>1899</v>
      </c>
      <c r="C429" t="s">
        <v>28</v>
      </c>
      <c r="D429" t="s">
        <v>28</v>
      </c>
      <c r="E429" t="s">
        <v>28</v>
      </c>
      <c r="F429" t="s">
        <v>28</v>
      </c>
      <c r="G429" t="s">
        <v>28</v>
      </c>
      <c r="H429" t="s">
        <v>28</v>
      </c>
      <c r="I429" t="s">
        <v>46</v>
      </c>
      <c r="K429" t="s">
        <v>2338</v>
      </c>
      <c r="L429" t="s">
        <v>49</v>
      </c>
      <c r="M429" t="s">
        <v>48</v>
      </c>
      <c r="N429" t="s">
        <v>49</v>
      </c>
      <c r="O429" t="s">
        <v>2339</v>
      </c>
      <c r="P429" t="s">
        <v>48</v>
      </c>
      <c r="Q429" t="s">
        <v>2319</v>
      </c>
      <c r="R429" t="s">
        <v>2340</v>
      </c>
      <c r="S429" t="s">
        <v>53</v>
      </c>
      <c r="T429" t="s">
        <v>118</v>
      </c>
      <c r="U429" t="s">
        <v>2342</v>
      </c>
      <c r="V429" t="s">
        <v>170</v>
      </c>
    </row>
    <row r="430" spans="1:22" x14ac:dyDescent="0.35">
      <c r="A430" t="s">
        <v>2343</v>
      </c>
      <c r="B430" t="s">
        <v>1899</v>
      </c>
      <c r="C430" t="s">
        <v>28</v>
      </c>
      <c r="D430" t="s">
        <v>44</v>
      </c>
      <c r="E430" t="s">
        <v>157</v>
      </c>
      <c r="F430" t="s">
        <v>103</v>
      </c>
      <c r="G430" t="s">
        <v>103</v>
      </c>
      <c r="H430" t="s">
        <v>28</v>
      </c>
      <c r="I430" t="s">
        <v>46</v>
      </c>
      <c r="K430" t="s">
        <v>2338</v>
      </c>
      <c r="L430" t="s">
        <v>48</v>
      </c>
      <c r="M430" t="s">
        <v>49</v>
      </c>
      <c r="N430" t="s">
        <v>49</v>
      </c>
      <c r="O430" t="s">
        <v>2265</v>
      </c>
      <c r="P430" t="s">
        <v>48</v>
      </c>
      <c r="Q430" t="s">
        <v>2237</v>
      </c>
      <c r="R430" t="s">
        <v>2238</v>
      </c>
      <c r="S430" t="s">
        <v>53</v>
      </c>
      <c r="T430" t="s">
        <v>118</v>
      </c>
      <c r="U430" t="s">
        <v>2345</v>
      </c>
      <c r="V430" t="s">
        <v>91</v>
      </c>
    </row>
    <row r="431" spans="1:22" x14ac:dyDescent="0.35">
      <c r="A431" t="s">
        <v>2346</v>
      </c>
      <c r="B431" t="s">
        <v>1875</v>
      </c>
      <c r="C431" t="s">
        <v>28</v>
      </c>
      <c r="D431" t="s">
        <v>33</v>
      </c>
      <c r="E431" t="s">
        <v>157</v>
      </c>
      <c r="F431" t="s">
        <v>30</v>
      </c>
      <c r="G431" t="s">
        <v>28</v>
      </c>
      <c r="H431" t="s">
        <v>368</v>
      </c>
      <c r="I431" t="s">
        <v>36</v>
      </c>
      <c r="K431" t="s">
        <v>2110</v>
      </c>
      <c r="L431" t="s">
        <v>49</v>
      </c>
      <c r="M431" t="s">
        <v>38</v>
      </c>
      <c r="N431" t="s">
        <v>49</v>
      </c>
      <c r="O431" t="s">
        <v>2347</v>
      </c>
      <c r="P431" t="s">
        <v>48</v>
      </c>
      <c r="Q431" t="s">
        <v>2348</v>
      </c>
      <c r="R431" t="s">
        <v>2349</v>
      </c>
      <c r="S431" t="s">
        <v>53</v>
      </c>
      <c r="T431" t="s">
        <v>2077</v>
      </c>
      <c r="U431" t="s">
        <v>2351</v>
      </c>
      <c r="V431" t="s">
        <v>91</v>
      </c>
    </row>
    <row r="432" spans="1:22" x14ac:dyDescent="0.35">
      <c r="A432" t="s">
        <v>2352</v>
      </c>
      <c r="B432" t="s">
        <v>1899</v>
      </c>
      <c r="C432" t="s">
        <v>28</v>
      </c>
      <c r="D432" t="s">
        <v>44</v>
      </c>
      <c r="E432" t="s">
        <v>28</v>
      </c>
      <c r="F432" t="s">
        <v>173</v>
      </c>
      <c r="G432" t="s">
        <v>103</v>
      </c>
      <c r="H432" t="s">
        <v>35</v>
      </c>
      <c r="I432" t="s">
        <v>46</v>
      </c>
      <c r="K432" t="s">
        <v>2338</v>
      </c>
      <c r="L432" t="s">
        <v>48</v>
      </c>
      <c r="M432" t="s">
        <v>48</v>
      </c>
      <c r="N432" t="s">
        <v>48</v>
      </c>
      <c r="O432" t="s">
        <v>2277</v>
      </c>
      <c r="P432" t="s">
        <v>48</v>
      </c>
      <c r="Q432" t="s">
        <v>2237</v>
      </c>
      <c r="R432" t="s">
        <v>2238</v>
      </c>
      <c r="S432" t="s">
        <v>53</v>
      </c>
      <c r="T432" t="s">
        <v>118</v>
      </c>
      <c r="U432" t="s">
        <v>2354</v>
      </c>
      <c r="V432" t="s">
        <v>91</v>
      </c>
    </row>
    <row r="433" spans="1:22" x14ac:dyDescent="0.35">
      <c r="A433" t="s">
        <v>2355</v>
      </c>
      <c r="B433" t="s">
        <v>32</v>
      </c>
      <c r="C433" t="s">
        <v>28</v>
      </c>
      <c r="D433" t="s">
        <v>33</v>
      </c>
      <c r="E433" t="s">
        <v>60</v>
      </c>
      <c r="F433" t="s">
        <v>158</v>
      </c>
      <c r="G433" t="s">
        <v>103</v>
      </c>
      <c r="H433" t="s">
        <v>368</v>
      </c>
      <c r="I433" t="s">
        <v>46</v>
      </c>
      <c r="K433" t="s">
        <v>2356</v>
      </c>
      <c r="L433" t="s">
        <v>39</v>
      </c>
      <c r="M433" t="s">
        <v>49</v>
      </c>
      <c r="N433" t="s">
        <v>48</v>
      </c>
      <c r="O433" t="s">
        <v>2357</v>
      </c>
      <c r="P433" t="s">
        <v>40</v>
      </c>
      <c r="Q433" t="s">
        <v>2358</v>
      </c>
      <c r="R433" t="s">
        <v>134</v>
      </c>
      <c r="S433" t="s">
        <v>53</v>
      </c>
      <c r="T433" t="s">
        <v>1030</v>
      </c>
      <c r="U433" t="s">
        <v>2360</v>
      </c>
      <c r="V433" t="s">
        <v>91</v>
      </c>
    </row>
    <row r="434" spans="1:22" x14ac:dyDescent="0.35">
      <c r="A434" t="s">
        <v>2361</v>
      </c>
      <c r="B434" t="s">
        <v>32</v>
      </c>
      <c r="C434" t="s">
        <v>29</v>
      </c>
      <c r="D434" t="s">
        <v>158</v>
      </c>
      <c r="E434" t="s">
        <v>73</v>
      </c>
      <c r="F434" t="s">
        <v>72</v>
      </c>
      <c r="G434" t="s">
        <v>73</v>
      </c>
      <c r="H434" t="s">
        <v>74</v>
      </c>
      <c r="I434" t="s">
        <v>36</v>
      </c>
      <c r="K434" t="s">
        <v>2362</v>
      </c>
      <c r="L434" t="s">
        <v>38</v>
      </c>
      <c r="M434" t="s">
        <v>48</v>
      </c>
      <c r="N434" t="s">
        <v>48</v>
      </c>
      <c r="O434" t="s">
        <v>2363</v>
      </c>
      <c r="P434" t="s">
        <v>48</v>
      </c>
      <c r="Q434" t="s">
        <v>2364</v>
      </c>
      <c r="R434" t="s">
        <v>2365</v>
      </c>
      <c r="S434" t="s">
        <v>53</v>
      </c>
      <c r="T434" t="s">
        <v>1030</v>
      </c>
      <c r="U434" t="s">
        <v>2367</v>
      </c>
      <c r="V434" t="s">
        <v>129</v>
      </c>
    </row>
    <row r="435" spans="1:22" x14ac:dyDescent="0.35">
      <c r="A435" t="s">
        <v>2368</v>
      </c>
      <c r="B435" t="s">
        <v>493</v>
      </c>
      <c r="C435" t="s">
        <v>60</v>
      </c>
      <c r="D435" t="s">
        <v>196</v>
      </c>
      <c r="E435" t="s">
        <v>206</v>
      </c>
      <c r="F435" t="s">
        <v>196</v>
      </c>
      <c r="G435" t="s">
        <v>73</v>
      </c>
      <c r="H435" t="s">
        <v>28</v>
      </c>
      <c r="I435" t="s">
        <v>36</v>
      </c>
      <c r="K435" t="s">
        <v>2369</v>
      </c>
      <c r="L435" t="s">
        <v>38</v>
      </c>
      <c r="M435" t="s">
        <v>48</v>
      </c>
      <c r="N435" t="s">
        <v>48</v>
      </c>
      <c r="O435" t="s">
        <v>2370</v>
      </c>
      <c r="P435" t="s">
        <v>48</v>
      </c>
      <c r="Q435" t="s">
        <v>2371</v>
      </c>
      <c r="R435" t="s">
        <v>134</v>
      </c>
      <c r="S435" t="s">
        <v>53</v>
      </c>
      <c r="T435" t="s">
        <v>1030</v>
      </c>
      <c r="U435" t="s">
        <v>2373</v>
      </c>
      <c r="V435" t="s">
        <v>91</v>
      </c>
    </row>
    <row r="436" spans="1:22" x14ac:dyDescent="0.35">
      <c r="A436" t="s">
        <v>2374</v>
      </c>
      <c r="B436" t="s">
        <v>493</v>
      </c>
      <c r="C436" t="s">
        <v>29</v>
      </c>
      <c r="D436" t="s">
        <v>60</v>
      </c>
      <c r="E436" t="s">
        <v>206</v>
      </c>
      <c r="F436" t="s">
        <v>72</v>
      </c>
      <c r="G436" t="s">
        <v>173</v>
      </c>
      <c r="H436" t="s">
        <v>73</v>
      </c>
      <c r="I436" t="s">
        <v>46</v>
      </c>
      <c r="K436" t="s">
        <v>2369</v>
      </c>
      <c r="L436" t="s">
        <v>38</v>
      </c>
      <c r="M436" t="s">
        <v>38</v>
      </c>
      <c r="N436" t="s">
        <v>49</v>
      </c>
      <c r="O436" t="s">
        <v>2375</v>
      </c>
      <c r="P436" t="s">
        <v>49</v>
      </c>
      <c r="Q436" t="s">
        <v>134</v>
      </c>
      <c r="R436" t="s">
        <v>134</v>
      </c>
      <c r="S436" t="s">
        <v>53</v>
      </c>
      <c r="T436" t="s">
        <v>1030</v>
      </c>
      <c r="U436" t="s">
        <v>2377</v>
      </c>
      <c r="V436" t="s">
        <v>91</v>
      </c>
    </row>
    <row r="437" spans="1:22" x14ac:dyDescent="0.35">
      <c r="A437" t="s">
        <v>2378</v>
      </c>
      <c r="B437" t="s">
        <v>493</v>
      </c>
      <c r="C437" t="s">
        <v>71</v>
      </c>
      <c r="D437" t="s">
        <v>197</v>
      </c>
      <c r="E437" t="s">
        <v>44</v>
      </c>
      <c r="F437" t="s">
        <v>158</v>
      </c>
      <c r="G437" t="s">
        <v>28</v>
      </c>
      <c r="H437" t="s">
        <v>45</v>
      </c>
      <c r="I437" t="s">
        <v>46</v>
      </c>
      <c r="K437" t="s">
        <v>2379</v>
      </c>
      <c r="L437" t="s">
        <v>40</v>
      </c>
      <c r="M437" t="s">
        <v>48</v>
      </c>
      <c r="N437" t="s">
        <v>48</v>
      </c>
      <c r="O437" t="s">
        <v>2380</v>
      </c>
      <c r="P437" t="s">
        <v>48</v>
      </c>
      <c r="R437" t="s">
        <v>2381</v>
      </c>
      <c r="S437" t="s">
        <v>53</v>
      </c>
      <c r="T437" t="s">
        <v>1030</v>
      </c>
      <c r="U437" t="s">
        <v>2383</v>
      </c>
      <c r="V437" t="s">
        <v>129</v>
      </c>
    </row>
    <row r="438" spans="1:22" x14ac:dyDescent="0.35">
      <c r="A438" t="s">
        <v>2384</v>
      </c>
      <c r="B438" t="s">
        <v>2119</v>
      </c>
      <c r="C438" t="s">
        <v>60</v>
      </c>
      <c r="D438" t="s">
        <v>72</v>
      </c>
      <c r="E438" t="s">
        <v>29</v>
      </c>
      <c r="F438" t="s">
        <v>196</v>
      </c>
      <c r="G438" t="s">
        <v>34</v>
      </c>
      <c r="H438" t="s">
        <v>94</v>
      </c>
      <c r="I438" t="s">
        <v>46</v>
      </c>
      <c r="K438" t="s">
        <v>2385</v>
      </c>
      <c r="L438" t="s">
        <v>40</v>
      </c>
      <c r="M438" t="s">
        <v>38</v>
      </c>
      <c r="N438" t="s">
        <v>48</v>
      </c>
      <c r="O438" t="s">
        <v>2386</v>
      </c>
      <c r="P438" t="s">
        <v>48</v>
      </c>
      <c r="Q438" t="s">
        <v>2387</v>
      </c>
      <c r="R438" t="s">
        <v>134</v>
      </c>
      <c r="S438" t="s">
        <v>53</v>
      </c>
      <c r="T438" t="s">
        <v>1030</v>
      </c>
      <c r="U438" t="s">
        <v>2389</v>
      </c>
      <c r="V438" t="s">
        <v>170</v>
      </c>
    </row>
    <row r="439" spans="1:22" x14ac:dyDescent="0.35">
      <c r="A439" t="s">
        <v>2390</v>
      </c>
      <c r="B439" t="s">
        <v>493</v>
      </c>
      <c r="C439" t="s">
        <v>28</v>
      </c>
      <c r="D439" t="s">
        <v>33</v>
      </c>
      <c r="E439" t="s">
        <v>29</v>
      </c>
      <c r="F439" t="s">
        <v>30</v>
      </c>
      <c r="G439" t="s">
        <v>103</v>
      </c>
      <c r="H439" t="s">
        <v>74</v>
      </c>
      <c r="I439" t="s">
        <v>46</v>
      </c>
      <c r="K439" t="s">
        <v>2391</v>
      </c>
      <c r="L439" t="s">
        <v>38</v>
      </c>
      <c r="M439" t="s">
        <v>49</v>
      </c>
      <c r="N439" t="s">
        <v>49</v>
      </c>
      <c r="O439" t="s">
        <v>2392</v>
      </c>
      <c r="P439" t="s">
        <v>48</v>
      </c>
      <c r="Q439" t="s">
        <v>134</v>
      </c>
      <c r="R439" t="s">
        <v>134</v>
      </c>
      <c r="S439" t="s">
        <v>53</v>
      </c>
      <c r="T439" t="s">
        <v>1030</v>
      </c>
      <c r="U439" t="s">
        <v>2394</v>
      </c>
      <c r="V439" t="s">
        <v>170</v>
      </c>
    </row>
    <row r="440" spans="1:22" x14ac:dyDescent="0.35">
      <c r="A440" t="s">
        <v>2395</v>
      </c>
      <c r="B440" t="s">
        <v>32</v>
      </c>
      <c r="C440" t="s">
        <v>344</v>
      </c>
      <c r="D440" t="s">
        <v>196</v>
      </c>
      <c r="E440" t="s">
        <v>206</v>
      </c>
      <c r="F440" t="s">
        <v>196</v>
      </c>
      <c r="G440" t="s">
        <v>28</v>
      </c>
      <c r="H440" t="s">
        <v>94</v>
      </c>
      <c r="I440" t="s">
        <v>46</v>
      </c>
      <c r="K440" t="s">
        <v>2391</v>
      </c>
      <c r="L440" t="s">
        <v>49</v>
      </c>
      <c r="M440" t="s">
        <v>48</v>
      </c>
      <c r="N440" t="s">
        <v>48</v>
      </c>
      <c r="O440" t="s">
        <v>2396</v>
      </c>
      <c r="P440" t="s">
        <v>48</v>
      </c>
      <c r="Q440" t="s">
        <v>134</v>
      </c>
      <c r="R440" t="s">
        <v>134</v>
      </c>
      <c r="S440" t="s">
        <v>53</v>
      </c>
      <c r="T440" t="s">
        <v>1030</v>
      </c>
      <c r="U440" t="s">
        <v>2398</v>
      </c>
      <c r="V440" t="s">
        <v>129</v>
      </c>
    </row>
    <row r="441" spans="1:22" x14ac:dyDescent="0.35">
      <c r="A441" t="s">
        <v>2399</v>
      </c>
      <c r="B441" t="s">
        <v>2400</v>
      </c>
      <c r="C441" t="s">
        <v>60</v>
      </c>
      <c r="D441" t="s">
        <v>29</v>
      </c>
      <c r="E441" t="s">
        <v>28</v>
      </c>
      <c r="F441" t="s">
        <v>196</v>
      </c>
      <c r="G441" t="s">
        <v>45</v>
      </c>
      <c r="H441" t="s">
        <v>28</v>
      </c>
      <c r="I441" t="s">
        <v>46</v>
      </c>
      <c r="K441" t="s">
        <v>2088</v>
      </c>
      <c r="L441" t="s">
        <v>48</v>
      </c>
      <c r="M441" t="s">
        <v>48</v>
      </c>
      <c r="N441" t="s">
        <v>48</v>
      </c>
      <c r="O441" t="s">
        <v>1951</v>
      </c>
      <c r="P441" t="s">
        <v>48</v>
      </c>
      <c r="Q441" t="s">
        <v>1952</v>
      </c>
      <c r="R441" t="s">
        <v>1976</v>
      </c>
      <c r="S441" t="s">
        <v>53</v>
      </c>
      <c r="T441" t="s">
        <v>2077</v>
      </c>
      <c r="U441" t="s">
        <v>193</v>
      </c>
      <c r="V441" t="s">
        <v>91</v>
      </c>
    </row>
    <row r="442" spans="1:22" x14ac:dyDescent="0.35">
      <c r="A442" t="s">
        <v>2402</v>
      </c>
      <c r="B442" t="s">
        <v>1929</v>
      </c>
      <c r="C442" t="s">
        <v>60</v>
      </c>
      <c r="D442" t="s">
        <v>28</v>
      </c>
      <c r="E442" t="s">
        <v>29</v>
      </c>
      <c r="F442" t="s">
        <v>197</v>
      </c>
      <c r="G442" t="s">
        <v>368</v>
      </c>
      <c r="H442" t="s">
        <v>35</v>
      </c>
      <c r="I442" t="s">
        <v>46</v>
      </c>
      <c r="K442" t="s">
        <v>2110</v>
      </c>
      <c r="L442" t="s">
        <v>48</v>
      </c>
      <c r="M442" t="s">
        <v>48</v>
      </c>
      <c r="N442" t="s">
        <v>48</v>
      </c>
      <c r="O442" t="s">
        <v>1951</v>
      </c>
      <c r="P442" t="s">
        <v>48</v>
      </c>
      <c r="Q442" t="s">
        <v>1952</v>
      </c>
      <c r="R442" t="s">
        <v>1976</v>
      </c>
      <c r="S442" t="s">
        <v>53</v>
      </c>
      <c r="T442" t="s">
        <v>2077</v>
      </c>
      <c r="U442" t="s">
        <v>193</v>
      </c>
      <c r="V442" t="s">
        <v>91</v>
      </c>
    </row>
    <row r="443" spans="1:22" x14ac:dyDescent="0.35">
      <c r="A443" t="s">
        <v>2404</v>
      </c>
      <c r="B443" t="s">
        <v>2405</v>
      </c>
      <c r="C443" t="s">
        <v>60</v>
      </c>
      <c r="D443" t="s">
        <v>29</v>
      </c>
      <c r="E443" t="s">
        <v>28</v>
      </c>
      <c r="F443" t="s">
        <v>72</v>
      </c>
      <c r="G443" t="s">
        <v>368</v>
      </c>
      <c r="H443" t="s">
        <v>28</v>
      </c>
      <c r="I443" t="s">
        <v>46</v>
      </c>
      <c r="K443" t="s">
        <v>2110</v>
      </c>
      <c r="L443" t="s">
        <v>48</v>
      </c>
      <c r="M443" t="s">
        <v>48</v>
      </c>
      <c r="N443" t="s">
        <v>48</v>
      </c>
      <c r="O443" t="s">
        <v>1951</v>
      </c>
      <c r="P443" t="s">
        <v>48</v>
      </c>
      <c r="Q443" t="s">
        <v>1952</v>
      </c>
      <c r="R443" t="s">
        <v>1976</v>
      </c>
      <c r="S443" t="s">
        <v>53</v>
      </c>
      <c r="T443" t="s">
        <v>2077</v>
      </c>
      <c r="U443" t="s">
        <v>193</v>
      </c>
      <c r="V443" t="s">
        <v>91</v>
      </c>
    </row>
    <row r="444" spans="1:22" x14ac:dyDescent="0.35">
      <c r="A444" t="s">
        <v>2407</v>
      </c>
      <c r="B444" t="s">
        <v>2405</v>
      </c>
      <c r="C444" t="s">
        <v>29</v>
      </c>
      <c r="D444" t="s">
        <v>60</v>
      </c>
      <c r="E444" t="s">
        <v>60</v>
      </c>
      <c r="F444" t="s">
        <v>28</v>
      </c>
      <c r="G444" t="s">
        <v>368</v>
      </c>
      <c r="H444" t="s">
        <v>94</v>
      </c>
      <c r="I444" t="s">
        <v>36</v>
      </c>
      <c r="K444" t="s">
        <v>2212</v>
      </c>
      <c r="L444" t="s">
        <v>48</v>
      </c>
      <c r="M444" t="s">
        <v>48</v>
      </c>
      <c r="N444" t="s">
        <v>48</v>
      </c>
      <c r="O444" t="s">
        <v>1951</v>
      </c>
      <c r="P444" t="s">
        <v>48</v>
      </c>
      <c r="Q444" t="s">
        <v>1952</v>
      </c>
      <c r="R444" t="s">
        <v>1976</v>
      </c>
      <c r="S444" t="s">
        <v>53</v>
      </c>
      <c r="T444" t="s">
        <v>2246</v>
      </c>
      <c r="U444" t="s">
        <v>258</v>
      </c>
      <c r="V444" t="s">
        <v>91</v>
      </c>
    </row>
    <row r="445" spans="1:22" x14ac:dyDescent="0.35">
      <c r="A445" t="s">
        <v>2263</v>
      </c>
      <c r="B445" t="s">
        <v>2155</v>
      </c>
      <c r="C445" t="s">
        <v>28</v>
      </c>
      <c r="D445" t="s">
        <v>196</v>
      </c>
      <c r="E445" t="s">
        <v>28</v>
      </c>
      <c r="F445" t="s">
        <v>196</v>
      </c>
      <c r="G445" t="s">
        <v>28</v>
      </c>
      <c r="H445" t="s">
        <v>35</v>
      </c>
      <c r="I445" t="s">
        <v>36</v>
      </c>
      <c r="K445" t="s">
        <v>2264</v>
      </c>
      <c r="L445" t="s">
        <v>38</v>
      </c>
      <c r="M445" t="s">
        <v>38</v>
      </c>
      <c r="O445" t="s">
        <v>2195</v>
      </c>
      <c r="P445" t="s">
        <v>38</v>
      </c>
      <c r="Q445" t="s">
        <v>2186</v>
      </c>
      <c r="R445" t="s">
        <v>2162</v>
      </c>
      <c r="S445" t="s">
        <v>53</v>
      </c>
      <c r="T445" t="s">
        <v>834</v>
      </c>
      <c r="U445" t="s">
        <v>2409</v>
      </c>
      <c r="V445" t="s">
        <v>91</v>
      </c>
    </row>
    <row r="446" spans="1:22" x14ac:dyDescent="0.35">
      <c r="A446" t="s">
        <v>2410</v>
      </c>
      <c r="B446" t="s">
        <v>2155</v>
      </c>
      <c r="C446" t="s">
        <v>28</v>
      </c>
      <c r="D446" t="s">
        <v>28</v>
      </c>
      <c r="E446" t="s">
        <v>28</v>
      </c>
      <c r="F446" t="s">
        <v>28</v>
      </c>
      <c r="G446" t="s">
        <v>28</v>
      </c>
      <c r="H446" t="s">
        <v>28</v>
      </c>
      <c r="I446" t="s">
        <v>46</v>
      </c>
      <c r="K446" t="s">
        <v>2276</v>
      </c>
      <c r="L446" t="s">
        <v>38</v>
      </c>
      <c r="M446" t="s">
        <v>38</v>
      </c>
      <c r="O446" t="s">
        <v>2195</v>
      </c>
      <c r="P446" t="s">
        <v>38</v>
      </c>
      <c r="Q446" t="s">
        <v>2411</v>
      </c>
      <c r="R446" t="s">
        <v>2195</v>
      </c>
      <c r="S446" t="s">
        <v>53</v>
      </c>
      <c r="T446" t="s">
        <v>118</v>
      </c>
      <c r="U446" t="s">
        <v>2413</v>
      </c>
      <c r="V446" t="s">
        <v>91</v>
      </c>
    </row>
    <row r="447" spans="1:22" x14ac:dyDescent="0.35">
      <c r="A447" t="s">
        <v>2414</v>
      </c>
      <c r="B447" t="s">
        <v>2405</v>
      </c>
      <c r="C447" t="s">
        <v>60</v>
      </c>
      <c r="D447" t="s">
        <v>28</v>
      </c>
      <c r="E447" t="s">
        <v>284</v>
      </c>
      <c r="F447" t="s">
        <v>196</v>
      </c>
      <c r="G447" t="s">
        <v>173</v>
      </c>
      <c r="H447" t="s">
        <v>28</v>
      </c>
      <c r="I447" t="s">
        <v>46</v>
      </c>
      <c r="K447" t="s">
        <v>2212</v>
      </c>
      <c r="L447" t="s">
        <v>48</v>
      </c>
      <c r="M447" t="s">
        <v>48</v>
      </c>
      <c r="N447" t="s">
        <v>48</v>
      </c>
      <c r="O447" t="s">
        <v>1951</v>
      </c>
      <c r="P447" t="s">
        <v>48</v>
      </c>
      <c r="Q447" t="s">
        <v>1952</v>
      </c>
      <c r="R447" t="s">
        <v>1976</v>
      </c>
      <c r="S447" t="s">
        <v>53</v>
      </c>
      <c r="T447" t="s">
        <v>2246</v>
      </c>
      <c r="U447" t="s">
        <v>2377</v>
      </c>
      <c r="V447" t="s">
        <v>91</v>
      </c>
    </row>
    <row r="448" spans="1:22" x14ac:dyDescent="0.35">
      <c r="A448" t="s">
        <v>2416</v>
      </c>
      <c r="B448" t="s">
        <v>1960</v>
      </c>
      <c r="C448" t="s">
        <v>44</v>
      </c>
      <c r="D448" t="s">
        <v>44</v>
      </c>
      <c r="E448" t="s">
        <v>44</v>
      </c>
      <c r="F448" t="s">
        <v>103</v>
      </c>
      <c r="G448" t="s">
        <v>103</v>
      </c>
      <c r="H448" t="s">
        <v>28</v>
      </c>
      <c r="I448" t="s">
        <v>36</v>
      </c>
      <c r="K448" t="s">
        <v>2132</v>
      </c>
      <c r="L448" t="s">
        <v>48</v>
      </c>
      <c r="M448" t="s">
        <v>48</v>
      </c>
      <c r="N448" t="s">
        <v>38</v>
      </c>
      <c r="O448" t="s">
        <v>1885</v>
      </c>
      <c r="P448" t="s">
        <v>38</v>
      </c>
      <c r="Q448" t="s">
        <v>1962</v>
      </c>
      <c r="R448" t="s">
        <v>1887</v>
      </c>
      <c r="S448" t="s">
        <v>79</v>
      </c>
      <c r="T448" t="s">
        <v>2132</v>
      </c>
      <c r="U448" t="s">
        <v>2227</v>
      </c>
      <c r="V448" t="s">
        <v>91</v>
      </c>
    </row>
    <row r="449" spans="1:22" x14ac:dyDescent="0.35">
      <c r="A449" t="s">
        <v>2418</v>
      </c>
      <c r="B449" t="s">
        <v>2405</v>
      </c>
      <c r="C449" t="s">
        <v>60</v>
      </c>
      <c r="D449" t="s">
        <v>28</v>
      </c>
      <c r="E449" t="s">
        <v>60</v>
      </c>
      <c r="F449" t="s">
        <v>158</v>
      </c>
      <c r="G449" t="s">
        <v>368</v>
      </c>
      <c r="H449" t="s">
        <v>28</v>
      </c>
      <c r="I449" t="s">
        <v>46</v>
      </c>
      <c r="K449" t="s">
        <v>2212</v>
      </c>
      <c r="L449" t="s">
        <v>48</v>
      </c>
      <c r="M449" t="s">
        <v>48</v>
      </c>
      <c r="N449" t="s">
        <v>48</v>
      </c>
      <c r="O449" t="s">
        <v>1951</v>
      </c>
      <c r="P449" t="s">
        <v>48</v>
      </c>
      <c r="Q449" t="s">
        <v>1952</v>
      </c>
      <c r="R449" t="s">
        <v>1976</v>
      </c>
      <c r="S449" t="s">
        <v>53</v>
      </c>
      <c r="T449" t="s">
        <v>2246</v>
      </c>
      <c r="U449" t="s">
        <v>2420</v>
      </c>
      <c r="V449" t="s">
        <v>91</v>
      </c>
    </row>
    <row r="450" spans="1:22" x14ac:dyDescent="0.35">
      <c r="A450" t="s">
        <v>2421</v>
      </c>
      <c r="B450" t="s">
        <v>1960</v>
      </c>
      <c r="C450" t="s">
        <v>44</v>
      </c>
      <c r="D450" t="s">
        <v>60</v>
      </c>
      <c r="E450" t="s">
        <v>60</v>
      </c>
      <c r="F450" t="s">
        <v>103</v>
      </c>
      <c r="G450" t="s">
        <v>28</v>
      </c>
      <c r="H450" t="s">
        <v>45</v>
      </c>
      <c r="I450" t="s">
        <v>46</v>
      </c>
      <c r="K450" t="s">
        <v>2132</v>
      </c>
      <c r="L450" t="s">
        <v>48</v>
      </c>
      <c r="M450" t="s">
        <v>48</v>
      </c>
      <c r="N450" t="s">
        <v>38</v>
      </c>
      <c r="O450" t="s">
        <v>1885</v>
      </c>
      <c r="P450" t="s">
        <v>38</v>
      </c>
      <c r="Q450" t="s">
        <v>1962</v>
      </c>
      <c r="R450" t="s">
        <v>1887</v>
      </c>
      <c r="S450" t="s">
        <v>53</v>
      </c>
      <c r="T450" t="s">
        <v>2132</v>
      </c>
      <c r="U450" t="s">
        <v>2013</v>
      </c>
      <c r="V450" t="s">
        <v>91</v>
      </c>
    </row>
    <row r="451" spans="1:22" x14ac:dyDescent="0.35">
      <c r="A451" t="s">
        <v>2423</v>
      </c>
      <c r="B451" t="s">
        <v>2405</v>
      </c>
      <c r="C451" t="s">
        <v>60</v>
      </c>
      <c r="D451" t="s">
        <v>28</v>
      </c>
      <c r="E451" t="s">
        <v>284</v>
      </c>
      <c r="F451" t="s">
        <v>197</v>
      </c>
      <c r="G451" t="s">
        <v>28</v>
      </c>
      <c r="H451" t="s">
        <v>292</v>
      </c>
      <c r="I451" t="s">
        <v>36</v>
      </c>
      <c r="K451" t="s">
        <v>2235</v>
      </c>
      <c r="L451" t="s">
        <v>48</v>
      </c>
      <c r="M451" t="s">
        <v>48</v>
      </c>
      <c r="N451" t="s">
        <v>48</v>
      </c>
      <c r="O451" t="s">
        <v>1951</v>
      </c>
      <c r="P451" t="s">
        <v>48</v>
      </c>
      <c r="Q451" t="s">
        <v>1952</v>
      </c>
      <c r="R451" t="s">
        <v>1976</v>
      </c>
      <c r="S451" t="s">
        <v>53</v>
      </c>
      <c r="T451" t="s">
        <v>2246</v>
      </c>
      <c r="U451" t="s">
        <v>2425</v>
      </c>
      <c r="V451" t="s">
        <v>91</v>
      </c>
    </row>
    <row r="452" spans="1:22" x14ac:dyDescent="0.35">
      <c r="A452" t="s">
        <v>2426</v>
      </c>
      <c r="B452" t="s">
        <v>1929</v>
      </c>
      <c r="C452" t="s">
        <v>28</v>
      </c>
      <c r="D452" t="s">
        <v>28</v>
      </c>
      <c r="E452" t="s">
        <v>28</v>
      </c>
      <c r="F452" t="s">
        <v>28</v>
      </c>
      <c r="G452" t="s">
        <v>28</v>
      </c>
      <c r="H452" t="s">
        <v>28</v>
      </c>
      <c r="I452" t="s">
        <v>46</v>
      </c>
      <c r="K452" t="s">
        <v>2427</v>
      </c>
      <c r="L452" t="s">
        <v>48</v>
      </c>
      <c r="M452" t="s">
        <v>48</v>
      </c>
      <c r="N452" t="s">
        <v>48</v>
      </c>
      <c r="O452" t="s">
        <v>1951</v>
      </c>
      <c r="P452" t="s">
        <v>48</v>
      </c>
      <c r="Q452" t="s">
        <v>1952</v>
      </c>
      <c r="R452" t="s">
        <v>1976</v>
      </c>
      <c r="S452" t="s">
        <v>53</v>
      </c>
      <c r="T452" t="s">
        <v>1030</v>
      </c>
      <c r="U452" t="s">
        <v>2429</v>
      </c>
      <c r="V452" t="s">
        <v>91</v>
      </c>
    </row>
    <row r="453" spans="1:22" x14ac:dyDescent="0.35">
      <c r="A453" t="s">
        <v>2430</v>
      </c>
      <c r="B453" t="s">
        <v>2431</v>
      </c>
      <c r="C453" t="s">
        <v>28</v>
      </c>
      <c r="D453" t="s">
        <v>28</v>
      </c>
      <c r="E453" t="s">
        <v>44</v>
      </c>
      <c r="F453" t="s">
        <v>103</v>
      </c>
      <c r="G453" t="s">
        <v>103</v>
      </c>
      <c r="H453" t="s">
        <v>28</v>
      </c>
      <c r="I453" t="s">
        <v>46</v>
      </c>
      <c r="K453" t="s">
        <v>2432</v>
      </c>
      <c r="L453" t="s">
        <v>38</v>
      </c>
      <c r="M453" t="s">
        <v>49</v>
      </c>
      <c r="N453" t="s">
        <v>48</v>
      </c>
      <c r="O453" t="s">
        <v>2313</v>
      </c>
      <c r="P453" t="s">
        <v>49</v>
      </c>
      <c r="Q453" t="s">
        <v>2095</v>
      </c>
      <c r="R453" t="s">
        <v>2282</v>
      </c>
      <c r="S453" t="s">
        <v>53</v>
      </c>
      <c r="T453" t="s">
        <v>2434</v>
      </c>
      <c r="U453" t="s">
        <v>2435</v>
      </c>
      <c r="V453" t="s">
        <v>91</v>
      </c>
    </row>
    <row r="454" spans="1:22" x14ac:dyDescent="0.35">
      <c r="A454" t="s">
        <v>2436</v>
      </c>
      <c r="B454" t="s">
        <v>1960</v>
      </c>
      <c r="C454" t="s">
        <v>60</v>
      </c>
      <c r="D454" t="s">
        <v>60</v>
      </c>
      <c r="E454" t="s">
        <v>60</v>
      </c>
      <c r="F454" t="s">
        <v>173</v>
      </c>
      <c r="G454" t="s">
        <v>28</v>
      </c>
      <c r="H454" t="s">
        <v>368</v>
      </c>
      <c r="I454" t="s">
        <v>46</v>
      </c>
      <c r="K454" t="s">
        <v>1424</v>
      </c>
      <c r="L454" t="s">
        <v>48</v>
      </c>
      <c r="M454" t="s">
        <v>48</v>
      </c>
      <c r="N454" t="s">
        <v>49</v>
      </c>
      <c r="O454" t="s">
        <v>1885</v>
      </c>
      <c r="P454" t="s">
        <v>38</v>
      </c>
      <c r="Q454" t="s">
        <v>2011</v>
      </c>
      <c r="R454" t="s">
        <v>1887</v>
      </c>
      <c r="S454" t="s">
        <v>53</v>
      </c>
      <c r="T454" t="s">
        <v>2215</v>
      </c>
      <c r="U454" t="s">
        <v>2438</v>
      </c>
      <c r="V454" t="s">
        <v>91</v>
      </c>
    </row>
    <row r="455" spans="1:22" x14ac:dyDescent="0.35">
      <c r="A455" t="s">
        <v>2439</v>
      </c>
      <c r="B455" t="s">
        <v>2405</v>
      </c>
      <c r="C455" t="s">
        <v>29</v>
      </c>
      <c r="D455" t="s">
        <v>60</v>
      </c>
      <c r="E455" t="s">
        <v>206</v>
      </c>
      <c r="F455" t="s">
        <v>28</v>
      </c>
      <c r="G455" t="s">
        <v>368</v>
      </c>
      <c r="H455" t="s">
        <v>28</v>
      </c>
      <c r="I455" t="s">
        <v>46</v>
      </c>
      <c r="K455" t="s">
        <v>2235</v>
      </c>
      <c r="L455" t="s">
        <v>48</v>
      </c>
      <c r="M455" t="s">
        <v>48</v>
      </c>
      <c r="N455" t="s">
        <v>48</v>
      </c>
      <c r="O455" t="s">
        <v>1951</v>
      </c>
      <c r="P455" t="s">
        <v>48</v>
      </c>
      <c r="Q455" t="s">
        <v>1952</v>
      </c>
      <c r="R455" t="s">
        <v>1976</v>
      </c>
      <c r="S455" t="s">
        <v>53</v>
      </c>
      <c r="T455" t="s">
        <v>2246</v>
      </c>
      <c r="U455" t="s">
        <v>2441</v>
      </c>
      <c r="V455" t="s">
        <v>91</v>
      </c>
    </row>
    <row r="456" spans="1:22" x14ac:dyDescent="0.35">
      <c r="A456" t="s">
        <v>2442</v>
      </c>
      <c r="B456" t="s">
        <v>2443</v>
      </c>
      <c r="C456" t="s">
        <v>28</v>
      </c>
      <c r="D456" t="s">
        <v>44</v>
      </c>
      <c r="E456" t="s">
        <v>28</v>
      </c>
      <c r="F456" t="s">
        <v>103</v>
      </c>
      <c r="G456" t="s">
        <v>28</v>
      </c>
      <c r="H456" t="s">
        <v>45</v>
      </c>
      <c r="I456" t="s">
        <v>46</v>
      </c>
      <c r="K456" t="s">
        <v>2432</v>
      </c>
      <c r="L456" t="s">
        <v>38</v>
      </c>
      <c r="M456" t="s">
        <v>49</v>
      </c>
      <c r="N456" t="s">
        <v>49</v>
      </c>
      <c r="O456" t="s">
        <v>2313</v>
      </c>
      <c r="P456" t="s">
        <v>49</v>
      </c>
      <c r="Q456" t="s">
        <v>2095</v>
      </c>
      <c r="R456" t="s">
        <v>2282</v>
      </c>
      <c r="S456" t="s">
        <v>53</v>
      </c>
      <c r="T456" t="s">
        <v>2434</v>
      </c>
      <c r="U456" t="s">
        <v>2445</v>
      </c>
      <c r="V456" t="s">
        <v>91</v>
      </c>
    </row>
    <row r="457" spans="1:22" x14ac:dyDescent="0.35">
      <c r="A457" t="s">
        <v>2446</v>
      </c>
      <c r="B457" t="s">
        <v>1960</v>
      </c>
      <c r="C457" t="s">
        <v>60</v>
      </c>
      <c r="D457" t="s">
        <v>60</v>
      </c>
      <c r="E457" t="s">
        <v>60</v>
      </c>
      <c r="F457" t="s">
        <v>173</v>
      </c>
      <c r="G457" t="s">
        <v>28</v>
      </c>
      <c r="H457" t="s">
        <v>45</v>
      </c>
      <c r="I457" t="s">
        <v>36</v>
      </c>
      <c r="K457" t="s">
        <v>2447</v>
      </c>
      <c r="L457" t="s">
        <v>48</v>
      </c>
      <c r="M457" t="s">
        <v>48</v>
      </c>
      <c r="N457" t="s">
        <v>49</v>
      </c>
      <c r="O457" t="s">
        <v>1885</v>
      </c>
      <c r="P457" t="s">
        <v>38</v>
      </c>
      <c r="Q457" t="s">
        <v>2011</v>
      </c>
      <c r="R457" t="s">
        <v>1887</v>
      </c>
      <c r="S457" t="s">
        <v>65</v>
      </c>
      <c r="T457" t="s">
        <v>2215</v>
      </c>
      <c r="U457" t="s">
        <v>2449</v>
      </c>
      <c r="V457" t="s">
        <v>91</v>
      </c>
    </row>
    <row r="458" spans="1:22" x14ac:dyDescent="0.35">
      <c r="A458" t="s">
        <v>2450</v>
      </c>
      <c r="B458" t="s">
        <v>2155</v>
      </c>
      <c r="C458" t="s">
        <v>28</v>
      </c>
      <c r="D458" t="s">
        <v>28</v>
      </c>
      <c r="E458" t="s">
        <v>28</v>
      </c>
      <c r="F458" t="s">
        <v>28</v>
      </c>
      <c r="G458" t="s">
        <v>28</v>
      </c>
      <c r="H458" t="s">
        <v>28</v>
      </c>
      <c r="I458" t="s">
        <v>46</v>
      </c>
      <c r="K458" t="s">
        <v>2276</v>
      </c>
      <c r="L458" t="s">
        <v>38</v>
      </c>
      <c r="M458" t="s">
        <v>49</v>
      </c>
      <c r="N458" t="s">
        <v>49</v>
      </c>
      <c r="O458" t="s">
        <v>2195</v>
      </c>
      <c r="P458" t="s">
        <v>38</v>
      </c>
      <c r="Q458" t="s">
        <v>2186</v>
      </c>
      <c r="R458" t="s">
        <v>2451</v>
      </c>
      <c r="S458" t="s">
        <v>53</v>
      </c>
      <c r="T458" t="s">
        <v>118</v>
      </c>
      <c r="U458" t="s">
        <v>2453</v>
      </c>
      <c r="V458" t="s">
        <v>91</v>
      </c>
    </row>
    <row r="459" spans="1:22" x14ac:dyDescent="0.35">
      <c r="A459" t="s">
        <v>2454</v>
      </c>
      <c r="B459" t="s">
        <v>1929</v>
      </c>
      <c r="C459" t="s">
        <v>33</v>
      </c>
      <c r="D459" t="s">
        <v>33</v>
      </c>
      <c r="E459" t="s">
        <v>33</v>
      </c>
      <c r="F459" t="s">
        <v>34</v>
      </c>
      <c r="G459" t="s">
        <v>34</v>
      </c>
      <c r="H459" t="s">
        <v>74</v>
      </c>
      <c r="I459" t="s">
        <v>46</v>
      </c>
      <c r="K459" t="s">
        <v>2369</v>
      </c>
      <c r="L459" t="s">
        <v>48</v>
      </c>
      <c r="N459" t="s">
        <v>49</v>
      </c>
      <c r="O459" t="s">
        <v>1951</v>
      </c>
      <c r="P459" t="s">
        <v>49</v>
      </c>
      <c r="Q459" t="s">
        <v>1952</v>
      </c>
      <c r="R459" t="s">
        <v>1976</v>
      </c>
      <c r="S459" t="s">
        <v>53</v>
      </c>
      <c r="T459" t="s">
        <v>1030</v>
      </c>
      <c r="U459" t="s">
        <v>2456</v>
      </c>
      <c r="V459" t="s">
        <v>91</v>
      </c>
    </row>
    <row r="460" spans="1:22" x14ac:dyDescent="0.35">
      <c r="A460" t="s">
        <v>2457</v>
      </c>
      <c r="B460" t="s">
        <v>1960</v>
      </c>
      <c r="C460" t="s">
        <v>44</v>
      </c>
      <c r="D460" t="s">
        <v>44</v>
      </c>
      <c r="E460" t="s">
        <v>60</v>
      </c>
      <c r="F460" t="s">
        <v>173</v>
      </c>
      <c r="G460" t="s">
        <v>103</v>
      </c>
      <c r="H460" t="s">
        <v>28</v>
      </c>
      <c r="I460" t="s">
        <v>46</v>
      </c>
      <c r="K460" t="s">
        <v>2447</v>
      </c>
      <c r="L460" t="s">
        <v>48</v>
      </c>
      <c r="M460" t="s">
        <v>48</v>
      </c>
      <c r="N460" t="s">
        <v>49</v>
      </c>
      <c r="O460" t="s">
        <v>1885</v>
      </c>
      <c r="P460" t="s">
        <v>38</v>
      </c>
      <c r="Q460" t="s">
        <v>1962</v>
      </c>
      <c r="R460" t="s">
        <v>1887</v>
      </c>
      <c r="S460" t="s">
        <v>53</v>
      </c>
      <c r="T460" t="s">
        <v>2215</v>
      </c>
      <c r="U460" t="s">
        <v>2459</v>
      </c>
      <c r="V460" t="s">
        <v>91</v>
      </c>
    </row>
    <row r="461" spans="1:22" x14ac:dyDescent="0.35">
      <c r="A461" t="s">
        <v>2374</v>
      </c>
      <c r="B461" t="s">
        <v>1929</v>
      </c>
      <c r="C461" t="s">
        <v>33</v>
      </c>
      <c r="D461" t="s">
        <v>33</v>
      </c>
      <c r="E461" t="s">
        <v>33</v>
      </c>
      <c r="F461" t="s">
        <v>34</v>
      </c>
      <c r="G461" t="s">
        <v>34</v>
      </c>
      <c r="H461" t="s">
        <v>74</v>
      </c>
      <c r="I461" t="s">
        <v>46</v>
      </c>
      <c r="K461" t="s">
        <v>2369</v>
      </c>
      <c r="L461" t="s">
        <v>49</v>
      </c>
      <c r="M461" t="s">
        <v>49</v>
      </c>
      <c r="O461" t="s">
        <v>1951</v>
      </c>
      <c r="P461" t="s">
        <v>49</v>
      </c>
      <c r="Q461" t="s">
        <v>1952</v>
      </c>
      <c r="R461" t="s">
        <v>1976</v>
      </c>
      <c r="S461" t="s">
        <v>53</v>
      </c>
      <c r="T461" t="s">
        <v>1030</v>
      </c>
      <c r="U461" t="s">
        <v>2460</v>
      </c>
      <c r="V461" t="s">
        <v>91</v>
      </c>
    </row>
    <row r="462" spans="1:22" x14ac:dyDescent="0.35">
      <c r="A462" t="s">
        <v>2316</v>
      </c>
      <c r="B462" t="s">
        <v>2155</v>
      </c>
      <c r="C462" t="s">
        <v>28</v>
      </c>
      <c r="D462" t="s">
        <v>28</v>
      </c>
      <c r="E462" t="s">
        <v>157</v>
      </c>
      <c r="F462" t="s">
        <v>28</v>
      </c>
      <c r="G462" t="s">
        <v>368</v>
      </c>
      <c r="H462" t="s">
        <v>28</v>
      </c>
      <c r="I462" t="s">
        <v>46</v>
      </c>
      <c r="K462" t="s">
        <v>2317</v>
      </c>
      <c r="L462" t="s">
        <v>49</v>
      </c>
      <c r="N462" t="s">
        <v>38</v>
      </c>
      <c r="O462" t="s">
        <v>2195</v>
      </c>
      <c r="Q462" t="s">
        <v>2186</v>
      </c>
      <c r="R462" t="s">
        <v>2461</v>
      </c>
      <c r="S462" t="s">
        <v>53</v>
      </c>
      <c r="T462" t="s">
        <v>118</v>
      </c>
      <c r="U462" t="s">
        <v>2321</v>
      </c>
      <c r="V462" t="s">
        <v>91</v>
      </c>
    </row>
    <row r="463" spans="1:22" x14ac:dyDescent="0.35">
      <c r="A463" t="s">
        <v>2462</v>
      </c>
      <c r="B463" t="s">
        <v>2431</v>
      </c>
      <c r="C463" t="s">
        <v>28</v>
      </c>
      <c r="D463" t="s">
        <v>28</v>
      </c>
      <c r="E463" t="s">
        <v>28</v>
      </c>
      <c r="F463" t="s">
        <v>103</v>
      </c>
      <c r="G463" t="s">
        <v>28</v>
      </c>
      <c r="H463" t="s">
        <v>28</v>
      </c>
      <c r="I463" t="s">
        <v>36</v>
      </c>
      <c r="K463" t="s">
        <v>2463</v>
      </c>
      <c r="L463" t="s">
        <v>49</v>
      </c>
      <c r="M463" t="s">
        <v>49</v>
      </c>
      <c r="N463" t="s">
        <v>49</v>
      </c>
      <c r="O463" t="s">
        <v>2094</v>
      </c>
      <c r="P463" t="s">
        <v>49</v>
      </c>
      <c r="Q463" t="s">
        <v>2095</v>
      </c>
      <c r="R463" t="s">
        <v>2282</v>
      </c>
      <c r="S463" t="s">
        <v>53</v>
      </c>
      <c r="T463" t="s">
        <v>2434</v>
      </c>
      <c r="U463" t="s">
        <v>2465</v>
      </c>
      <c r="V463" t="s">
        <v>91</v>
      </c>
    </row>
    <row r="464" spans="1:22" x14ac:dyDescent="0.35">
      <c r="A464" t="s">
        <v>2466</v>
      </c>
      <c r="B464" t="s">
        <v>2467</v>
      </c>
      <c r="C464" t="s">
        <v>33</v>
      </c>
      <c r="D464" t="s">
        <v>33</v>
      </c>
      <c r="E464" t="s">
        <v>33</v>
      </c>
      <c r="F464" t="s">
        <v>34</v>
      </c>
      <c r="G464" t="s">
        <v>34</v>
      </c>
      <c r="H464" t="s">
        <v>74</v>
      </c>
      <c r="I464" t="s">
        <v>36</v>
      </c>
      <c r="K464" t="s">
        <v>2379</v>
      </c>
      <c r="L464" t="s">
        <v>49</v>
      </c>
      <c r="M464" t="s">
        <v>49</v>
      </c>
      <c r="N464" t="s">
        <v>49</v>
      </c>
      <c r="O464" t="s">
        <v>1951</v>
      </c>
      <c r="P464" t="s">
        <v>49</v>
      </c>
      <c r="Q464" t="s">
        <v>1952</v>
      </c>
      <c r="R464" t="s">
        <v>1976</v>
      </c>
      <c r="S464" t="s">
        <v>53</v>
      </c>
      <c r="T464" t="s">
        <v>1030</v>
      </c>
      <c r="U464" t="s">
        <v>2469</v>
      </c>
      <c r="V464" t="s">
        <v>91</v>
      </c>
    </row>
    <row r="465" spans="1:22" x14ac:dyDescent="0.35">
      <c r="A465" t="s">
        <v>2470</v>
      </c>
      <c r="B465" t="s">
        <v>2155</v>
      </c>
      <c r="C465" t="s">
        <v>28</v>
      </c>
      <c r="D465" t="s">
        <v>28</v>
      </c>
      <c r="E465" t="s">
        <v>28</v>
      </c>
      <c r="F465" t="s">
        <v>28</v>
      </c>
      <c r="G465" t="s">
        <v>28</v>
      </c>
      <c r="H465" t="s">
        <v>61</v>
      </c>
      <c r="I465" t="s">
        <v>36</v>
      </c>
      <c r="K465" t="s">
        <v>2317</v>
      </c>
      <c r="L465" t="s">
        <v>38</v>
      </c>
      <c r="N465" t="s">
        <v>38</v>
      </c>
      <c r="O465" t="s">
        <v>2195</v>
      </c>
      <c r="P465" t="s">
        <v>49</v>
      </c>
      <c r="Q465" t="s">
        <v>2186</v>
      </c>
      <c r="R465" t="s">
        <v>2471</v>
      </c>
      <c r="S465" t="s">
        <v>53</v>
      </c>
      <c r="T465" t="s">
        <v>118</v>
      </c>
      <c r="U465" t="s">
        <v>2473</v>
      </c>
      <c r="V465" t="s">
        <v>91</v>
      </c>
    </row>
    <row r="466" spans="1:22" x14ac:dyDescent="0.35">
      <c r="A466" t="s">
        <v>2474</v>
      </c>
      <c r="B466" t="s">
        <v>2431</v>
      </c>
      <c r="C466" t="s">
        <v>28</v>
      </c>
      <c r="D466" t="s">
        <v>28</v>
      </c>
      <c r="E466" t="s">
        <v>28</v>
      </c>
      <c r="F466" t="s">
        <v>28</v>
      </c>
      <c r="G466" t="s">
        <v>28</v>
      </c>
      <c r="H466" t="s">
        <v>28</v>
      </c>
      <c r="I466" t="s">
        <v>46</v>
      </c>
      <c r="K466" t="s">
        <v>2475</v>
      </c>
      <c r="L466" t="s">
        <v>38</v>
      </c>
      <c r="M466" t="s">
        <v>49</v>
      </c>
      <c r="N466" t="s">
        <v>49</v>
      </c>
      <c r="O466" t="s">
        <v>2094</v>
      </c>
      <c r="P466" t="s">
        <v>49</v>
      </c>
      <c r="Q466" t="s">
        <v>2476</v>
      </c>
      <c r="R466" t="s">
        <v>2282</v>
      </c>
      <c r="S466" t="s">
        <v>53</v>
      </c>
      <c r="T466" t="s">
        <v>118</v>
      </c>
      <c r="U466" t="s">
        <v>2478</v>
      </c>
      <c r="V466" t="s">
        <v>91</v>
      </c>
    </row>
    <row r="467" spans="1:22" x14ac:dyDescent="0.35">
      <c r="A467" t="s">
        <v>2479</v>
      </c>
      <c r="B467" t="s">
        <v>1929</v>
      </c>
      <c r="C467" t="s">
        <v>33</v>
      </c>
      <c r="D467" t="s">
        <v>33</v>
      </c>
      <c r="E467" t="s">
        <v>29</v>
      </c>
      <c r="F467" t="s">
        <v>30</v>
      </c>
      <c r="G467" t="s">
        <v>34</v>
      </c>
      <c r="H467" t="s">
        <v>74</v>
      </c>
      <c r="I467" t="s">
        <v>46</v>
      </c>
      <c r="K467" t="s">
        <v>2385</v>
      </c>
      <c r="L467" t="s">
        <v>49</v>
      </c>
      <c r="M467" t="s">
        <v>48</v>
      </c>
      <c r="N467" t="s">
        <v>48</v>
      </c>
      <c r="O467" t="s">
        <v>1951</v>
      </c>
      <c r="P467" t="s">
        <v>48</v>
      </c>
      <c r="Q467" t="s">
        <v>1952</v>
      </c>
      <c r="R467" t="s">
        <v>1976</v>
      </c>
      <c r="S467" t="s">
        <v>53</v>
      </c>
      <c r="T467" t="s">
        <v>1030</v>
      </c>
      <c r="U467" t="s">
        <v>2481</v>
      </c>
      <c r="V467" t="s">
        <v>91</v>
      </c>
    </row>
    <row r="468" spans="1:22" x14ac:dyDescent="0.35">
      <c r="A468" t="s">
        <v>2482</v>
      </c>
      <c r="B468" t="s">
        <v>1960</v>
      </c>
      <c r="C468" t="s">
        <v>60</v>
      </c>
      <c r="D468" t="s">
        <v>60</v>
      </c>
      <c r="E468" t="s">
        <v>44</v>
      </c>
      <c r="F468" t="s">
        <v>103</v>
      </c>
      <c r="G468" t="s">
        <v>103</v>
      </c>
      <c r="H468" t="s">
        <v>28</v>
      </c>
      <c r="I468" t="s">
        <v>46</v>
      </c>
      <c r="K468" t="s">
        <v>2483</v>
      </c>
      <c r="L468" t="s">
        <v>48</v>
      </c>
      <c r="M468" t="s">
        <v>48</v>
      </c>
      <c r="N468" t="s">
        <v>49</v>
      </c>
      <c r="O468" t="s">
        <v>1885</v>
      </c>
      <c r="P468" t="s">
        <v>49</v>
      </c>
      <c r="Q468" t="s">
        <v>1962</v>
      </c>
      <c r="R468" t="s">
        <v>1887</v>
      </c>
      <c r="S468" t="s">
        <v>53</v>
      </c>
      <c r="T468" t="s">
        <v>2485</v>
      </c>
      <c r="U468" t="s">
        <v>2486</v>
      </c>
      <c r="V468" t="s">
        <v>91</v>
      </c>
    </row>
    <row r="469" spans="1:22" x14ac:dyDescent="0.35">
      <c r="A469" t="s">
        <v>2487</v>
      </c>
      <c r="B469" t="s">
        <v>2155</v>
      </c>
      <c r="C469" t="s">
        <v>28</v>
      </c>
      <c r="D469" t="s">
        <v>44</v>
      </c>
      <c r="E469" t="s">
        <v>28</v>
      </c>
      <c r="F469" t="s">
        <v>30</v>
      </c>
      <c r="G469" t="s">
        <v>28</v>
      </c>
      <c r="H469" t="s">
        <v>368</v>
      </c>
      <c r="I469" t="s">
        <v>46</v>
      </c>
      <c r="K469" t="s">
        <v>2338</v>
      </c>
      <c r="L469" t="s">
        <v>38</v>
      </c>
      <c r="M469" t="s">
        <v>49</v>
      </c>
      <c r="N469" t="s">
        <v>38</v>
      </c>
      <c r="O469" t="s">
        <v>2488</v>
      </c>
      <c r="Q469" t="s">
        <v>2192</v>
      </c>
      <c r="R469" t="s">
        <v>2489</v>
      </c>
      <c r="S469" t="s">
        <v>53</v>
      </c>
      <c r="T469" t="s">
        <v>118</v>
      </c>
      <c r="U469" t="s">
        <v>2491</v>
      </c>
      <c r="V469" t="s">
        <v>91</v>
      </c>
    </row>
    <row r="470" spans="1:22" x14ac:dyDescent="0.35">
      <c r="A470" t="s">
        <v>2390</v>
      </c>
      <c r="B470" t="s">
        <v>1929</v>
      </c>
      <c r="C470" t="s">
        <v>33</v>
      </c>
      <c r="D470" t="s">
        <v>33</v>
      </c>
      <c r="E470" t="s">
        <v>29</v>
      </c>
      <c r="F470" t="s">
        <v>30</v>
      </c>
      <c r="G470" t="s">
        <v>30</v>
      </c>
      <c r="H470" t="s">
        <v>292</v>
      </c>
      <c r="I470" t="s">
        <v>36</v>
      </c>
      <c r="K470" t="s">
        <v>2391</v>
      </c>
      <c r="L470" t="s">
        <v>49</v>
      </c>
      <c r="N470" t="s">
        <v>49</v>
      </c>
      <c r="O470" t="s">
        <v>1951</v>
      </c>
      <c r="P470" t="s">
        <v>48</v>
      </c>
      <c r="Q470" t="s">
        <v>1952</v>
      </c>
      <c r="R470" t="s">
        <v>1976</v>
      </c>
      <c r="S470" t="s">
        <v>53</v>
      </c>
      <c r="T470" t="s">
        <v>1030</v>
      </c>
      <c r="U470" t="s">
        <v>2394</v>
      </c>
      <c r="V470" t="s">
        <v>91</v>
      </c>
    </row>
    <row r="471" spans="1:22" x14ac:dyDescent="0.35">
      <c r="A471" t="s">
        <v>2492</v>
      </c>
      <c r="B471" t="s">
        <v>1960</v>
      </c>
      <c r="C471" t="s">
        <v>60</v>
      </c>
      <c r="D471" t="s">
        <v>44</v>
      </c>
      <c r="E471" t="s">
        <v>60</v>
      </c>
      <c r="F471" t="s">
        <v>103</v>
      </c>
      <c r="G471" t="s">
        <v>103</v>
      </c>
      <c r="H471" t="s">
        <v>28</v>
      </c>
      <c r="I471" t="s">
        <v>46</v>
      </c>
      <c r="K471" t="s">
        <v>2483</v>
      </c>
      <c r="L471" t="s">
        <v>48</v>
      </c>
      <c r="M471" t="s">
        <v>48</v>
      </c>
      <c r="N471" t="s">
        <v>49</v>
      </c>
      <c r="O471" t="s">
        <v>1885</v>
      </c>
      <c r="P471" t="s">
        <v>38</v>
      </c>
      <c r="Q471" t="s">
        <v>1962</v>
      </c>
      <c r="R471" t="s">
        <v>1887</v>
      </c>
      <c r="S471" t="s">
        <v>53</v>
      </c>
      <c r="T471" t="s">
        <v>2485</v>
      </c>
      <c r="U471" t="s">
        <v>1268</v>
      </c>
      <c r="V471" t="s">
        <v>91</v>
      </c>
    </row>
    <row r="472" spans="1:22" x14ac:dyDescent="0.35">
      <c r="A472" t="s">
        <v>2494</v>
      </c>
      <c r="B472" t="s">
        <v>2431</v>
      </c>
      <c r="C472" t="s">
        <v>28</v>
      </c>
      <c r="D472" t="s">
        <v>28</v>
      </c>
      <c r="E472" t="s">
        <v>28</v>
      </c>
      <c r="F472" t="s">
        <v>28</v>
      </c>
      <c r="G472" t="s">
        <v>28</v>
      </c>
      <c r="H472" t="s">
        <v>28</v>
      </c>
      <c r="I472" t="s">
        <v>46</v>
      </c>
      <c r="K472" t="s">
        <v>2495</v>
      </c>
      <c r="L472" t="s">
        <v>49</v>
      </c>
      <c r="M472" t="s">
        <v>49</v>
      </c>
      <c r="N472" t="s">
        <v>49</v>
      </c>
      <c r="O472" t="s">
        <v>2094</v>
      </c>
      <c r="P472" t="s">
        <v>49</v>
      </c>
      <c r="Q472" t="s">
        <v>2095</v>
      </c>
      <c r="R472" t="s">
        <v>2282</v>
      </c>
      <c r="S472" t="s">
        <v>53</v>
      </c>
      <c r="T472" t="s">
        <v>127</v>
      </c>
      <c r="U472" t="s">
        <v>2497</v>
      </c>
      <c r="V472" t="s">
        <v>91</v>
      </c>
    </row>
    <row r="473" spans="1:22" x14ac:dyDescent="0.35">
      <c r="A473" t="s">
        <v>2498</v>
      </c>
      <c r="B473" t="s">
        <v>2155</v>
      </c>
      <c r="C473" t="s">
        <v>449</v>
      </c>
      <c r="D473" t="s">
        <v>28</v>
      </c>
      <c r="E473" t="s">
        <v>28</v>
      </c>
      <c r="F473" t="s">
        <v>28</v>
      </c>
      <c r="G473" t="s">
        <v>28</v>
      </c>
      <c r="H473" t="s">
        <v>28</v>
      </c>
      <c r="I473" t="s">
        <v>46</v>
      </c>
      <c r="K473" t="s">
        <v>2338</v>
      </c>
      <c r="L473" t="s">
        <v>38</v>
      </c>
      <c r="M473" t="s">
        <v>38</v>
      </c>
      <c r="N473" t="s">
        <v>38</v>
      </c>
      <c r="O473" t="s">
        <v>2195</v>
      </c>
      <c r="P473" t="s">
        <v>38</v>
      </c>
      <c r="Q473" t="s">
        <v>2244</v>
      </c>
      <c r="R473" t="s">
        <v>2499</v>
      </c>
      <c r="S473" t="s">
        <v>53</v>
      </c>
      <c r="T473" t="s">
        <v>118</v>
      </c>
      <c r="U473" t="s">
        <v>2501</v>
      </c>
      <c r="V473" t="s">
        <v>91</v>
      </c>
    </row>
    <row r="474" spans="1:22" x14ac:dyDescent="0.35">
      <c r="A474" t="s">
        <v>2502</v>
      </c>
      <c r="B474" t="s">
        <v>2503</v>
      </c>
      <c r="C474" t="s">
        <v>33</v>
      </c>
      <c r="D474" t="s">
        <v>33</v>
      </c>
      <c r="E474" t="s">
        <v>29</v>
      </c>
      <c r="F474" t="s">
        <v>34</v>
      </c>
      <c r="G474" t="s">
        <v>34</v>
      </c>
      <c r="H474" t="s">
        <v>74</v>
      </c>
      <c r="I474" t="s">
        <v>36</v>
      </c>
      <c r="K474" t="s">
        <v>2391</v>
      </c>
      <c r="L474" t="s">
        <v>49</v>
      </c>
      <c r="N474" t="s">
        <v>48</v>
      </c>
      <c r="O474" t="s">
        <v>1951</v>
      </c>
      <c r="P474" t="s">
        <v>48</v>
      </c>
      <c r="Q474" t="s">
        <v>1952</v>
      </c>
      <c r="R474" t="s">
        <v>1976</v>
      </c>
      <c r="S474" t="s">
        <v>53</v>
      </c>
      <c r="T474" t="s">
        <v>1030</v>
      </c>
      <c r="U474" t="s">
        <v>2505</v>
      </c>
      <c r="V474" t="s">
        <v>91</v>
      </c>
    </row>
    <row r="475" spans="1:22" x14ac:dyDescent="0.35">
      <c r="A475" t="s">
        <v>2506</v>
      </c>
      <c r="B475" t="s">
        <v>2431</v>
      </c>
      <c r="C475" t="s">
        <v>28</v>
      </c>
      <c r="D475" t="s">
        <v>28</v>
      </c>
      <c r="E475" t="s">
        <v>28</v>
      </c>
      <c r="F475" t="s">
        <v>28</v>
      </c>
      <c r="G475" t="s">
        <v>28</v>
      </c>
      <c r="H475" t="s">
        <v>28</v>
      </c>
      <c r="I475" t="s">
        <v>46</v>
      </c>
      <c r="K475" t="s">
        <v>2317</v>
      </c>
      <c r="L475" t="s">
        <v>49</v>
      </c>
      <c r="M475" t="s">
        <v>49</v>
      </c>
      <c r="N475" t="s">
        <v>49</v>
      </c>
      <c r="O475" t="s">
        <v>2094</v>
      </c>
      <c r="P475" t="s">
        <v>49</v>
      </c>
      <c r="Q475" t="s">
        <v>2095</v>
      </c>
      <c r="R475" t="s">
        <v>2282</v>
      </c>
      <c r="S475" t="s">
        <v>53</v>
      </c>
      <c r="T475" t="s">
        <v>118</v>
      </c>
      <c r="U475" t="s">
        <v>2508</v>
      </c>
      <c r="V475" t="s">
        <v>91</v>
      </c>
    </row>
    <row r="476" spans="1:22" x14ac:dyDescent="0.35">
      <c r="A476" t="s">
        <v>2509</v>
      </c>
      <c r="B476" t="s">
        <v>2155</v>
      </c>
      <c r="C476" t="s">
        <v>28</v>
      </c>
      <c r="D476" t="s">
        <v>60</v>
      </c>
      <c r="E476" t="s">
        <v>28</v>
      </c>
      <c r="F476" t="s">
        <v>28</v>
      </c>
      <c r="G476" t="s">
        <v>28</v>
      </c>
      <c r="H476" t="s">
        <v>28</v>
      </c>
      <c r="I476" t="s">
        <v>46</v>
      </c>
      <c r="K476" t="s">
        <v>2338</v>
      </c>
      <c r="L476" t="s">
        <v>38</v>
      </c>
      <c r="M476" t="s">
        <v>38</v>
      </c>
      <c r="N476" t="s">
        <v>38</v>
      </c>
      <c r="O476" t="s">
        <v>2195</v>
      </c>
      <c r="P476" t="s">
        <v>49</v>
      </c>
      <c r="Q476" t="s">
        <v>2244</v>
      </c>
      <c r="R476" t="s">
        <v>2175</v>
      </c>
      <c r="S476" t="s">
        <v>53</v>
      </c>
      <c r="T476" t="s">
        <v>118</v>
      </c>
      <c r="U476" t="s">
        <v>2511</v>
      </c>
      <c r="V476" t="s">
        <v>91</v>
      </c>
    </row>
    <row r="477" spans="1:22" x14ac:dyDescent="0.35">
      <c r="A477" t="s">
        <v>2512</v>
      </c>
      <c r="B477" t="s">
        <v>1929</v>
      </c>
      <c r="C477" t="s">
        <v>33</v>
      </c>
      <c r="D477" t="s">
        <v>33</v>
      </c>
      <c r="E477" t="s">
        <v>33</v>
      </c>
      <c r="F477" t="s">
        <v>34</v>
      </c>
      <c r="G477" t="s">
        <v>34</v>
      </c>
      <c r="H477" t="s">
        <v>74</v>
      </c>
      <c r="I477" t="s">
        <v>46</v>
      </c>
      <c r="K477" t="s">
        <v>2391</v>
      </c>
      <c r="L477" t="s">
        <v>49</v>
      </c>
      <c r="N477" t="s">
        <v>49</v>
      </c>
      <c r="O477" t="s">
        <v>1951</v>
      </c>
      <c r="P477" t="s">
        <v>49</v>
      </c>
      <c r="Q477" t="s">
        <v>1952</v>
      </c>
      <c r="R477" t="s">
        <v>1976</v>
      </c>
      <c r="S477" t="s">
        <v>53</v>
      </c>
      <c r="T477" t="s">
        <v>1030</v>
      </c>
      <c r="U477" t="s">
        <v>2514</v>
      </c>
      <c r="V477" t="s">
        <v>91</v>
      </c>
    </row>
    <row r="478" spans="1:22" x14ac:dyDescent="0.35">
      <c r="A478" t="s">
        <v>2515</v>
      </c>
      <c r="B478" t="s">
        <v>2405</v>
      </c>
      <c r="C478" t="s">
        <v>44</v>
      </c>
      <c r="D478" t="s">
        <v>28</v>
      </c>
      <c r="E478" t="s">
        <v>60</v>
      </c>
      <c r="F478" t="s">
        <v>196</v>
      </c>
      <c r="G478" t="s">
        <v>368</v>
      </c>
      <c r="H478" t="s">
        <v>28</v>
      </c>
      <c r="I478" t="s">
        <v>46</v>
      </c>
      <c r="K478" t="s">
        <v>2235</v>
      </c>
      <c r="L478" t="s">
        <v>48</v>
      </c>
      <c r="M478" t="s">
        <v>48</v>
      </c>
      <c r="N478" t="s">
        <v>48</v>
      </c>
      <c r="O478" t="s">
        <v>1951</v>
      </c>
      <c r="P478" t="s">
        <v>48</v>
      </c>
      <c r="Q478" t="s">
        <v>1952</v>
      </c>
      <c r="R478" t="s">
        <v>1976</v>
      </c>
      <c r="S478" t="s">
        <v>53</v>
      </c>
      <c r="T478" t="s">
        <v>2246</v>
      </c>
      <c r="U478" t="s">
        <v>2517</v>
      </c>
      <c r="V478" t="s">
        <v>91</v>
      </c>
    </row>
    <row r="479" spans="1:22" x14ac:dyDescent="0.35">
      <c r="A479" t="s">
        <v>2518</v>
      </c>
      <c r="B479" t="s">
        <v>2431</v>
      </c>
      <c r="C479" t="s">
        <v>28</v>
      </c>
      <c r="D479" t="s">
        <v>28</v>
      </c>
      <c r="E479" t="s">
        <v>28</v>
      </c>
      <c r="F479" t="s">
        <v>28</v>
      </c>
      <c r="G479" t="s">
        <v>28</v>
      </c>
      <c r="H479" t="s">
        <v>35</v>
      </c>
      <c r="I479" t="s">
        <v>46</v>
      </c>
      <c r="K479" t="s">
        <v>2338</v>
      </c>
      <c r="L479" t="s">
        <v>49</v>
      </c>
      <c r="M479" t="s">
        <v>49</v>
      </c>
      <c r="N479" t="s">
        <v>49</v>
      </c>
      <c r="O479" t="s">
        <v>2094</v>
      </c>
      <c r="P479" t="s">
        <v>49</v>
      </c>
      <c r="Q479" t="s">
        <v>2095</v>
      </c>
      <c r="R479" t="s">
        <v>2282</v>
      </c>
      <c r="S479" t="s">
        <v>53</v>
      </c>
      <c r="T479" t="s">
        <v>127</v>
      </c>
      <c r="U479" t="s">
        <v>2520</v>
      </c>
      <c r="V479" t="s">
        <v>91</v>
      </c>
    </row>
    <row r="480" spans="1:22" x14ac:dyDescent="0.35">
      <c r="A480" t="s">
        <v>2521</v>
      </c>
      <c r="B480" t="s">
        <v>1929</v>
      </c>
      <c r="C480" t="s">
        <v>33</v>
      </c>
      <c r="D480" t="s">
        <v>33</v>
      </c>
      <c r="E480" t="s">
        <v>33</v>
      </c>
      <c r="F480" t="s">
        <v>34</v>
      </c>
      <c r="G480" t="s">
        <v>34</v>
      </c>
      <c r="H480" t="s">
        <v>74</v>
      </c>
      <c r="I480" t="s">
        <v>36</v>
      </c>
      <c r="K480" t="s">
        <v>2391</v>
      </c>
      <c r="L480" t="s">
        <v>49</v>
      </c>
      <c r="M480" t="s">
        <v>48</v>
      </c>
      <c r="N480" t="s">
        <v>48</v>
      </c>
      <c r="O480" t="s">
        <v>1951</v>
      </c>
      <c r="P480" t="s">
        <v>48</v>
      </c>
      <c r="Q480" t="s">
        <v>1952</v>
      </c>
      <c r="R480" t="s">
        <v>1976</v>
      </c>
      <c r="S480" t="s">
        <v>53</v>
      </c>
      <c r="T480" t="s">
        <v>1030</v>
      </c>
      <c r="U480" t="s">
        <v>2523</v>
      </c>
      <c r="V480" t="s">
        <v>91</v>
      </c>
    </row>
    <row r="481" spans="1:22" x14ac:dyDescent="0.35">
      <c r="A481" t="s">
        <v>2524</v>
      </c>
      <c r="B481" t="s">
        <v>2155</v>
      </c>
      <c r="C481" t="s">
        <v>28</v>
      </c>
      <c r="D481" t="s">
        <v>28</v>
      </c>
      <c r="E481" t="s">
        <v>28</v>
      </c>
      <c r="F481" t="s">
        <v>28</v>
      </c>
      <c r="G481" t="s">
        <v>28</v>
      </c>
      <c r="H481" t="s">
        <v>28</v>
      </c>
      <c r="I481" t="s">
        <v>46</v>
      </c>
      <c r="K481" t="s">
        <v>2525</v>
      </c>
      <c r="L481" t="s">
        <v>49</v>
      </c>
      <c r="M481" t="s">
        <v>49</v>
      </c>
      <c r="N481" t="s">
        <v>49</v>
      </c>
      <c r="O481" t="s">
        <v>2526</v>
      </c>
      <c r="P481" t="s">
        <v>38</v>
      </c>
      <c r="Q481" t="s">
        <v>2186</v>
      </c>
      <c r="S481" t="s">
        <v>53</v>
      </c>
      <c r="T481" t="s">
        <v>118</v>
      </c>
      <c r="U481" t="s">
        <v>2528</v>
      </c>
      <c r="V481" t="s">
        <v>91</v>
      </c>
    </row>
    <row r="482" spans="1:22" x14ac:dyDescent="0.35">
      <c r="A482" t="s">
        <v>2263</v>
      </c>
      <c r="B482" t="s">
        <v>2405</v>
      </c>
      <c r="C482" t="s">
        <v>29</v>
      </c>
      <c r="D482" t="s">
        <v>28</v>
      </c>
      <c r="E482" t="s">
        <v>60</v>
      </c>
      <c r="F482" t="s">
        <v>196</v>
      </c>
      <c r="G482" t="s">
        <v>368</v>
      </c>
      <c r="H482" t="s">
        <v>28</v>
      </c>
      <c r="I482" t="s">
        <v>36</v>
      </c>
      <c r="K482" t="s">
        <v>2264</v>
      </c>
      <c r="L482" t="s">
        <v>48</v>
      </c>
      <c r="M482" t="s">
        <v>48</v>
      </c>
      <c r="N482" t="s">
        <v>48</v>
      </c>
      <c r="O482" t="s">
        <v>1951</v>
      </c>
      <c r="P482" t="s">
        <v>48</v>
      </c>
      <c r="Q482" t="s">
        <v>1952</v>
      </c>
      <c r="R482" t="s">
        <v>1976</v>
      </c>
      <c r="S482" t="s">
        <v>53</v>
      </c>
      <c r="T482" t="s">
        <v>834</v>
      </c>
      <c r="U482" t="s">
        <v>2529</v>
      </c>
      <c r="V482" t="s">
        <v>91</v>
      </c>
    </row>
    <row r="483" spans="1:22" x14ac:dyDescent="0.35">
      <c r="A483" t="s">
        <v>2530</v>
      </c>
      <c r="B483" t="s">
        <v>2155</v>
      </c>
      <c r="C483" t="s">
        <v>28</v>
      </c>
      <c r="D483" t="s">
        <v>28</v>
      </c>
      <c r="E483" t="s">
        <v>206</v>
      </c>
      <c r="F483" t="s">
        <v>103</v>
      </c>
      <c r="G483" t="s">
        <v>28</v>
      </c>
      <c r="H483" t="s">
        <v>28</v>
      </c>
      <c r="I483" t="s">
        <v>46</v>
      </c>
      <c r="K483" t="s">
        <v>2525</v>
      </c>
      <c r="L483" t="s">
        <v>49</v>
      </c>
      <c r="M483" t="s">
        <v>49</v>
      </c>
      <c r="N483" t="s">
        <v>38</v>
      </c>
      <c r="O483" t="s">
        <v>2253</v>
      </c>
      <c r="P483" t="s">
        <v>49</v>
      </c>
      <c r="Q483" t="s">
        <v>2244</v>
      </c>
      <c r="R483" t="s">
        <v>2471</v>
      </c>
      <c r="S483" t="s">
        <v>53</v>
      </c>
      <c r="T483" t="s">
        <v>118</v>
      </c>
      <c r="U483" t="s">
        <v>2532</v>
      </c>
      <c r="V483" t="s">
        <v>91</v>
      </c>
    </row>
    <row r="484" spans="1:22" x14ac:dyDescent="0.35">
      <c r="A484" t="s">
        <v>2533</v>
      </c>
      <c r="B484" t="s">
        <v>1929</v>
      </c>
      <c r="C484" t="s">
        <v>29</v>
      </c>
      <c r="D484" t="s">
        <v>33</v>
      </c>
      <c r="E484" t="s">
        <v>33</v>
      </c>
      <c r="F484" t="s">
        <v>34</v>
      </c>
      <c r="G484" t="s">
        <v>34</v>
      </c>
      <c r="H484" t="s">
        <v>74</v>
      </c>
      <c r="I484" t="s">
        <v>46</v>
      </c>
      <c r="K484" t="s">
        <v>2391</v>
      </c>
      <c r="L484" t="s">
        <v>49</v>
      </c>
      <c r="M484" t="s">
        <v>48</v>
      </c>
      <c r="N484" t="s">
        <v>49</v>
      </c>
      <c r="O484" t="s">
        <v>1951</v>
      </c>
      <c r="P484" t="s">
        <v>49</v>
      </c>
      <c r="Q484" t="s">
        <v>1952</v>
      </c>
      <c r="R484" t="s">
        <v>1976</v>
      </c>
      <c r="S484" t="s">
        <v>53</v>
      </c>
      <c r="T484" t="s">
        <v>1030</v>
      </c>
      <c r="U484" t="s">
        <v>2535</v>
      </c>
      <c r="V484" t="s">
        <v>91</v>
      </c>
    </row>
    <row r="485" spans="1:22" x14ac:dyDescent="0.35">
      <c r="A485" t="s">
        <v>2536</v>
      </c>
      <c r="B485" t="s">
        <v>2155</v>
      </c>
      <c r="C485" t="s">
        <v>28</v>
      </c>
      <c r="D485" t="s">
        <v>28</v>
      </c>
      <c r="E485" t="s">
        <v>28</v>
      </c>
      <c r="F485" t="s">
        <v>28</v>
      </c>
      <c r="G485" t="s">
        <v>28</v>
      </c>
      <c r="H485" t="s">
        <v>28</v>
      </c>
      <c r="I485" t="s">
        <v>46</v>
      </c>
      <c r="K485" t="s">
        <v>2525</v>
      </c>
      <c r="L485" t="s">
        <v>38</v>
      </c>
      <c r="M485" t="s">
        <v>38</v>
      </c>
      <c r="N485" t="s">
        <v>38</v>
      </c>
      <c r="O485" t="s">
        <v>2253</v>
      </c>
      <c r="P485" t="s">
        <v>49</v>
      </c>
      <c r="Q485" t="s">
        <v>2186</v>
      </c>
      <c r="R485" t="s">
        <v>2471</v>
      </c>
      <c r="S485" t="s">
        <v>53</v>
      </c>
      <c r="T485" t="s">
        <v>118</v>
      </c>
      <c r="U485" t="s">
        <v>2538</v>
      </c>
      <c r="V485" t="s">
        <v>91</v>
      </c>
    </row>
    <row r="486" spans="1:22" x14ac:dyDescent="0.35">
      <c r="A486" t="s">
        <v>2539</v>
      </c>
      <c r="B486" t="s">
        <v>1929</v>
      </c>
      <c r="C486" t="s">
        <v>29</v>
      </c>
      <c r="D486" t="s">
        <v>33</v>
      </c>
      <c r="E486" t="s">
        <v>33</v>
      </c>
      <c r="F486" t="s">
        <v>34</v>
      </c>
      <c r="G486" t="s">
        <v>34</v>
      </c>
      <c r="H486" t="s">
        <v>61</v>
      </c>
      <c r="I486" t="s">
        <v>46</v>
      </c>
      <c r="K486" t="s">
        <v>2540</v>
      </c>
      <c r="L486" t="s">
        <v>49</v>
      </c>
      <c r="M486" t="s">
        <v>48</v>
      </c>
      <c r="N486" t="s">
        <v>48</v>
      </c>
      <c r="O486" t="s">
        <v>1951</v>
      </c>
      <c r="P486" t="s">
        <v>48</v>
      </c>
      <c r="Q486" t="s">
        <v>1952</v>
      </c>
      <c r="R486" t="s">
        <v>1976</v>
      </c>
      <c r="S486" t="s">
        <v>53</v>
      </c>
      <c r="T486" t="s">
        <v>1030</v>
      </c>
      <c r="U486" t="s">
        <v>2542</v>
      </c>
      <c r="V486" t="s">
        <v>91</v>
      </c>
    </row>
    <row r="487" spans="1:22" x14ac:dyDescent="0.35">
      <c r="A487" t="s">
        <v>2543</v>
      </c>
      <c r="B487" t="s">
        <v>1875</v>
      </c>
      <c r="C487" t="s">
        <v>28</v>
      </c>
      <c r="D487" t="s">
        <v>60</v>
      </c>
      <c r="E487" t="s">
        <v>284</v>
      </c>
      <c r="F487" t="s">
        <v>173</v>
      </c>
      <c r="G487" t="s">
        <v>45</v>
      </c>
      <c r="H487" t="s">
        <v>368</v>
      </c>
      <c r="I487" t="s">
        <v>46</v>
      </c>
      <c r="K487" t="s">
        <v>2110</v>
      </c>
      <c r="L487" t="s">
        <v>49</v>
      </c>
      <c r="M487" t="s">
        <v>38</v>
      </c>
      <c r="N487" t="s">
        <v>48</v>
      </c>
      <c r="O487" t="s">
        <v>2544</v>
      </c>
      <c r="P487" t="s">
        <v>49</v>
      </c>
      <c r="Q487" t="s">
        <v>2545</v>
      </c>
      <c r="R487" t="s">
        <v>2546</v>
      </c>
      <c r="S487" t="s">
        <v>53</v>
      </c>
      <c r="T487" t="s">
        <v>2077</v>
      </c>
      <c r="U487" t="s">
        <v>2548</v>
      </c>
      <c r="V487" t="s">
        <v>91</v>
      </c>
    </row>
    <row r="488" spans="1:22" x14ac:dyDescent="0.35">
      <c r="A488" t="s">
        <v>2549</v>
      </c>
      <c r="B488" t="s">
        <v>1929</v>
      </c>
      <c r="C488" t="s">
        <v>33</v>
      </c>
      <c r="D488" t="s">
        <v>33</v>
      </c>
      <c r="E488" t="s">
        <v>29</v>
      </c>
      <c r="F488" t="s">
        <v>34</v>
      </c>
      <c r="G488" t="s">
        <v>30</v>
      </c>
      <c r="H488" t="s">
        <v>74</v>
      </c>
      <c r="I488" t="s">
        <v>46</v>
      </c>
      <c r="K488" t="s">
        <v>2540</v>
      </c>
      <c r="L488" t="s">
        <v>48</v>
      </c>
      <c r="M488" t="s">
        <v>49</v>
      </c>
      <c r="N488" t="s">
        <v>49</v>
      </c>
      <c r="O488" t="s">
        <v>1951</v>
      </c>
      <c r="P488" t="s">
        <v>49</v>
      </c>
      <c r="Q488" t="s">
        <v>1952</v>
      </c>
      <c r="R488" t="s">
        <v>1976</v>
      </c>
      <c r="S488" t="s">
        <v>53</v>
      </c>
      <c r="T488" t="s">
        <v>1030</v>
      </c>
      <c r="U488" t="s">
        <v>2551</v>
      </c>
      <c r="V488" t="s">
        <v>91</v>
      </c>
    </row>
    <row r="489" spans="1:22" x14ac:dyDescent="0.35">
      <c r="A489" t="s">
        <v>2552</v>
      </c>
      <c r="B489" t="s">
        <v>2155</v>
      </c>
      <c r="C489" t="s">
        <v>28</v>
      </c>
      <c r="D489" t="s">
        <v>28</v>
      </c>
      <c r="E489" t="s">
        <v>284</v>
      </c>
      <c r="F489" t="s">
        <v>28</v>
      </c>
      <c r="G489" t="s">
        <v>28</v>
      </c>
      <c r="H489" t="s">
        <v>28</v>
      </c>
      <c r="I489" t="s">
        <v>46</v>
      </c>
      <c r="K489" t="s">
        <v>2553</v>
      </c>
      <c r="L489" t="s">
        <v>38</v>
      </c>
      <c r="M489" t="s">
        <v>38</v>
      </c>
      <c r="N489" t="s">
        <v>49</v>
      </c>
      <c r="O489" t="s">
        <v>2173</v>
      </c>
      <c r="P489" t="s">
        <v>49</v>
      </c>
      <c r="Q489" t="s">
        <v>2186</v>
      </c>
      <c r="R489" t="s">
        <v>2461</v>
      </c>
      <c r="S489" t="s">
        <v>53</v>
      </c>
      <c r="T489" t="s">
        <v>118</v>
      </c>
      <c r="U489" t="s">
        <v>2555</v>
      </c>
      <c r="V489" t="s">
        <v>91</v>
      </c>
    </row>
    <row r="490" spans="1:22" x14ac:dyDescent="0.35">
      <c r="A490" t="s">
        <v>2556</v>
      </c>
      <c r="B490" t="s">
        <v>1875</v>
      </c>
      <c r="C490" t="s">
        <v>44</v>
      </c>
      <c r="D490" t="s">
        <v>60</v>
      </c>
      <c r="E490" t="s">
        <v>284</v>
      </c>
      <c r="F490" t="s">
        <v>173</v>
      </c>
      <c r="G490" t="s">
        <v>28</v>
      </c>
      <c r="H490" t="s">
        <v>368</v>
      </c>
      <c r="I490" t="s">
        <v>46</v>
      </c>
      <c r="K490" t="s">
        <v>2212</v>
      </c>
      <c r="L490" t="s">
        <v>49</v>
      </c>
      <c r="M490" t="s">
        <v>38</v>
      </c>
      <c r="N490" t="s">
        <v>48</v>
      </c>
      <c r="O490" t="s">
        <v>2557</v>
      </c>
      <c r="P490" t="s">
        <v>49</v>
      </c>
      <c r="Q490" t="s">
        <v>2558</v>
      </c>
      <c r="R490" t="s">
        <v>2559</v>
      </c>
      <c r="S490" t="s">
        <v>53</v>
      </c>
      <c r="T490" t="s">
        <v>2246</v>
      </c>
      <c r="U490" t="s">
        <v>2561</v>
      </c>
      <c r="V490" t="s">
        <v>91</v>
      </c>
    </row>
    <row r="491" spans="1:22" x14ac:dyDescent="0.35">
      <c r="A491" t="s">
        <v>2562</v>
      </c>
      <c r="B491" t="s">
        <v>1875</v>
      </c>
      <c r="C491" t="s">
        <v>44</v>
      </c>
      <c r="D491" t="s">
        <v>60</v>
      </c>
      <c r="E491" t="s">
        <v>157</v>
      </c>
      <c r="F491" t="s">
        <v>173</v>
      </c>
      <c r="G491" t="s">
        <v>28</v>
      </c>
      <c r="H491" t="s">
        <v>45</v>
      </c>
      <c r="I491" t="s">
        <v>46</v>
      </c>
      <c r="K491" t="s">
        <v>2212</v>
      </c>
      <c r="L491" t="s">
        <v>48</v>
      </c>
      <c r="M491" t="s">
        <v>49</v>
      </c>
      <c r="N491" t="s">
        <v>49</v>
      </c>
      <c r="O491" t="s">
        <v>2563</v>
      </c>
      <c r="P491" t="s">
        <v>49</v>
      </c>
      <c r="Q491" t="s">
        <v>2564</v>
      </c>
      <c r="R491" t="s">
        <v>2565</v>
      </c>
      <c r="S491" t="s">
        <v>53</v>
      </c>
      <c r="T491" t="s">
        <v>2246</v>
      </c>
      <c r="U491" t="s">
        <v>2377</v>
      </c>
      <c r="V491" t="s">
        <v>91</v>
      </c>
    </row>
    <row r="492" spans="1:22" x14ac:dyDescent="0.35">
      <c r="A492" t="s">
        <v>2567</v>
      </c>
      <c r="B492" t="s">
        <v>2405</v>
      </c>
      <c r="C492" t="s">
        <v>29</v>
      </c>
      <c r="D492" t="s">
        <v>44</v>
      </c>
      <c r="E492" t="s">
        <v>28</v>
      </c>
      <c r="F492" t="s">
        <v>173</v>
      </c>
      <c r="G492" t="s">
        <v>94</v>
      </c>
      <c r="H492" t="s">
        <v>368</v>
      </c>
      <c r="I492" t="s">
        <v>36</v>
      </c>
      <c r="K492" t="s">
        <v>2276</v>
      </c>
      <c r="L492" t="s">
        <v>48</v>
      </c>
      <c r="M492" t="s">
        <v>48</v>
      </c>
      <c r="N492" t="s">
        <v>48</v>
      </c>
      <c r="O492" t="s">
        <v>1951</v>
      </c>
      <c r="P492" t="s">
        <v>48</v>
      </c>
      <c r="Q492" t="s">
        <v>1952</v>
      </c>
      <c r="R492" t="s">
        <v>2568</v>
      </c>
      <c r="S492" t="s">
        <v>53</v>
      </c>
      <c r="T492" t="s">
        <v>118</v>
      </c>
      <c r="U492" t="s">
        <v>2570</v>
      </c>
      <c r="V492" t="s">
        <v>91</v>
      </c>
    </row>
    <row r="493" spans="1:22" x14ac:dyDescent="0.35">
      <c r="A493" t="s">
        <v>2571</v>
      </c>
      <c r="B493" t="s">
        <v>1960</v>
      </c>
      <c r="C493" t="s">
        <v>60</v>
      </c>
      <c r="D493" t="s">
        <v>60</v>
      </c>
      <c r="E493" t="s">
        <v>44</v>
      </c>
      <c r="F493" t="s">
        <v>30</v>
      </c>
      <c r="G493" t="s">
        <v>28</v>
      </c>
      <c r="H493" t="s">
        <v>45</v>
      </c>
      <c r="I493" t="s">
        <v>46</v>
      </c>
      <c r="K493" t="s">
        <v>2572</v>
      </c>
      <c r="L493" t="s">
        <v>48</v>
      </c>
      <c r="M493" t="s">
        <v>48</v>
      </c>
      <c r="N493" t="s">
        <v>38</v>
      </c>
      <c r="O493" t="s">
        <v>1885</v>
      </c>
      <c r="P493" t="s">
        <v>38</v>
      </c>
      <c r="Q493" t="s">
        <v>1962</v>
      </c>
      <c r="R493" t="s">
        <v>1887</v>
      </c>
      <c r="S493" t="s">
        <v>53</v>
      </c>
      <c r="T493" t="s">
        <v>2485</v>
      </c>
      <c r="U493" t="s">
        <v>2574</v>
      </c>
      <c r="V493" t="s">
        <v>91</v>
      </c>
    </row>
    <row r="494" spans="1:22" x14ac:dyDescent="0.35">
      <c r="A494" t="s">
        <v>2575</v>
      </c>
      <c r="B494" t="s">
        <v>2576</v>
      </c>
      <c r="C494" t="s">
        <v>33</v>
      </c>
      <c r="D494" t="s">
        <v>33</v>
      </c>
      <c r="E494" t="s">
        <v>33</v>
      </c>
      <c r="F494" t="s">
        <v>34</v>
      </c>
      <c r="G494" t="s">
        <v>34</v>
      </c>
      <c r="H494" t="s">
        <v>74</v>
      </c>
      <c r="I494" t="s">
        <v>36</v>
      </c>
      <c r="K494" t="s">
        <v>2577</v>
      </c>
      <c r="L494" t="s">
        <v>49</v>
      </c>
      <c r="M494" t="s">
        <v>49</v>
      </c>
      <c r="N494" t="s">
        <v>48</v>
      </c>
      <c r="O494" t="s">
        <v>1951</v>
      </c>
      <c r="P494" t="s">
        <v>48</v>
      </c>
      <c r="Q494" t="s">
        <v>1952</v>
      </c>
      <c r="R494" t="s">
        <v>1976</v>
      </c>
      <c r="S494" t="s">
        <v>53</v>
      </c>
      <c r="T494" t="s">
        <v>1030</v>
      </c>
      <c r="U494" t="s">
        <v>2579</v>
      </c>
      <c r="V494" t="s">
        <v>91</v>
      </c>
    </row>
    <row r="495" spans="1:22" x14ac:dyDescent="0.35">
      <c r="A495" t="s">
        <v>2580</v>
      </c>
      <c r="B495" t="s">
        <v>2155</v>
      </c>
      <c r="C495" t="s">
        <v>28</v>
      </c>
      <c r="D495" t="s">
        <v>28</v>
      </c>
      <c r="E495" t="s">
        <v>28</v>
      </c>
      <c r="F495" t="s">
        <v>28</v>
      </c>
      <c r="G495" t="s">
        <v>28</v>
      </c>
      <c r="H495" t="s">
        <v>45</v>
      </c>
      <c r="I495" t="s">
        <v>36</v>
      </c>
      <c r="K495" t="s">
        <v>2553</v>
      </c>
      <c r="L495" t="s">
        <v>38</v>
      </c>
      <c r="M495" t="s">
        <v>38</v>
      </c>
      <c r="N495" t="s">
        <v>38</v>
      </c>
      <c r="O495" t="s">
        <v>2253</v>
      </c>
      <c r="P495" t="s">
        <v>38</v>
      </c>
      <c r="Q495" t="s">
        <v>2581</v>
      </c>
      <c r="R495" t="s">
        <v>2175</v>
      </c>
      <c r="S495" t="s">
        <v>53</v>
      </c>
      <c r="T495" t="s">
        <v>118</v>
      </c>
      <c r="U495" t="s">
        <v>2583</v>
      </c>
      <c r="V495" t="s">
        <v>91</v>
      </c>
    </row>
    <row r="496" spans="1:22" x14ac:dyDescent="0.35">
      <c r="A496" t="s">
        <v>2584</v>
      </c>
      <c r="B496" t="s">
        <v>2576</v>
      </c>
      <c r="C496" t="s">
        <v>33</v>
      </c>
      <c r="D496" t="s">
        <v>33</v>
      </c>
      <c r="E496" t="s">
        <v>29</v>
      </c>
      <c r="F496" t="s">
        <v>34</v>
      </c>
      <c r="G496" t="s">
        <v>34</v>
      </c>
      <c r="H496" t="s">
        <v>74</v>
      </c>
      <c r="I496" t="s">
        <v>46</v>
      </c>
      <c r="K496" t="s">
        <v>2577</v>
      </c>
      <c r="L496" t="s">
        <v>48</v>
      </c>
      <c r="M496" t="s">
        <v>48</v>
      </c>
      <c r="N496" t="s">
        <v>48</v>
      </c>
      <c r="O496" t="s">
        <v>1951</v>
      </c>
      <c r="P496" t="s">
        <v>39</v>
      </c>
      <c r="Q496" t="s">
        <v>1952</v>
      </c>
      <c r="R496" t="s">
        <v>2585</v>
      </c>
      <c r="S496" t="s">
        <v>53</v>
      </c>
      <c r="T496" t="s">
        <v>1030</v>
      </c>
      <c r="U496" t="s">
        <v>2587</v>
      </c>
      <c r="V496" t="s">
        <v>91</v>
      </c>
    </row>
    <row r="497" spans="1:22" x14ac:dyDescent="0.35">
      <c r="A497" t="s">
        <v>2588</v>
      </c>
      <c r="B497" t="s">
        <v>2155</v>
      </c>
      <c r="C497" t="s">
        <v>28</v>
      </c>
      <c r="D497" t="s">
        <v>28</v>
      </c>
      <c r="E497" t="s">
        <v>28</v>
      </c>
      <c r="F497" t="s">
        <v>28</v>
      </c>
      <c r="G497" t="s">
        <v>28</v>
      </c>
      <c r="H497" t="s">
        <v>28</v>
      </c>
      <c r="I497" t="s">
        <v>36</v>
      </c>
      <c r="K497" t="s">
        <v>2553</v>
      </c>
      <c r="L497" t="s">
        <v>38</v>
      </c>
      <c r="M497" t="s">
        <v>49</v>
      </c>
      <c r="O497" t="s">
        <v>2195</v>
      </c>
      <c r="P497" t="s">
        <v>38</v>
      </c>
      <c r="Q497" t="s">
        <v>2186</v>
      </c>
      <c r="R497" t="s">
        <v>2162</v>
      </c>
      <c r="S497" t="s">
        <v>53</v>
      </c>
      <c r="T497" t="s">
        <v>118</v>
      </c>
      <c r="U497" t="s">
        <v>2583</v>
      </c>
      <c r="V497" t="s">
        <v>91</v>
      </c>
    </row>
    <row r="498" spans="1:22" x14ac:dyDescent="0.35">
      <c r="A498" t="s">
        <v>2590</v>
      </c>
      <c r="B498" t="s">
        <v>2591</v>
      </c>
      <c r="C498" t="s">
        <v>29</v>
      </c>
      <c r="D498" t="s">
        <v>29</v>
      </c>
      <c r="E498" t="s">
        <v>29</v>
      </c>
      <c r="F498" t="s">
        <v>34</v>
      </c>
      <c r="G498" t="s">
        <v>34</v>
      </c>
      <c r="H498" t="s">
        <v>74</v>
      </c>
      <c r="I498" t="s">
        <v>36</v>
      </c>
      <c r="K498" t="s">
        <v>2592</v>
      </c>
      <c r="L498" t="s">
        <v>48</v>
      </c>
      <c r="M498" t="s">
        <v>48</v>
      </c>
      <c r="N498" t="s">
        <v>48</v>
      </c>
      <c r="O498" t="s">
        <v>1951</v>
      </c>
      <c r="P498" t="s">
        <v>48</v>
      </c>
      <c r="Q498" t="s">
        <v>1952</v>
      </c>
      <c r="R498" t="s">
        <v>1976</v>
      </c>
      <c r="S498" t="s">
        <v>53</v>
      </c>
      <c r="T498" t="s">
        <v>1030</v>
      </c>
      <c r="U498" t="s">
        <v>2594</v>
      </c>
      <c r="V498" t="s">
        <v>91</v>
      </c>
    </row>
    <row r="499" spans="1:22" x14ac:dyDescent="0.35">
      <c r="A499" t="s">
        <v>2595</v>
      </c>
      <c r="B499" t="s">
        <v>1960</v>
      </c>
      <c r="C499" t="s">
        <v>44</v>
      </c>
      <c r="D499" t="s">
        <v>44</v>
      </c>
      <c r="E499" t="s">
        <v>44</v>
      </c>
      <c r="F499" t="s">
        <v>103</v>
      </c>
      <c r="G499" t="s">
        <v>173</v>
      </c>
      <c r="H499" t="s">
        <v>28</v>
      </c>
      <c r="I499" t="s">
        <v>46</v>
      </c>
      <c r="K499" t="s">
        <v>2572</v>
      </c>
      <c r="L499" t="s">
        <v>48</v>
      </c>
      <c r="M499" t="s">
        <v>48</v>
      </c>
      <c r="N499" t="s">
        <v>38</v>
      </c>
      <c r="O499" t="s">
        <v>1885</v>
      </c>
      <c r="P499" t="s">
        <v>49</v>
      </c>
      <c r="Q499" t="s">
        <v>1962</v>
      </c>
      <c r="R499" t="s">
        <v>1887</v>
      </c>
      <c r="S499" t="s">
        <v>53</v>
      </c>
      <c r="T499" t="s">
        <v>2485</v>
      </c>
      <c r="U499" t="s">
        <v>2597</v>
      </c>
      <c r="V499" t="s">
        <v>91</v>
      </c>
    </row>
    <row r="500" spans="1:22" x14ac:dyDescent="0.35">
      <c r="A500" t="s">
        <v>2598</v>
      </c>
      <c r="B500" t="s">
        <v>2155</v>
      </c>
      <c r="C500" t="s">
        <v>44</v>
      </c>
      <c r="D500" t="s">
        <v>28</v>
      </c>
      <c r="E500" t="s">
        <v>28</v>
      </c>
      <c r="F500" t="s">
        <v>28</v>
      </c>
      <c r="G500" t="s">
        <v>28</v>
      </c>
      <c r="H500" t="s">
        <v>292</v>
      </c>
      <c r="I500" t="s">
        <v>46</v>
      </c>
      <c r="K500" t="s">
        <v>2599</v>
      </c>
      <c r="L500" t="s">
        <v>38</v>
      </c>
      <c r="M500" t="s">
        <v>38</v>
      </c>
      <c r="N500" t="s">
        <v>38</v>
      </c>
      <c r="O500" t="s">
        <v>2195</v>
      </c>
      <c r="P500" t="s">
        <v>49</v>
      </c>
      <c r="Q500" t="s">
        <v>2186</v>
      </c>
      <c r="R500" t="s">
        <v>2175</v>
      </c>
      <c r="S500" t="s">
        <v>53</v>
      </c>
      <c r="T500" t="s">
        <v>118</v>
      </c>
      <c r="U500" t="s">
        <v>2601</v>
      </c>
      <c r="V500" t="s">
        <v>91</v>
      </c>
    </row>
    <row r="501" spans="1:22" x14ac:dyDescent="0.35">
      <c r="A501" t="s">
        <v>2602</v>
      </c>
      <c r="B501" t="s">
        <v>2591</v>
      </c>
      <c r="C501" t="s">
        <v>33</v>
      </c>
      <c r="D501" t="s">
        <v>33</v>
      </c>
      <c r="E501" t="s">
        <v>60</v>
      </c>
      <c r="F501" t="s">
        <v>173</v>
      </c>
      <c r="G501" t="s">
        <v>30</v>
      </c>
      <c r="H501" t="s">
        <v>74</v>
      </c>
      <c r="I501" t="s">
        <v>36</v>
      </c>
      <c r="K501" t="s">
        <v>2592</v>
      </c>
      <c r="L501" t="s">
        <v>48</v>
      </c>
      <c r="M501" t="s">
        <v>48</v>
      </c>
      <c r="N501" t="s">
        <v>49</v>
      </c>
      <c r="O501" t="s">
        <v>1951</v>
      </c>
      <c r="P501" t="s">
        <v>49</v>
      </c>
      <c r="Q501" t="s">
        <v>1952</v>
      </c>
      <c r="R501" t="s">
        <v>1976</v>
      </c>
      <c r="S501" t="s">
        <v>53</v>
      </c>
      <c r="T501" t="s">
        <v>1030</v>
      </c>
      <c r="U501" t="s">
        <v>2604</v>
      </c>
      <c r="V501" t="s">
        <v>91</v>
      </c>
    </row>
    <row r="502" spans="1:22" x14ac:dyDescent="0.35">
      <c r="A502" t="s">
        <v>2605</v>
      </c>
      <c r="B502" t="s">
        <v>2405</v>
      </c>
      <c r="C502" t="s">
        <v>28</v>
      </c>
      <c r="D502" t="s">
        <v>60</v>
      </c>
      <c r="E502" t="s">
        <v>206</v>
      </c>
      <c r="F502" t="s">
        <v>197</v>
      </c>
      <c r="G502" t="s">
        <v>28</v>
      </c>
      <c r="H502" t="s">
        <v>61</v>
      </c>
      <c r="I502" t="s">
        <v>36</v>
      </c>
      <c r="K502" t="s">
        <v>2276</v>
      </c>
      <c r="L502" t="s">
        <v>48</v>
      </c>
      <c r="M502" t="s">
        <v>48</v>
      </c>
      <c r="N502" t="s">
        <v>48</v>
      </c>
      <c r="O502" t="s">
        <v>1951</v>
      </c>
      <c r="P502" t="s">
        <v>48</v>
      </c>
      <c r="Q502" t="s">
        <v>1952</v>
      </c>
      <c r="R502" t="s">
        <v>1976</v>
      </c>
      <c r="S502" t="s">
        <v>53</v>
      </c>
      <c r="T502" t="s">
        <v>118</v>
      </c>
      <c r="U502" t="s">
        <v>2607</v>
      </c>
      <c r="V502" t="s">
        <v>91</v>
      </c>
    </row>
    <row r="503" spans="1:22" x14ac:dyDescent="0.35">
      <c r="A503" t="s">
        <v>2608</v>
      </c>
      <c r="B503" t="s">
        <v>2155</v>
      </c>
      <c r="C503" t="s">
        <v>60</v>
      </c>
      <c r="D503" t="s">
        <v>60</v>
      </c>
      <c r="E503" t="s">
        <v>28</v>
      </c>
      <c r="F503" t="s">
        <v>28</v>
      </c>
      <c r="G503" t="s">
        <v>28</v>
      </c>
      <c r="H503" t="s">
        <v>28</v>
      </c>
      <c r="I503" t="s">
        <v>46</v>
      </c>
      <c r="K503" t="s">
        <v>2609</v>
      </c>
      <c r="L503" t="s">
        <v>38</v>
      </c>
      <c r="M503" t="s">
        <v>38</v>
      </c>
      <c r="N503" t="s">
        <v>49</v>
      </c>
      <c r="O503" t="s">
        <v>2195</v>
      </c>
      <c r="P503" t="s">
        <v>49</v>
      </c>
      <c r="Q503" t="s">
        <v>2244</v>
      </c>
      <c r="R503" t="s">
        <v>2471</v>
      </c>
      <c r="S503" t="s">
        <v>53</v>
      </c>
      <c r="T503" t="s">
        <v>118</v>
      </c>
      <c r="U503" t="s">
        <v>2611</v>
      </c>
      <c r="V503" t="s">
        <v>91</v>
      </c>
    </row>
    <row r="504" spans="1:22" x14ac:dyDescent="0.35">
      <c r="A504" t="s">
        <v>2612</v>
      </c>
      <c r="B504" t="s">
        <v>493</v>
      </c>
      <c r="C504" t="s">
        <v>29</v>
      </c>
      <c r="D504" t="s">
        <v>197</v>
      </c>
      <c r="E504" t="s">
        <v>73</v>
      </c>
      <c r="F504" t="s">
        <v>158</v>
      </c>
      <c r="G504" t="s">
        <v>45</v>
      </c>
      <c r="H504" t="s">
        <v>35</v>
      </c>
      <c r="I504" t="s">
        <v>46</v>
      </c>
      <c r="K504" t="s">
        <v>2391</v>
      </c>
      <c r="L504" t="s">
        <v>49</v>
      </c>
      <c r="M504" t="s">
        <v>38</v>
      </c>
      <c r="N504" t="s">
        <v>48</v>
      </c>
      <c r="O504" t="s">
        <v>2613</v>
      </c>
      <c r="P504" t="s">
        <v>48</v>
      </c>
      <c r="Q504" t="s">
        <v>134</v>
      </c>
      <c r="R504" t="s">
        <v>134</v>
      </c>
      <c r="S504" t="s">
        <v>53</v>
      </c>
      <c r="T504" t="s">
        <v>1030</v>
      </c>
      <c r="U504" t="s">
        <v>2615</v>
      </c>
      <c r="V504" t="s">
        <v>170</v>
      </c>
    </row>
    <row r="505" spans="1:22" x14ac:dyDescent="0.35">
      <c r="A505" t="s">
        <v>2616</v>
      </c>
      <c r="B505" t="s">
        <v>2591</v>
      </c>
      <c r="C505" t="s">
        <v>33</v>
      </c>
      <c r="D505" t="s">
        <v>33</v>
      </c>
      <c r="E505" t="s">
        <v>33</v>
      </c>
      <c r="F505" t="s">
        <v>34</v>
      </c>
      <c r="G505" t="s">
        <v>34</v>
      </c>
      <c r="H505" t="s">
        <v>61</v>
      </c>
      <c r="I505" t="s">
        <v>36</v>
      </c>
      <c r="K505" t="s">
        <v>2592</v>
      </c>
      <c r="L505" t="s">
        <v>49</v>
      </c>
      <c r="M505" t="s">
        <v>48</v>
      </c>
      <c r="N505" t="s">
        <v>49</v>
      </c>
      <c r="O505" t="s">
        <v>1951</v>
      </c>
      <c r="P505" t="s">
        <v>49</v>
      </c>
      <c r="Q505" t="s">
        <v>1952</v>
      </c>
      <c r="R505" t="s">
        <v>1976</v>
      </c>
      <c r="S505" t="s">
        <v>53</v>
      </c>
      <c r="T505" t="s">
        <v>1030</v>
      </c>
      <c r="U505" t="s">
        <v>2618</v>
      </c>
      <c r="V505" t="s">
        <v>91</v>
      </c>
    </row>
    <row r="506" spans="1:22" x14ac:dyDescent="0.35">
      <c r="A506" t="s">
        <v>2619</v>
      </c>
      <c r="B506" t="s">
        <v>1899</v>
      </c>
      <c r="C506" t="s">
        <v>28</v>
      </c>
      <c r="D506" t="s">
        <v>28</v>
      </c>
      <c r="E506" t="s">
        <v>28</v>
      </c>
      <c r="F506" t="s">
        <v>28</v>
      </c>
      <c r="G506" t="s">
        <v>28</v>
      </c>
      <c r="H506" t="s">
        <v>28</v>
      </c>
      <c r="I506" t="s">
        <v>46</v>
      </c>
      <c r="K506" t="s">
        <v>2525</v>
      </c>
      <c r="L506" t="s">
        <v>48</v>
      </c>
      <c r="M506" t="s">
        <v>48</v>
      </c>
      <c r="N506" t="s">
        <v>48</v>
      </c>
      <c r="O506" t="s">
        <v>2620</v>
      </c>
      <c r="P506" t="s">
        <v>48</v>
      </c>
      <c r="Q506" t="s">
        <v>2621</v>
      </c>
      <c r="R506" t="s">
        <v>2622</v>
      </c>
      <c r="S506" t="s">
        <v>53</v>
      </c>
      <c r="T506" t="s">
        <v>153</v>
      </c>
      <c r="U506" t="s">
        <v>2624</v>
      </c>
      <c r="V506" t="s">
        <v>91</v>
      </c>
    </row>
    <row r="507" spans="1:22" x14ac:dyDescent="0.35">
      <c r="A507" t="s">
        <v>2625</v>
      </c>
      <c r="B507" t="s">
        <v>1875</v>
      </c>
      <c r="C507" t="s">
        <v>44</v>
      </c>
      <c r="D507" t="s">
        <v>44</v>
      </c>
      <c r="E507" t="s">
        <v>28</v>
      </c>
      <c r="F507" t="s">
        <v>173</v>
      </c>
      <c r="G507" t="s">
        <v>28</v>
      </c>
      <c r="H507" t="s">
        <v>368</v>
      </c>
      <c r="I507" t="s">
        <v>36</v>
      </c>
      <c r="K507" t="s">
        <v>2212</v>
      </c>
      <c r="L507" t="s">
        <v>49</v>
      </c>
      <c r="M507" t="s">
        <v>38</v>
      </c>
      <c r="N507" t="s">
        <v>49</v>
      </c>
      <c r="O507" t="s">
        <v>2626</v>
      </c>
      <c r="P507" t="s">
        <v>49</v>
      </c>
      <c r="Q507" t="s">
        <v>2627</v>
      </c>
      <c r="R507" t="s">
        <v>2628</v>
      </c>
      <c r="S507" t="s">
        <v>53</v>
      </c>
      <c r="T507" t="s">
        <v>2246</v>
      </c>
      <c r="U507" t="s">
        <v>2630</v>
      </c>
      <c r="V507" t="s">
        <v>91</v>
      </c>
    </row>
    <row r="508" spans="1:22" x14ac:dyDescent="0.35">
      <c r="A508" t="s">
        <v>2631</v>
      </c>
      <c r="B508" t="s">
        <v>1960</v>
      </c>
      <c r="C508" t="s">
        <v>44</v>
      </c>
      <c r="D508" t="s">
        <v>60</v>
      </c>
      <c r="E508" t="s">
        <v>44</v>
      </c>
      <c r="F508" t="s">
        <v>28</v>
      </c>
      <c r="G508" t="s">
        <v>173</v>
      </c>
      <c r="H508" t="s">
        <v>28</v>
      </c>
      <c r="I508" t="s">
        <v>46</v>
      </c>
      <c r="K508" t="s">
        <v>2572</v>
      </c>
      <c r="L508" t="s">
        <v>48</v>
      </c>
      <c r="M508" t="s">
        <v>48</v>
      </c>
      <c r="N508" t="s">
        <v>38</v>
      </c>
      <c r="O508" t="s">
        <v>1885</v>
      </c>
      <c r="P508" t="s">
        <v>49</v>
      </c>
      <c r="Q508" t="s">
        <v>1962</v>
      </c>
      <c r="R508" t="s">
        <v>1887</v>
      </c>
      <c r="S508" t="s">
        <v>53</v>
      </c>
      <c r="T508" t="s">
        <v>2485</v>
      </c>
      <c r="U508" t="s">
        <v>2633</v>
      </c>
      <c r="V508" t="s">
        <v>91</v>
      </c>
    </row>
    <row r="509" spans="1:22" x14ac:dyDescent="0.35">
      <c r="A509" t="s">
        <v>2634</v>
      </c>
      <c r="B509" t="s">
        <v>2155</v>
      </c>
      <c r="C509" t="s">
        <v>28</v>
      </c>
      <c r="D509" t="s">
        <v>28</v>
      </c>
      <c r="E509" t="s">
        <v>28</v>
      </c>
      <c r="F509" t="s">
        <v>103</v>
      </c>
      <c r="G509" t="s">
        <v>28</v>
      </c>
      <c r="H509" t="s">
        <v>28</v>
      </c>
      <c r="I509" t="s">
        <v>46</v>
      </c>
      <c r="K509" t="s">
        <v>2635</v>
      </c>
      <c r="L509" t="s">
        <v>38</v>
      </c>
      <c r="M509" t="s">
        <v>38</v>
      </c>
      <c r="N509" t="s">
        <v>38</v>
      </c>
      <c r="O509" t="s">
        <v>2195</v>
      </c>
      <c r="P509" t="s">
        <v>38</v>
      </c>
      <c r="Q509" t="s">
        <v>2636</v>
      </c>
      <c r="R509" t="s">
        <v>2162</v>
      </c>
      <c r="S509" t="s">
        <v>53</v>
      </c>
      <c r="T509" t="s">
        <v>118</v>
      </c>
      <c r="U509" t="s">
        <v>2638</v>
      </c>
      <c r="V509" t="s">
        <v>91</v>
      </c>
    </row>
    <row r="510" spans="1:22" x14ac:dyDescent="0.35">
      <c r="A510" t="s">
        <v>2639</v>
      </c>
      <c r="B510" t="s">
        <v>2591</v>
      </c>
      <c r="C510" t="s">
        <v>29</v>
      </c>
      <c r="D510" t="s">
        <v>33</v>
      </c>
      <c r="E510" t="s">
        <v>33</v>
      </c>
      <c r="F510" t="s">
        <v>34</v>
      </c>
      <c r="G510" t="s">
        <v>34</v>
      </c>
      <c r="H510" t="s">
        <v>74</v>
      </c>
      <c r="I510" t="s">
        <v>46</v>
      </c>
      <c r="K510" t="s">
        <v>2640</v>
      </c>
      <c r="L510" t="s">
        <v>49</v>
      </c>
      <c r="M510" t="s">
        <v>48</v>
      </c>
      <c r="N510" t="s">
        <v>48</v>
      </c>
      <c r="O510" t="s">
        <v>1951</v>
      </c>
      <c r="P510" t="s">
        <v>49</v>
      </c>
      <c r="Q510" t="s">
        <v>1952</v>
      </c>
      <c r="R510" t="s">
        <v>1976</v>
      </c>
      <c r="S510" t="s">
        <v>53</v>
      </c>
      <c r="T510" t="s">
        <v>1030</v>
      </c>
      <c r="U510" t="s">
        <v>2642</v>
      </c>
      <c r="V510" t="s">
        <v>91</v>
      </c>
    </row>
    <row r="511" spans="1:22" x14ac:dyDescent="0.35">
      <c r="A511" t="s">
        <v>2643</v>
      </c>
      <c r="B511" t="s">
        <v>1899</v>
      </c>
      <c r="C511" t="s">
        <v>28</v>
      </c>
      <c r="D511" t="s">
        <v>28</v>
      </c>
      <c r="E511" t="s">
        <v>28</v>
      </c>
      <c r="F511" t="s">
        <v>28</v>
      </c>
      <c r="G511" t="s">
        <v>103</v>
      </c>
      <c r="H511" t="s">
        <v>28</v>
      </c>
      <c r="I511" t="s">
        <v>46</v>
      </c>
      <c r="K511" t="s">
        <v>2525</v>
      </c>
      <c r="L511" t="s">
        <v>48</v>
      </c>
      <c r="M511" t="s">
        <v>48</v>
      </c>
      <c r="N511" t="s">
        <v>48</v>
      </c>
      <c r="O511" t="s">
        <v>2620</v>
      </c>
      <c r="P511" t="s">
        <v>48</v>
      </c>
      <c r="Q511" t="s">
        <v>2621</v>
      </c>
      <c r="R511" t="s">
        <v>2622</v>
      </c>
      <c r="S511" t="s">
        <v>53</v>
      </c>
      <c r="T511" t="s">
        <v>118</v>
      </c>
      <c r="U511" t="s">
        <v>2645</v>
      </c>
      <c r="V511" t="s">
        <v>170</v>
      </c>
    </row>
    <row r="512" spans="1:22" x14ac:dyDescent="0.35">
      <c r="A512" t="s">
        <v>2646</v>
      </c>
      <c r="B512" t="s">
        <v>2647</v>
      </c>
      <c r="C512" t="s">
        <v>29</v>
      </c>
      <c r="D512" t="s">
        <v>29</v>
      </c>
      <c r="E512" t="s">
        <v>29</v>
      </c>
      <c r="F512" t="s">
        <v>30</v>
      </c>
      <c r="G512" t="s">
        <v>30</v>
      </c>
      <c r="H512" t="s">
        <v>94</v>
      </c>
      <c r="I512" t="s">
        <v>36</v>
      </c>
      <c r="K512" t="s">
        <v>2648</v>
      </c>
      <c r="L512" t="s">
        <v>49</v>
      </c>
      <c r="M512" t="s">
        <v>49</v>
      </c>
      <c r="N512" t="s">
        <v>49</v>
      </c>
      <c r="O512" t="s">
        <v>2649</v>
      </c>
      <c r="P512" t="s">
        <v>49</v>
      </c>
      <c r="Q512" t="s">
        <v>2650</v>
      </c>
      <c r="R512" t="s">
        <v>2651</v>
      </c>
      <c r="S512" t="s">
        <v>53</v>
      </c>
      <c r="T512" t="s">
        <v>81</v>
      </c>
      <c r="U512" t="s">
        <v>413</v>
      </c>
      <c r="V512" t="s">
        <v>129</v>
      </c>
    </row>
    <row r="513" spans="1:22" x14ac:dyDescent="0.35">
      <c r="A513" t="s">
        <v>2652</v>
      </c>
      <c r="B513" t="s">
        <v>1960</v>
      </c>
      <c r="C513" t="s">
        <v>44</v>
      </c>
      <c r="D513" t="s">
        <v>44</v>
      </c>
      <c r="E513" t="s">
        <v>44</v>
      </c>
      <c r="F513" t="s">
        <v>103</v>
      </c>
      <c r="G513" t="s">
        <v>173</v>
      </c>
      <c r="H513" t="s">
        <v>292</v>
      </c>
      <c r="I513" t="s">
        <v>46</v>
      </c>
      <c r="K513" t="s">
        <v>2653</v>
      </c>
      <c r="L513" t="s">
        <v>48</v>
      </c>
      <c r="M513" t="s">
        <v>48</v>
      </c>
      <c r="N513" t="s">
        <v>38</v>
      </c>
      <c r="O513" t="s">
        <v>1885</v>
      </c>
      <c r="P513" t="s">
        <v>49</v>
      </c>
      <c r="Q513" t="s">
        <v>1962</v>
      </c>
      <c r="R513" t="s">
        <v>1887</v>
      </c>
      <c r="S513" t="s">
        <v>53</v>
      </c>
      <c r="T513" t="s">
        <v>2485</v>
      </c>
      <c r="U513" t="s">
        <v>2655</v>
      </c>
      <c r="V513" t="s">
        <v>91</v>
      </c>
    </row>
    <row r="514" spans="1:22" x14ac:dyDescent="0.35">
      <c r="A514" t="s">
        <v>2656</v>
      </c>
      <c r="B514" t="s">
        <v>2155</v>
      </c>
      <c r="C514" t="s">
        <v>28</v>
      </c>
      <c r="D514" t="s">
        <v>28</v>
      </c>
      <c r="E514" t="s">
        <v>44</v>
      </c>
      <c r="F514" t="s">
        <v>28</v>
      </c>
      <c r="G514" t="s">
        <v>28</v>
      </c>
      <c r="H514" t="s">
        <v>28</v>
      </c>
      <c r="I514" t="s">
        <v>46</v>
      </c>
      <c r="K514" t="s">
        <v>2635</v>
      </c>
      <c r="L514" t="s">
        <v>38</v>
      </c>
      <c r="M514" t="s">
        <v>49</v>
      </c>
      <c r="N514" t="s">
        <v>49</v>
      </c>
      <c r="O514" t="s">
        <v>2195</v>
      </c>
      <c r="P514" t="s">
        <v>49</v>
      </c>
      <c r="Q514" t="s">
        <v>2186</v>
      </c>
      <c r="R514" t="s">
        <v>2175</v>
      </c>
      <c r="S514" t="s">
        <v>53</v>
      </c>
      <c r="T514" t="s">
        <v>118</v>
      </c>
      <c r="U514" t="s">
        <v>2658</v>
      </c>
      <c r="V514" t="s">
        <v>91</v>
      </c>
    </row>
    <row r="515" spans="1:22" x14ac:dyDescent="0.35">
      <c r="A515" t="s">
        <v>2659</v>
      </c>
      <c r="B515" t="s">
        <v>1899</v>
      </c>
      <c r="C515" t="s">
        <v>28</v>
      </c>
      <c r="D515" t="s">
        <v>28</v>
      </c>
      <c r="E515" t="s">
        <v>28</v>
      </c>
      <c r="F515" t="s">
        <v>28</v>
      </c>
      <c r="G515" t="s">
        <v>28</v>
      </c>
      <c r="H515" t="s">
        <v>28</v>
      </c>
      <c r="I515" t="s">
        <v>46</v>
      </c>
      <c r="K515" t="s">
        <v>2525</v>
      </c>
      <c r="L515" t="s">
        <v>48</v>
      </c>
      <c r="M515" t="s">
        <v>48</v>
      </c>
      <c r="N515" t="s">
        <v>48</v>
      </c>
      <c r="O515" t="s">
        <v>2620</v>
      </c>
      <c r="P515" t="s">
        <v>49</v>
      </c>
      <c r="Q515" t="s">
        <v>2621</v>
      </c>
      <c r="R515" t="s">
        <v>2622</v>
      </c>
      <c r="S515" t="s">
        <v>53</v>
      </c>
      <c r="T515" t="s">
        <v>118</v>
      </c>
      <c r="U515" t="s">
        <v>2661</v>
      </c>
      <c r="V515" t="s">
        <v>91</v>
      </c>
    </row>
    <row r="516" spans="1:22" x14ac:dyDescent="0.35">
      <c r="A516" t="s">
        <v>2662</v>
      </c>
      <c r="B516" t="s">
        <v>32</v>
      </c>
      <c r="C516" t="s">
        <v>71</v>
      </c>
      <c r="D516" t="s">
        <v>29</v>
      </c>
      <c r="E516" t="s">
        <v>28</v>
      </c>
      <c r="F516" t="s">
        <v>28</v>
      </c>
      <c r="G516" t="s">
        <v>28</v>
      </c>
      <c r="H516" t="s">
        <v>28</v>
      </c>
      <c r="I516" t="s">
        <v>46</v>
      </c>
      <c r="K516" t="s">
        <v>2391</v>
      </c>
      <c r="L516" t="s">
        <v>49</v>
      </c>
      <c r="M516" t="s">
        <v>49</v>
      </c>
      <c r="N516" t="s">
        <v>48</v>
      </c>
      <c r="O516" t="s">
        <v>2663</v>
      </c>
      <c r="P516" t="s">
        <v>49</v>
      </c>
      <c r="Q516" t="s">
        <v>2664</v>
      </c>
      <c r="R516" t="s">
        <v>2664</v>
      </c>
      <c r="S516" t="s">
        <v>53</v>
      </c>
      <c r="T516" t="s">
        <v>1030</v>
      </c>
      <c r="U516" t="s">
        <v>251</v>
      </c>
      <c r="V516" t="s">
        <v>129</v>
      </c>
    </row>
    <row r="517" spans="1:22" x14ac:dyDescent="0.35">
      <c r="A517" t="s">
        <v>2666</v>
      </c>
      <c r="B517" t="s">
        <v>2667</v>
      </c>
      <c r="C517" t="s">
        <v>29</v>
      </c>
      <c r="D517" t="s">
        <v>29</v>
      </c>
      <c r="E517" t="s">
        <v>29</v>
      </c>
      <c r="F517" t="s">
        <v>30</v>
      </c>
      <c r="G517" t="s">
        <v>30</v>
      </c>
      <c r="H517" t="s">
        <v>94</v>
      </c>
      <c r="I517" t="s">
        <v>46</v>
      </c>
      <c r="K517" t="s">
        <v>375</v>
      </c>
      <c r="L517" t="s">
        <v>49</v>
      </c>
      <c r="M517" t="s">
        <v>48</v>
      </c>
      <c r="N517" t="s">
        <v>48</v>
      </c>
      <c r="O517" t="s">
        <v>2668</v>
      </c>
      <c r="P517" t="s">
        <v>49</v>
      </c>
      <c r="Q517" t="s">
        <v>2669</v>
      </c>
      <c r="R517" t="s">
        <v>2670</v>
      </c>
      <c r="S517" t="s">
        <v>65</v>
      </c>
      <c r="T517" t="s">
        <v>81</v>
      </c>
      <c r="U517" t="s">
        <v>2671</v>
      </c>
      <c r="V517" t="s">
        <v>91</v>
      </c>
    </row>
    <row r="518" spans="1:22" x14ac:dyDescent="0.35">
      <c r="A518" t="s">
        <v>2672</v>
      </c>
      <c r="B518" t="s">
        <v>2591</v>
      </c>
      <c r="C518" t="s">
        <v>29</v>
      </c>
      <c r="D518" t="s">
        <v>33</v>
      </c>
      <c r="E518" t="s">
        <v>33</v>
      </c>
      <c r="F518" t="s">
        <v>34</v>
      </c>
      <c r="G518" t="s">
        <v>34</v>
      </c>
      <c r="H518" t="s">
        <v>74</v>
      </c>
      <c r="I518" t="s">
        <v>46</v>
      </c>
      <c r="K518" t="s">
        <v>2673</v>
      </c>
      <c r="L518" t="s">
        <v>49</v>
      </c>
      <c r="M518" t="s">
        <v>48</v>
      </c>
      <c r="N518" t="s">
        <v>48</v>
      </c>
      <c r="O518" t="s">
        <v>1951</v>
      </c>
      <c r="P518" t="s">
        <v>48</v>
      </c>
      <c r="Q518" t="s">
        <v>1952</v>
      </c>
      <c r="R518" t="s">
        <v>1976</v>
      </c>
      <c r="S518" t="s">
        <v>53</v>
      </c>
      <c r="T518" t="s">
        <v>118</v>
      </c>
      <c r="U518" t="s">
        <v>2675</v>
      </c>
      <c r="V518" t="s">
        <v>91</v>
      </c>
    </row>
    <row r="519" spans="1:22" x14ac:dyDescent="0.35">
      <c r="A519" t="s">
        <v>2676</v>
      </c>
      <c r="B519" t="s">
        <v>2155</v>
      </c>
      <c r="C519" t="s">
        <v>28</v>
      </c>
      <c r="D519" t="s">
        <v>28</v>
      </c>
      <c r="E519" t="s">
        <v>28</v>
      </c>
      <c r="F519" t="s">
        <v>28</v>
      </c>
      <c r="G519" t="s">
        <v>28</v>
      </c>
      <c r="H519" t="s">
        <v>28</v>
      </c>
      <c r="I519" t="s">
        <v>36</v>
      </c>
      <c r="K519" t="s">
        <v>2635</v>
      </c>
      <c r="L519" t="s">
        <v>38</v>
      </c>
      <c r="M519" t="s">
        <v>38</v>
      </c>
      <c r="N519" t="s">
        <v>49</v>
      </c>
      <c r="O519" t="s">
        <v>2195</v>
      </c>
      <c r="P519" t="s">
        <v>49</v>
      </c>
      <c r="Q519" t="s">
        <v>2186</v>
      </c>
      <c r="R519" t="s">
        <v>2175</v>
      </c>
      <c r="S519" t="s">
        <v>53</v>
      </c>
      <c r="T519" t="s">
        <v>118</v>
      </c>
      <c r="U519" t="s">
        <v>2678</v>
      </c>
      <c r="V519" t="s">
        <v>91</v>
      </c>
    </row>
    <row r="520" spans="1:22" x14ac:dyDescent="0.35">
      <c r="A520" t="s">
        <v>2679</v>
      </c>
      <c r="B520" t="s">
        <v>1960</v>
      </c>
      <c r="C520" t="s">
        <v>44</v>
      </c>
      <c r="D520" t="s">
        <v>60</v>
      </c>
      <c r="E520" t="s">
        <v>60</v>
      </c>
      <c r="F520" t="s">
        <v>103</v>
      </c>
      <c r="G520" t="s">
        <v>103</v>
      </c>
      <c r="H520" t="s">
        <v>45</v>
      </c>
      <c r="I520" t="s">
        <v>46</v>
      </c>
      <c r="K520" t="s">
        <v>2525</v>
      </c>
      <c r="L520" t="s">
        <v>48</v>
      </c>
      <c r="M520" t="s">
        <v>48</v>
      </c>
      <c r="N520" t="s">
        <v>38</v>
      </c>
      <c r="O520" t="s">
        <v>1885</v>
      </c>
      <c r="P520" t="s">
        <v>38</v>
      </c>
      <c r="Q520" t="s">
        <v>1962</v>
      </c>
      <c r="R520" t="s">
        <v>1887</v>
      </c>
      <c r="S520" t="s">
        <v>53</v>
      </c>
      <c r="T520" t="s">
        <v>153</v>
      </c>
      <c r="U520" t="s">
        <v>2681</v>
      </c>
      <c r="V520" t="s">
        <v>91</v>
      </c>
    </row>
    <row r="521" spans="1:22" x14ac:dyDescent="0.35">
      <c r="A521" t="s">
        <v>2682</v>
      </c>
      <c r="B521" t="s">
        <v>1899</v>
      </c>
      <c r="C521" t="s">
        <v>28</v>
      </c>
      <c r="D521" t="s">
        <v>158</v>
      </c>
      <c r="E521" t="s">
        <v>44</v>
      </c>
      <c r="F521" t="s">
        <v>173</v>
      </c>
      <c r="G521" t="s">
        <v>28</v>
      </c>
      <c r="H521" t="s">
        <v>28</v>
      </c>
      <c r="I521" t="s">
        <v>46</v>
      </c>
      <c r="K521" t="s">
        <v>2553</v>
      </c>
      <c r="L521" t="s">
        <v>48</v>
      </c>
      <c r="M521" t="s">
        <v>48</v>
      </c>
      <c r="N521" t="s">
        <v>48</v>
      </c>
      <c r="O521" t="s">
        <v>2683</v>
      </c>
      <c r="P521" t="s">
        <v>48</v>
      </c>
      <c r="Q521" t="s">
        <v>2684</v>
      </c>
      <c r="R521" t="s">
        <v>2685</v>
      </c>
      <c r="S521" t="s">
        <v>53</v>
      </c>
      <c r="T521" t="s">
        <v>118</v>
      </c>
      <c r="U521" t="s">
        <v>2601</v>
      </c>
      <c r="V521" t="s">
        <v>91</v>
      </c>
    </row>
    <row r="522" spans="1:22" x14ac:dyDescent="0.35">
      <c r="A522" t="s">
        <v>2687</v>
      </c>
      <c r="B522" t="s">
        <v>32</v>
      </c>
      <c r="C522" t="s">
        <v>28</v>
      </c>
      <c r="D522" t="s">
        <v>72</v>
      </c>
      <c r="E522" t="s">
        <v>284</v>
      </c>
      <c r="F522" t="s">
        <v>30</v>
      </c>
      <c r="G522" t="s">
        <v>94</v>
      </c>
      <c r="H522" t="s">
        <v>292</v>
      </c>
      <c r="I522" t="s">
        <v>36</v>
      </c>
      <c r="K522" t="s">
        <v>2391</v>
      </c>
      <c r="L522" t="s">
        <v>40</v>
      </c>
      <c r="M522" t="s">
        <v>49</v>
      </c>
      <c r="N522" t="s">
        <v>48</v>
      </c>
      <c r="P522" t="s">
        <v>48</v>
      </c>
      <c r="Q522" t="s">
        <v>2392</v>
      </c>
      <c r="S522" t="s">
        <v>53</v>
      </c>
      <c r="T522" t="s">
        <v>1030</v>
      </c>
      <c r="U522" t="s">
        <v>2689</v>
      </c>
      <c r="V522" t="s">
        <v>91</v>
      </c>
    </row>
    <row r="523" spans="1:22" x14ac:dyDescent="0.35">
      <c r="A523" t="s">
        <v>2690</v>
      </c>
      <c r="B523" t="s">
        <v>2691</v>
      </c>
      <c r="C523" t="s">
        <v>71</v>
      </c>
      <c r="D523" t="s">
        <v>33</v>
      </c>
      <c r="E523" t="s">
        <v>73</v>
      </c>
      <c r="F523" t="s">
        <v>34</v>
      </c>
      <c r="G523" t="s">
        <v>34</v>
      </c>
      <c r="H523" t="s">
        <v>73</v>
      </c>
      <c r="I523" t="s">
        <v>36</v>
      </c>
      <c r="K523" t="s">
        <v>2692</v>
      </c>
      <c r="L523" t="s">
        <v>49</v>
      </c>
      <c r="M523" t="s">
        <v>48</v>
      </c>
      <c r="N523" t="s">
        <v>48</v>
      </c>
      <c r="O523" t="s">
        <v>2693</v>
      </c>
      <c r="P523" t="s">
        <v>48</v>
      </c>
      <c r="Q523" t="s">
        <v>2694</v>
      </c>
      <c r="R523" t="s">
        <v>2695</v>
      </c>
      <c r="S523" t="s">
        <v>53</v>
      </c>
      <c r="T523" t="s">
        <v>603</v>
      </c>
      <c r="U523" t="s">
        <v>2696</v>
      </c>
      <c r="V523" t="s">
        <v>129</v>
      </c>
    </row>
    <row r="524" spans="1:22" x14ac:dyDescent="0.35">
      <c r="A524" t="s">
        <v>2697</v>
      </c>
      <c r="B524" t="s">
        <v>2591</v>
      </c>
      <c r="C524" t="s">
        <v>33</v>
      </c>
      <c r="D524" t="s">
        <v>33</v>
      </c>
      <c r="E524" t="s">
        <v>33</v>
      </c>
      <c r="F524" t="s">
        <v>34</v>
      </c>
      <c r="G524" t="s">
        <v>34</v>
      </c>
      <c r="H524" t="s">
        <v>74</v>
      </c>
      <c r="I524" t="s">
        <v>46</v>
      </c>
      <c r="K524" t="s">
        <v>2673</v>
      </c>
      <c r="L524" t="s">
        <v>49</v>
      </c>
      <c r="M524" t="s">
        <v>48</v>
      </c>
      <c r="N524" t="s">
        <v>48</v>
      </c>
      <c r="O524" t="s">
        <v>1951</v>
      </c>
      <c r="P524" t="s">
        <v>49</v>
      </c>
      <c r="Q524" t="s">
        <v>1952</v>
      </c>
      <c r="R524" t="s">
        <v>1976</v>
      </c>
      <c r="S524" t="s">
        <v>53</v>
      </c>
      <c r="T524" t="s">
        <v>118</v>
      </c>
      <c r="U524" t="s">
        <v>2699</v>
      </c>
      <c r="V524" t="s">
        <v>91</v>
      </c>
    </row>
    <row r="525" spans="1:22" x14ac:dyDescent="0.35">
      <c r="A525" t="s">
        <v>2700</v>
      </c>
      <c r="B525" t="s">
        <v>1960</v>
      </c>
      <c r="C525" t="s">
        <v>44</v>
      </c>
      <c r="D525" t="s">
        <v>44</v>
      </c>
      <c r="E525" t="s">
        <v>60</v>
      </c>
      <c r="F525" t="s">
        <v>103</v>
      </c>
      <c r="G525" t="s">
        <v>173</v>
      </c>
      <c r="H525" t="s">
        <v>28</v>
      </c>
      <c r="I525" t="s">
        <v>46</v>
      </c>
      <c r="K525" t="s">
        <v>2653</v>
      </c>
      <c r="L525" t="s">
        <v>48</v>
      </c>
      <c r="M525" t="s">
        <v>48</v>
      </c>
      <c r="N525" t="s">
        <v>49</v>
      </c>
      <c r="O525" t="s">
        <v>1885</v>
      </c>
      <c r="P525" t="s">
        <v>49</v>
      </c>
      <c r="Q525" t="s">
        <v>2011</v>
      </c>
      <c r="R525" t="s">
        <v>1887</v>
      </c>
      <c r="S525" t="s">
        <v>53</v>
      </c>
      <c r="T525" t="s">
        <v>2485</v>
      </c>
      <c r="U525" t="s">
        <v>2702</v>
      </c>
      <c r="V525" t="s">
        <v>91</v>
      </c>
    </row>
    <row r="526" spans="1:22" x14ac:dyDescent="0.35">
      <c r="A526" t="s">
        <v>2703</v>
      </c>
      <c r="B526" t="s">
        <v>1899</v>
      </c>
      <c r="C526" t="s">
        <v>28</v>
      </c>
      <c r="D526" t="s">
        <v>158</v>
      </c>
      <c r="E526" t="s">
        <v>157</v>
      </c>
      <c r="F526" t="s">
        <v>103</v>
      </c>
      <c r="G526" t="s">
        <v>28</v>
      </c>
      <c r="H526" t="s">
        <v>28</v>
      </c>
      <c r="I526" t="s">
        <v>36</v>
      </c>
      <c r="K526" t="s">
        <v>2553</v>
      </c>
      <c r="L526" t="s">
        <v>48</v>
      </c>
      <c r="M526" t="s">
        <v>48</v>
      </c>
      <c r="N526" t="s">
        <v>48</v>
      </c>
      <c r="O526" t="s">
        <v>2704</v>
      </c>
      <c r="P526" t="s">
        <v>48</v>
      </c>
      <c r="Q526" t="s">
        <v>2705</v>
      </c>
      <c r="R526" t="s">
        <v>2706</v>
      </c>
      <c r="S526" t="s">
        <v>53</v>
      </c>
      <c r="T526" t="s">
        <v>118</v>
      </c>
      <c r="U526" t="s">
        <v>2708</v>
      </c>
      <c r="V526" t="s">
        <v>91</v>
      </c>
    </row>
    <row r="527" spans="1:22" x14ac:dyDescent="0.35">
      <c r="A527" t="s">
        <v>2709</v>
      </c>
      <c r="B527" t="s">
        <v>2667</v>
      </c>
      <c r="C527" t="s">
        <v>344</v>
      </c>
      <c r="D527" t="s">
        <v>29</v>
      </c>
      <c r="E527" t="s">
        <v>29</v>
      </c>
      <c r="F527" t="s">
        <v>30</v>
      </c>
      <c r="G527" t="s">
        <v>30</v>
      </c>
      <c r="H527" t="s">
        <v>94</v>
      </c>
      <c r="I527" t="s">
        <v>46</v>
      </c>
      <c r="K527" t="s">
        <v>442</v>
      </c>
      <c r="L527" t="s">
        <v>49</v>
      </c>
      <c r="M527" t="s">
        <v>49</v>
      </c>
      <c r="N527" t="s">
        <v>49</v>
      </c>
      <c r="O527" t="s">
        <v>2710</v>
      </c>
      <c r="P527" t="s">
        <v>49</v>
      </c>
      <c r="Q527" t="s">
        <v>2711</v>
      </c>
      <c r="R527" t="s">
        <v>2712</v>
      </c>
      <c r="S527" t="s">
        <v>87</v>
      </c>
      <c r="T527" t="s">
        <v>603</v>
      </c>
      <c r="U527" t="s">
        <v>2713</v>
      </c>
      <c r="V527" t="s">
        <v>91</v>
      </c>
    </row>
    <row r="528" spans="1:22" x14ac:dyDescent="0.35">
      <c r="A528" t="s">
        <v>2714</v>
      </c>
      <c r="B528" t="s">
        <v>2591</v>
      </c>
      <c r="C528" t="s">
        <v>33</v>
      </c>
      <c r="D528" t="s">
        <v>33</v>
      </c>
      <c r="E528" t="s">
        <v>33</v>
      </c>
      <c r="F528" t="s">
        <v>34</v>
      </c>
      <c r="G528" t="s">
        <v>34</v>
      </c>
      <c r="H528" t="s">
        <v>74</v>
      </c>
      <c r="I528" t="s">
        <v>46</v>
      </c>
      <c r="K528" t="s">
        <v>2673</v>
      </c>
      <c r="L528" t="s">
        <v>48</v>
      </c>
      <c r="M528" t="s">
        <v>49</v>
      </c>
      <c r="N528" t="s">
        <v>49</v>
      </c>
      <c r="O528" t="s">
        <v>1951</v>
      </c>
      <c r="P528" t="s">
        <v>49</v>
      </c>
      <c r="Q528" t="s">
        <v>1952</v>
      </c>
      <c r="R528" t="s">
        <v>1976</v>
      </c>
      <c r="S528" t="s">
        <v>53</v>
      </c>
      <c r="T528" t="s">
        <v>118</v>
      </c>
      <c r="U528" t="s">
        <v>2716</v>
      </c>
      <c r="V528" t="s">
        <v>91</v>
      </c>
    </row>
    <row r="529" spans="1:22" x14ac:dyDescent="0.35">
      <c r="A529" t="s">
        <v>2717</v>
      </c>
      <c r="B529" t="s">
        <v>2155</v>
      </c>
      <c r="C529" t="s">
        <v>28</v>
      </c>
      <c r="D529" t="s">
        <v>28</v>
      </c>
      <c r="E529" t="s">
        <v>60</v>
      </c>
      <c r="F529" t="s">
        <v>28</v>
      </c>
      <c r="G529" t="s">
        <v>28</v>
      </c>
      <c r="H529" t="s">
        <v>28</v>
      </c>
      <c r="I529" t="s">
        <v>46</v>
      </c>
      <c r="K529" t="s">
        <v>2635</v>
      </c>
      <c r="L529" t="s">
        <v>38</v>
      </c>
      <c r="M529" t="s">
        <v>49</v>
      </c>
      <c r="N529" t="s">
        <v>38</v>
      </c>
      <c r="O529" t="s">
        <v>2195</v>
      </c>
      <c r="P529" t="s">
        <v>49</v>
      </c>
      <c r="Q529" t="s">
        <v>2225</v>
      </c>
      <c r="R529" t="s">
        <v>2175</v>
      </c>
      <c r="S529" t="s">
        <v>53</v>
      </c>
      <c r="T529" t="s">
        <v>118</v>
      </c>
      <c r="U529" t="s">
        <v>2719</v>
      </c>
      <c r="V529" t="s">
        <v>91</v>
      </c>
    </row>
    <row r="530" spans="1:22" x14ac:dyDescent="0.35">
      <c r="A530" t="s">
        <v>2720</v>
      </c>
      <c r="B530" t="s">
        <v>2405</v>
      </c>
      <c r="C530" t="s">
        <v>60</v>
      </c>
      <c r="D530" t="s">
        <v>29</v>
      </c>
      <c r="E530" t="s">
        <v>28</v>
      </c>
      <c r="F530" t="s">
        <v>196</v>
      </c>
      <c r="G530" t="s">
        <v>368</v>
      </c>
      <c r="H530" t="s">
        <v>28</v>
      </c>
      <c r="I530" t="s">
        <v>36</v>
      </c>
      <c r="K530" t="s">
        <v>2276</v>
      </c>
      <c r="L530" t="s">
        <v>48</v>
      </c>
      <c r="M530" t="s">
        <v>48</v>
      </c>
      <c r="N530" t="s">
        <v>48</v>
      </c>
      <c r="O530" t="s">
        <v>1951</v>
      </c>
      <c r="P530" t="s">
        <v>48</v>
      </c>
      <c r="Q530" t="s">
        <v>1952</v>
      </c>
      <c r="R530" t="s">
        <v>1976</v>
      </c>
      <c r="S530" t="s">
        <v>53</v>
      </c>
      <c r="T530" t="s">
        <v>118</v>
      </c>
      <c r="U530" t="s">
        <v>2722</v>
      </c>
      <c r="V530" t="s">
        <v>91</v>
      </c>
    </row>
    <row r="531" spans="1:22" x14ac:dyDescent="0.35">
      <c r="A531" t="s">
        <v>2723</v>
      </c>
      <c r="B531" t="s">
        <v>2724</v>
      </c>
      <c r="C531" t="s">
        <v>28</v>
      </c>
      <c r="D531" t="s">
        <v>28</v>
      </c>
      <c r="E531" t="s">
        <v>28</v>
      </c>
      <c r="F531" t="s">
        <v>28</v>
      </c>
      <c r="G531" t="s">
        <v>28</v>
      </c>
      <c r="H531" t="s">
        <v>28</v>
      </c>
      <c r="I531" t="s">
        <v>36</v>
      </c>
      <c r="K531" t="s">
        <v>494</v>
      </c>
      <c r="L531" t="s">
        <v>49</v>
      </c>
      <c r="M531" t="s">
        <v>49</v>
      </c>
      <c r="N531" t="s">
        <v>49</v>
      </c>
      <c r="O531" t="s">
        <v>2725</v>
      </c>
      <c r="P531" t="s">
        <v>49</v>
      </c>
      <c r="Q531" t="s">
        <v>2726</v>
      </c>
      <c r="R531" t="s">
        <v>2727</v>
      </c>
      <c r="S531" t="s">
        <v>65</v>
      </c>
      <c r="T531" t="s">
        <v>81</v>
      </c>
      <c r="U531" t="s">
        <v>2728</v>
      </c>
      <c r="V531" t="s">
        <v>129</v>
      </c>
    </row>
    <row r="532" spans="1:22" x14ac:dyDescent="0.35">
      <c r="A532" t="s">
        <v>2729</v>
      </c>
      <c r="B532" t="s">
        <v>1875</v>
      </c>
      <c r="C532" t="s">
        <v>44</v>
      </c>
      <c r="D532" t="s">
        <v>60</v>
      </c>
      <c r="E532" t="s">
        <v>157</v>
      </c>
      <c r="F532" t="s">
        <v>103</v>
      </c>
      <c r="G532" t="s">
        <v>28</v>
      </c>
      <c r="H532" t="s">
        <v>45</v>
      </c>
      <c r="I532" t="s">
        <v>36</v>
      </c>
      <c r="K532" t="s">
        <v>2235</v>
      </c>
      <c r="L532" t="s">
        <v>49</v>
      </c>
      <c r="M532" t="s">
        <v>49</v>
      </c>
      <c r="N532" t="s">
        <v>38</v>
      </c>
      <c r="O532" t="s">
        <v>2730</v>
      </c>
      <c r="P532" t="s">
        <v>49</v>
      </c>
      <c r="Q532" t="s">
        <v>2731</v>
      </c>
      <c r="R532" t="s">
        <v>2732</v>
      </c>
      <c r="S532" t="s">
        <v>53</v>
      </c>
      <c r="T532" t="s">
        <v>2246</v>
      </c>
      <c r="U532" t="s">
        <v>2734</v>
      </c>
      <c r="V532" t="s">
        <v>91</v>
      </c>
    </row>
    <row r="533" spans="1:22" x14ac:dyDescent="0.35">
      <c r="A533" t="s">
        <v>2735</v>
      </c>
      <c r="B533" t="s">
        <v>2405</v>
      </c>
      <c r="C533" t="s">
        <v>60</v>
      </c>
      <c r="D533" t="s">
        <v>28</v>
      </c>
      <c r="E533" t="s">
        <v>29</v>
      </c>
      <c r="F533" t="s">
        <v>158</v>
      </c>
      <c r="G533" t="s">
        <v>94</v>
      </c>
      <c r="H533" t="s">
        <v>368</v>
      </c>
      <c r="I533" t="s">
        <v>46</v>
      </c>
      <c r="K533" t="s">
        <v>2276</v>
      </c>
      <c r="L533" t="s">
        <v>48</v>
      </c>
      <c r="M533" t="s">
        <v>48</v>
      </c>
      <c r="N533" t="s">
        <v>48</v>
      </c>
      <c r="O533" t="s">
        <v>1951</v>
      </c>
      <c r="P533" t="s">
        <v>48</v>
      </c>
      <c r="Q533" t="s">
        <v>1952</v>
      </c>
      <c r="R533" t="s">
        <v>1976</v>
      </c>
      <c r="S533" t="s">
        <v>53</v>
      </c>
      <c r="T533" t="s">
        <v>2737</v>
      </c>
      <c r="U533" t="s">
        <v>2738</v>
      </c>
      <c r="V533" t="s">
        <v>91</v>
      </c>
    </row>
    <row r="534" spans="1:22" x14ac:dyDescent="0.35">
      <c r="A534" t="s">
        <v>2739</v>
      </c>
      <c r="B534" t="s">
        <v>2740</v>
      </c>
      <c r="C534" t="s">
        <v>44</v>
      </c>
      <c r="D534" t="s">
        <v>72</v>
      </c>
      <c r="E534" t="s">
        <v>28</v>
      </c>
      <c r="F534" t="s">
        <v>103</v>
      </c>
      <c r="G534" t="s">
        <v>30</v>
      </c>
      <c r="H534" t="s">
        <v>45</v>
      </c>
      <c r="I534" t="s">
        <v>36</v>
      </c>
      <c r="K534" t="s">
        <v>2540</v>
      </c>
      <c r="L534" t="s">
        <v>38</v>
      </c>
      <c r="M534" t="s">
        <v>49</v>
      </c>
      <c r="N534" t="s">
        <v>48</v>
      </c>
      <c r="O534" t="s">
        <v>2741</v>
      </c>
      <c r="P534" t="s">
        <v>48</v>
      </c>
      <c r="S534" t="s">
        <v>53</v>
      </c>
      <c r="T534" t="s">
        <v>2743</v>
      </c>
      <c r="U534" t="s">
        <v>2744</v>
      </c>
      <c r="V534" t="s">
        <v>170</v>
      </c>
    </row>
    <row r="535" spans="1:22" x14ac:dyDescent="0.35">
      <c r="A535" t="s">
        <v>2745</v>
      </c>
      <c r="B535" t="s">
        <v>1899</v>
      </c>
      <c r="C535" t="s">
        <v>28</v>
      </c>
      <c r="D535" t="s">
        <v>28</v>
      </c>
      <c r="E535" t="s">
        <v>28</v>
      </c>
      <c r="F535" t="s">
        <v>103</v>
      </c>
      <c r="G535" t="s">
        <v>28</v>
      </c>
      <c r="H535" t="s">
        <v>28</v>
      </c>
      <c r="I535" t="s">
        <v>36</v>
      </c>
      <c r="K535" t="s">
        <v>2553</v>
      </c>
      <c r="L535" t="s">
        <v>48</v>
      </c>
      <c r="M535" t="s">
        <v>48</v>
      </c>
      <c r="N535" t="s">
        <v>48</v>
      </c>
      <c r="O535" t="s">
        <v>2704</v>
      </c>
      <c r="P535" t="s">
        <v>48</v>
      </c>
      <c r="Q535" t="s">
        <v>2746</v>
      </c>
      <c r="R535" t="s">
        <v>2706</v>
      </c>
      <c r="S535" t="s">
        <v>53</v>
      </c>
      <c r="T535" t="s">
        <v>118</v>
      </c>
      <c r="U535" t="s">
        <v>2748</v>
      </c>
      <c r="V535" t="s">
        <v>91</v>
      </c>
    </row>
    <row r="536" spans="1:22" x14ac:dyDescent="0.35">
      <c r="A536" t="s">
        <v>2749</v>
      </c>
      <c r="B536" t="s">
        <v>1875</v>
      </c>
      <c r="C536" t="s">
        <v>28</v>
      </c>
      <c r="D536" t="s">
        <v>44</v>
      </c>
      <c r="E536" t="s">
        <v>157</v>
      </c>
      <c r="F536" t="s">
        <v>173</v>
      </c>
      <c r="G536" t="s">
        <v>28</v>
      </c>
      <c r="H536" t="s">
        <v>45</v>
      </c>
      <c r="I536" t="s">
        <v>36</v>
      </c>
      <c r="K536" t="s">
        <v>2235</v>
      </c>
      <c r="L536" t="s">
        <v>49</v>
      </c>
      <c r="M536" t="s">
        <v>49</v>
      </c>
      <c r="N536" t="s">
        <v>49</v>
      </c>
      <c r="O536" t="s">
        <v>2750</v>
      </c>
      <c r="P536" t="s">
        <v>49</v>
      </c>
      <c r="Q536" t="s">
        <v>2751</v>
      </c>
      <c r="R536" t="s">
        <v>2752</v>
      </c>
      <c r="S536" t="s">
        <v>53</v>
      </c>
      <c r="T536" t="s">
        <v>2246</v>
      </c>
      <c r="U536" t="s">
        <v>2754</v>
      </c>
      <c r="V536" t="s">
        <v>91</v>
      </c>
    </row>
    <row r="537" spans="1:22" x14ac:dyDescent="0.35">
      <c r="A537" t="s">
        <v>2755</v>
      </c>
      <c r="B537" t="s">
        <v>2155</v>
      </c>
      <c r="C537" t="s">
        <v>28</v>
      </c>
      <c r="D537" t="s">
        <v>28</v>
      </c>
      <c r="E537" t="s">
        <v>28</v>
      </c>
      <c r="F537" t="s">
        <v>28</v>
      </c>
      <c r="G537" t="s">
        <v>28</v>
      </c>
      <c r="H537" t="s">
        <v>28</v>
      </c>
      <c r="I537" t="s">
        <v>46</v>
      </c>
      <c r="K537" t="s">
        <v>2756</v>
      </c>
      <c r="L537" t="s">
        <v>38</v>
      </c>
      <c r="M537" t="s">
        <v>38</v>
      </c>
      <c r="N537" t="s">
        <v>38</v>
      </c>
      <c r="O537" t="s">
        <v>2253</v>
      </c>
      <c r="P537" t="s">
        <v>49</v>
      </c>
      <c r="Q537" t="s">
        <v>2244</v>
      </c>
      <c r="R537" t="s">
        <v>2461</v>
      </c>
      <c r="S537" t="s">
        <v>53</v>
      </c>
      <c r="T537" t="s">
        <v>118</v>
      </c>
      <c r="U537" t="s">
        <v>2758</v>
      </c>
      <c r="V537" t="s">
        <v>91</v>
      </c>
    </row>
    <row r="538" spans="1:22" x14ac:dyDescent="0.35">
      <c r="A538" t="s">
        <v>2759</v>
      </c>
      <c r="B538" t="s">
        <v>2760</v>
      </c>
      <c r="C538" t="s">
        <v>29</v>
      </c>
      <c r="D538" t="s">
        <v>29</v>
      </c>
      <c r="E538" t="s">
        <v>29</v>
      </c>
      <c r="F538" t="s">
        <v>30</v>
      </c>
      <c r="G538" t="s">
        <v>30</v>
      </c>
      <c r="H538" t="s">
        <v>94</v>
      </c>
      <c r="I538" t="s">
        <v>36</v>
      </c>
      <c r="K538" t="s">
        <v>2761</v>
      </c>
      <c r="L538" t="s">
        <v>49</v>
      </c>
      <c r="M538" t="s">
        <v>49</v>
      </c>
      <c r="N538" t="s">
        <v>49</v>
      </c>
      <c r="O538" t="s">
        <v>2762</v>
      </c>
      <c r="P538" t="s">
        <v>49</v>
      </c>
      <c r="Q538" t="s">
        <v>2763</v>
      </c>
      <c r="R538" t="s">
        <v>2764</v>
      </c>
      <c r="S538" t="s">
        <v>87</v>
      </c>
      <c r="T538" t="s">
        <v>603</v>
      </c>
      <c r="U538" t="s">
        <v>2765</v>
      </c>
      <c r="V538" t="s">
        <v>129</v>
      </c>
    </row>
    <row r="539" spans="1:22" x14ac:dyDescent="0.35">
      <c r="A539" t="s">
        <v>2766</v>
      </c>
      <c r="B539" t="s">
        <v>1899</v>
      </c>
      <c r="C539" t="s">
        <v>28</v>
      </c>
      <c r="D539" t="s">
        <v>28</v>
      </c>
      <c r="E539" t="s">
        <v>28</v>
      </c>
      <c r="F539" t="s">
        <v>28</v>
      </c>
      <c r="G539" t="s">
        <v>28</v>
      </c>
      <c r="H539" t="s">
        <v>28</v>
      </c>
      <c r="I539" t="s">
        <v>46</v>
      </c>
      <c r="K539" t="s">
        <v>2599</v>
      </c>
      <c r="L539" t="s">
        <v>48</v>
      </c>
      <c r="M539" t="s">
        <v>48</v>
      </c>
      <c r="N539" t="s">
        <v>48</v>
      </c>
      <c r="O539" t="s">
        <v>2704</v>
      </c>
      <c r="P539" t="s">
        <v>48</v>
      </c>
      <c r="Q539" t="s">
        <v>2705</v>
      </c>
      <c r="R539" t="s">
        <v>2706</v>
      </c>
      <c r="S539" t="s">
        <v>53</v>
      </c>
      <c r="T539" t="s">
        <v>118</v>
      </c>
      <c r="U539" t="s">
        <v>2768</v>
      </c>
      <c r="V539" t="s">
        <v>170</v>
      </c>
    </row>
    <row r="540" spans="1:22" x14ac:dyDescent="0.35">
      <c r="A540" t="s">
        <v>2769</v>
      </c>
      <c r="B540" t="s">
        <v>2770</v>
      </c>
      <c r="C540" t="s">
        <v>28</v>
      </c>
      <c r="D540" t="s">
        <v>28</v>
      </c>
      <c r="E540" t="s">
        <v>28</v>
      </c>
      <c r="F540" t="s">
        <v>28</v>
      </c>
      <c r="G540" t="s">
        <v>28</v>
      </c>
      <c r="H540" t="s">
        <v>28</v>
      </c>
      <c r="I540" t="s">
        <v>36</v>
      </c>
      <c r="K540" t="s">
        <v>95</v>
      </c>
      <c r="L540" t="s">
        <v>49</v>
      </c>
      <c r="M540" t="s">
        <v>49</v>
      </c>
      <c r="N540" t="s">
        <v>49</v>
      </c>
      <c r="O540" t="s">
        <v>2771</v>
      </c>
      <c r="P540" t="s">
        <v>49</v>
      </c>
      <c r="Q540" t="s">
        <v>2772</v>
      </c>
      <c r="R540" t="s">
        <v>2773</v>
      </c>
      <c r="S540" t="s">
        <v>65</v>
      </c>
      <c r="T540" t="s">
        <v>100</v>
      </c>
      <c r="U540" t="s">
        <v>2774</v>
      </c>
      <c r="V540" t="s">
        <v>129</v>
      </c>
    </row>
    <row r="541" spans="1:22" x14ac:dyDescent="0.35">
      <c r="A541" t="s">
        <v>2775</v>
      </c>
      <c r="B541" t="s">
        <v>1899</v>
      </c>
      <c r="C541" t="s">
        <v>28</v>
      </c>
      <c r="D541" t="s">
        <v>28</v>
      </c>
      <c r="E541" t="s">
        <v>28</v>
      </c>
      <c r="F541" t="s">
        <v>28</v>
      </c>
      <c r="G541" t="s">
        <v>28</v>
      </c>
      <c r="H541" t="s">
        <v>45</v>
      </c>
      <c r="I541" t="s">
        <v>36</v>
      </c>
      <c r="K541" t="s">
        <v>2635</v>
      </c>
      <c r="L541" t="s">
        <v>48</v>
      </c>
      <c r="M541" t="s">
        <v>48</v>
      </c>
      <c r="N541" t="s">
        <v>49</v>
      </c>
      <c r="O541" t="s">
        <v>2704</v>
      </c>
      <c r="P541" t="s">
        <v>48</v>
      </c>
      <c r="Q541" t="s">
        <v>2705</v>
      </c>
      <c r="R541" t="s">
        <v>2706</v>
      </c>
      <c r="S541" t="s">
        <v>53</v>
      </c>
      <c r="T541" t="s">
        <v>118</v>
      </c>
      <c r="U541" t="s">
        <v>2777</v>
      </c>
      <c r="V541" t="s">
        <v>91</v>
      </c>
    </row>
    <row r="542" spans="1:22" x14ac:dyDescent="0.35">
      <c r="A542" t="s">
        <v>2778</v>
      </c>
      <c r="B542" t="s">
        <v>2591</v>
      </c>
      <c r="C542" t="s">
        <v>33</v>
      </c>
      <c r="D542" t="s">
        <v>33</v>
      </c>
      <c r="E542" t="s">
        <v>33</v>
      </c>
      <c r="F542" t="s">
        <v>34</v>
      </c>
      <c r="G542" t="s">
        <v>34</v>
      </c>
      <c r="H542" t="s">
        <v>74</v>
      </c>
      <c r="I542" t="s">
        <v>46</v>
      </c>
      <c r="K542" t="s">
        <v>2779</v>
      </c>
      <c r="L542" t="s">
        <v>48</v>
      </c>
      <c r="M542" t="s">
        <v>48</v>
      </c>
      <c r="N542" t="s">
        <v>48</v>
      </c>
      <c r="O542" t="s">
        <v>1951</v>
      </c>
      <c r="P542" t="s">
        <v>49</v>
      </c>
      <c r="Q542" t="s">
        <v>1952</v>
      </c>
      <c r="R542" t="s">
        <v>1976</v>
      </c>
      <c r="S542" t="s">
        <v>53</v>
      </c>
      <c r="T542" t="s">
        <v>118</v>
      </c>
      <c r="U542" t="s">
        <v>2781</v>
      </c>
      <c r="V542" t="s">
        <v>91</v>
      </c>
    </row>
    <row r="543" spans="1:22" x14ac:dyDescent="0.35">
      <c r="A543" t="s">
        <v>2782</v>
      </c>
      <c r="B543" t="s">
        <v>2155</v>
      </c>
      <c r="C543" t="s">
        <v>28</v>
      </c>
      <c r="D543" t="s">
        <v>28</v>
      </c>
      <c r="E543" t="s">
        <v>28</v>
      </c>
      <c r="F543" t="s">
        <v>28</v>
      </c>
      <c r="G543" t="s">
        <v>103</v>
      </c>
      <c r="H543" t="s">
        <v>28</v>
      </c>
      <c r="I543" t="s">
        <v>36</v>
      </c>
      <c r="K543" t="s">
        <v>2756</v>
      </c>
      <c r="L543" t="s">
        <v>38</v>
      </c>
      <c r="M543" t="s">
        <v>49</v>
      </c>
      <c r="N543" t="s">
        <v>49</v>
      </c>
      <c r="O543" t="s">
        <v>2195</v>
      </c>
      <c r="P543" t="s">
        <v>49</v>
      </c>
      <c r="Q543" t="s">
        <v>2186</v>
      </c>
      <c r="R543" t="s">
        <v>2471</v>
      </c>
      <c r="S543" t="s">
        <v>53</v>
      </c>
      <c r="T543" t="s">
        <v>118</v>
      </c>
      <c r="U543" t="s">
        <v>2784</v>
      </c>
      <c r="V543" t="s">
        <v>91</v>
      </c>
    </row>
    <row r="544" spans="1:22" x14ac:dyDescent="0.35">
      <c r="A544" t="s">
        <v>2785</v>
      </c>
      <c r="B544" t="s">
        <v>1899</v>
      </c>
      <c r="C544" t="s">
        <v>28</v>
      </c>
      <c r="D544" t="s">
        <v>28</v>
      </c>
      <c r="E544" t="s">
        <v>28</v>
      </c>
      <c r="F544" t="s">
        <v>28</v>
      </c>
      <c r="G544" t="s">
        <v>28</v>
      </c>
      <c r="H544" t="s">
        <v>28</v>
      </c>
      <c r="I544" t="s">
        <v>36</v>
      </c>
      <c r="K544" t="s">
        <v>2635</v>
      </c>
      <c r="L544" t="s">
        <v>48</v>
      </c>
      <c r="M544" t="s">
        <v>48</v>
      </c>
      <c r="N544" t="s">
        <v>49</v>
      </c>
      <c r="O544" t="s">
        <v>2704</v>
      </c>
      <c r="P544" t="s">
        <v>48</v>
      </c>
      <c r="Q544" t="s">
        <v>2705</v>
      </c>
      <c r="R544" t="s">
        <v>2706</v>
      </c>
      <c r="S544" t="s">
        <v>53</v>
      </c>
      <c r="T544" t="s">
        <v>118</v>
      </c>
      <c r="U544" t="s">
        <v>2787</v>
      </c>
      <c r="V544" t="s">
        <v>170</v>
      </c>
    </row>
    <row r="545" spans="1:22" x14ac:dyDescent="0.35">
      <c r="A545" t="s">
        <v>2788</v>
      </c>
      <c r="B545" t="s">
        <v>1899</v>
      </c>
      <c r="C545" t="s">
        <v>28</v>
      </c>
      <c r="D545" t="s">
        <v>28</v>
      </c>
      <c r="E545" t="s">
        <v>44</v>
      </c>
      <c r="F545" t="s">
        <v>158</v>
      </c>
      <c r="G545" t="s">
        <v>103</v>
      </c>
      <c r="H545" t="s">
        <v>35</v>
      </c>
      <c r="I545" t="s">
        <v>46</v>
      </c>
      <c r="K545" t="s">
        <v>2635</v>
      </c>
      <c r="L545" t="s">
        <v>48</v>
      </c>
      <c r="M545" t="s">
        <v>48</v>
      </c>
      <c r="N545" t="s">
        <v>48</v>
      </c>
      <c r="O545" t="s">
        <v>2704</v>
      </c>
      <c r="P545" t="s">
        <v>48</v>
      </c>
      <c r="Q545" t="s">
        <v>2705</v>
      </c>
      <c r="R545" t="s">
        <v>2706</v>
      </c>
      <c r="S545" t="s">
        <v>53</v>
      </c>
      <c r="T545" t="s">
        <v>118</v>
      </c>
      <c r="U545" t="s">
        <v>2790</v>
      </c>
      <c r="V545" t="s">
        <v>170</v>
      </c>
    </row>
    <row r="546" spans="1:22" x14ac:dyDescent="0.35">
      <c r="A546" t="s">
        <v>2791</v>
      </c>
      <c r="B546" t="s">
        <v>2591</v>
      </c>
      <c r="C546" t="s">
        <v>33</v>
      </c>
      <c r="D546" t="s">
        <v>33</v>
      </c>
      <c r="E546" t="s">
        <v>33</v>
      </c>
      <c r="F546" t="s">
        <v>34</v>
      </c>
      <c r="G546" t="s">
        <v>34</v>
      </c>
      <c r="H546" t="s">
        <v>74</v>
      </c>
      <c r="I546" t="s">
        <v>46</v>
      </c>
      <c r="K546" t="s">
        <v>2792</v>
      </c>
      <c r="L546" t="s">
        <v>48</v>
      </c>
      <c r="M546" t="s">
        <v>49</v>
      </c>
      <c r="N546" t="s">
        <v>48</v>
      </c>
      <c r="O546" t="s">
        <v>1951</v>
      </c>
      <c r="P546" t="s">
        <v>49</v>
      </c>
      <c r="Q546" t="s">
        <v>1952</v>
      </c>
      <c r="R546" t="s">
        <v>1976</v>
      </c>
      <c r="S546" t="s">
        <v>53</v>
      </c>
      <c r="T546" t="s">
        <v>118</v>
      </c>
      <c r="U546" t="s">
        <v>2794</v>
      </c>
      <c r="V546" t="s">
        <v>91</v>
      </c>
    </row>
    <row r="547" spans="1:22" x14ac:dyDescent="0.35">
      <c r="A547" t="s">
        <v>2795</v>
      </c>
      <c r="B547" t="s">
        <v>2155</v>
      </c>
      <c r="C547" t="s">
        <v>28</v>
      </c>
      <c r="D547" t="s">
        <v>28</v>
      </c>
      <c r="E547" t="s">
        <v>28</v>
      </c>
      <c r="F547" t="s">
        <v>28</v>
      </c>
      <c r="G547" t="s">
        <v>28</v>
      </c>
      <c r="H547" t="s">
        <v>35</v>
      </c>
      <c r="I547" t="s">
        <v>46</v>
      </c>
      <c r="K547" t="s">
        <v>2756</v>
      </c>
      <c r="L547" t="s">
        <v>49</v>
      </c>
      <c r="M547" t="s">
        <v>49</v>
      </c>
      <c r="N547" t="s">
        <v>49</v>
      </c>
      <c r="O547" t="s">
        <v>2796</v>
      </c>
      <c r="P547" t="s">
        <v>49</v>
      </c>
      <c r="Q547" t="s">
        <v>2244</v>
      </c>
      <c r="R547" t="s">
        <v>2461</v>
      </c>
      <c r="S547" t="s">
        <v>53</v>
      </c>
      <c r="T547" t="s">
        <v>118</v>
      </c>
      <c r="U547" t="s">
        <v>2798</v>
      </c>
      <c r="V547" t="s">
        <v>91</v>
      </c>
    </row>
    <row r="548" spans="1:22" x14ac:dyDescent="0.35">
      <c r="A548" t="s">
        <v>2506</v>
      </c>
      <c r="B548" t="s">
        <v>2405</v>
      </c>
      <c r="C548" t="s">
        <v>60</v>
      </c>
      <c r="D548" t="s">
        <v>28</v>
      </c>
      <c r="E548" t="s">
        <v>206</v>
      </c>
      <c r="F548" t="s">
        <v>158</v>
      </c>
      <c r="G548" t="s">
        <v>173</v>
      </c>
      <c r="H548" t="s">
        <v>28</v>
      </c>
      <c r="I548" t="s">
        <v>46</v>
      </c>
      <c r="K548" t="s">
        <v>2317</v>
      </c>
      <c r="L548" t="s">
        <v>48</v>
      </c>
      <c r="M548" t="s">
        <v>48</v>
      </c>
      <c r="N548" t="s">
        <v>48</v>
      </c>
      <c r="O548" t="s">
        <v>1951</v>
      </c>
      <c r="P548" t="s">
        <v>48</v>
      </c>
      <c r="Q548" t="s">
        <v>1952</v>
      </c>
      <c r="R548" t="s">
        <v>1976</v>
      </c>
      <c r="S548" t="s">
        <v>53</v>
      </c>
      <c r="T548" t="s">
        <v>118</v>
      </c>
      <c r="U548" t="s">
        <v>2508</v>
      </c>
      <c r="V548" t="s">
        <v>91</v>
      </c>
    </row>
    <row r="549" spans="1:22" x14ac:dyDescent="0.35">
      <c r="A549" t="s">
        <v>2799</v>
      </c>
      <c r="B549" t="s">
        <v>1899</v>
      </c>
      <c r="C549" t="s">
        <v>28</v>
      </c>
      <c r="D549" t="s">
        <v>28</v>
      </c>
      <c r="E549" t="s">
        <v>28</v>
      </c>
      <c r="F549" t="s">
        <v>28</v>
      </c>
      <c r="G549" t="s">
        <v>28</v>
      </c>
      <c r="H549" t="s">
        <v>28</v>
      </c>
      <c r="I549" t="s">
        <v>46</v>
      </c>
      <c r="K549" t="s">
        <v>2635</v>
      </c>
      <c r="L549" t="s">
        <v>48</v>
      </c>
      <c r="M549" t="s">
        <v>48</v>
      </c>
      <c r="N549" t="s">
        <v>48</v>
      </c>
      <c r="O549" t="s">
        <v>2704</v>
      </c>
      <c r="P549" t="s">
        <v>48</v>
      </c>
      <c r="Q549" t="s">
        <v>2705</v>
      </c>
      <c r="R549" t="s">
        <v>2706</v>
      </c>
      <c r="S549" t="s">
        <v>53</v>
      </c>
      <c r="T549" t="s">
        <v>118</v>
      </c>
      <c r="U549" t="s">
        <v>2801</v>
      </c>
      <c r="V549" t="s">
        <v>91</v>
      </c>
    </row>
    <row r="550" spans="1:22" x14ac:dyDescent="0.35">
      <c r="A550" t="s">
        <v>2802</v>
      </c>
      <c r="B550" t="s">
        <v>2155</v>
      </c>
      <c r="C550" t="s">
        <v>28</v>
      </c>
      <c r="D550" t="s">
        <v>60</v>
      </c>
      <c r="E550" t="s">
        <v>28</v>
      </c>
      <c r="F550" t="s">
        <v>28</v>
      </c>
      <c r="G550" t="s">
        <v>28</v>
      </c>
      <c r="H550" t="s">
        <v>28</v>
      </c>
      <c r="I550" t="s">
        <v>46</v>
      </c>
      <c r="K550" t="s">
        <v>2756</v>
      </c>
      <c r="L550" t="s">
        <v>38</v>
      </c>
      <c r="M550" t="s">
        <v>38</v>
      </c>
      <c r="N550" t="s">
        <v>49</v>
      </c>
      <c r="O550" t="s">
        <v>2803</v>
      </c>
      <c r="P550" t="s">
        <v>38</v>
      </c>
      <c r="Q550" t="s">
        <v>2304</v>
      </c>
      <c r="R550" t="s">
        <v>2175</v>
      </c>
      <c r="S550" t="s">
        <v>53</v>
      </c>
      <c r="T550" t="s">
        <v>118</v>
      </c>
      <c r="U550" t="s">
        <v>2805</v>
      </c>
      <c r="V550" t="s">
        <v>91</v>
      </c>
    </row>
    <row r="551" spans="1:22" x14ac:dyDescent="0.35">
      <c r="A551" t="s">
        <v>2806</v>
      </c>
      <c r="B551" t="s">
        <v>1899</v>
      </c>
      <c r="C551" t="s">
        <v>28</v>
      </c>
      <c r="D551" t="s">
        <v>28</v>
      </c>
      <c r="E551" t="s">
        <v>28</v>
      </c>
      <c r="F551" t="s">
        <v>28</v>
      </c>
      <c r="G551" t="s">
        <v>28</v>
      </c>
      <c r="H551" t="s">
        <v>28</v>
      </c>
      <c r="I551" t="s">
        <v>46</v>
      </c>
      <c r="K551" t="s">
        <v>2635</v>
      </c>
      <c r="L551" t="s">
        <v>48</v>
      </c>
      <c r="M551" t="s">
        <v>48</v>
      </c>
      <c r="O551" t="s">
        <v>2704</v>
      </c>
      <c r="P551" t="s">
        <v>48</v>
      </c>
      <c r="Q551" t="s">
        <v>2705</v>
      </c>
      <c r="R551" t="s">
        <v>2706</v>
      </c>
      <c r="S551" t="s">
        <v>53</v>
      </c>
      <c r="T551" t="s">
        <v>118</v>
      </c>
      <c r="U551" t="s">
        <v>2808</v>
      </c>
      <c r="V551" t="s">
        <v>170</v>
      </c>
    </row>
    <row r="552" spans="1:22" x14ac:dyDescent="0.35">
      <c r="A552" t="s">
        <v>2809</v>
      </c>
      <c r="B552" t="s">
        <v>2405</v>
      </c>
      <c r="C552" t="s">
        <v>28</v>
      </c>
      <c r="D552" t="s">
        <v>60</v>
      </c>
      <c r="E552" t="s">
        <v>44</v>
      </c>
      <c r="F552" t="s">
        <v>158</v>
      </c>
      <c r="G552" t="s">
        <v>94</v>
      </c>
      <c r="H552" t="s">
        <v>292</v>
      </c>
      <c r="I552" t="s">
        <v>46</v>
      </c>
      <c r="K552" t="s">
        <v>2338</v>
      </c>
      <c r="L552" t="s">
        <v>48</v>
      </c>
      <c r="M552" t="s">
        <v>48</v>
      </c>
      <c r="N552" t="s">
        <v>48</v>
      </c>
      <c r="O552" t="s">
        <v>1951</v>
      </c>
      <c r="P552" t="s">
        <v>48</v>
      </c>
      <c r="Q552" t="s">
        <v>1952</v>
      </c>
      <c r="R552" t="s">
        <v>1976</v>
      </c>
      <c r="S552" t="s">
        <v>53</v>
      </c>
      <c r="T552" t="s">
        <v>2737</v>
      </c>
      <c r="U552" t="s">
        <v>2811</v>
      </c>
      <c r="V552" t="s">
        <v>91</v>
      </c>
    </row>
    <row r="553" spans="1:22" x14ac:dyDescent="0.35">
      <c r="A553" t="s">
        <v>2256</v>
      </c>
      <c r="B553" t="s">
        <v>1875</v>
      </c>
      <c r="C553" t="s">
        <v>44</v>
      </c>
      <c r="D553" t="s">
        <v>60</v>
      </c>
      <c r="E553" t="s">
        <v>284</v>
      </c>
      <c r="F553" t="s">
        <v>173</v>
      </c>
      <c r="G553" t="s">
        <v>103</v>
      </c>
      <c r="H553" t="s">
        <v>45</v>
      </c>
      <c r="I553" t="s">
        <v>46</v>
      </c>
      <c r="K553" t="s">
        <v>2235</v>
      </c>
      <c r="L553" t="s">
        <v>49</v>
      </c>
      <c r="M553" t="s">
        <v>49</v>
      </c>
      <c r="N553" t="s">
        <v>49</v>
      </c>
      <c r="O553" t="s">
        <v>2812</v>
      </c>
      <c r="P553" t="s">
        <v>48</v>
      </c>
      <c r="Q553" t="s">
        <v>2813</v>
      </c>
      <c r="R553" t="s">
        <v>2814</v>
      </c>
      <c r="S553" t="s">
        <v>53</v>
      </c>
      <c r="T553" t="s">
        <v>2246</v>
      </c>
      <c r="U553" t="s">
        <v>2815</v>
      </c>
      <c r="V553" t="s">
        <v>91</v>
      </c>
    </row>
    <row r="554" spans="1:22" x14ac:dyDescent="0.35">
      <c r="A554" t="s">
        <v>2816</v>
      </c>
      <c r="B554" t="s">
        <v>1899</v>
      </c>
      <c r="C554" t="s">
        <v>28</v>
      </c>
      <c r="D554" t="s">
        <v>28</v>
      </c>
      <c r="E554" t="s">
        <v>28</v>
      </c>
      <c r="F554" t="s">
        <v>28</v>
      </c>
      <c r="G554" t="s">
        <v>28</v>
      </c>
      <c r="H554" t="s">
        <v>28</v>
      </c>
      <c r="I554" t="s">
        <v>36</v>
      </c>
      <c r="K554" t="s">
        <v>2756</v>
      </c>
      <c r="L554" t="s">
        <v>48</v>
      </c>
      <c r="M554" t="s">
        <v>48</v>
      </c>
      <c r="N554" t="s">
        <v>48</v>
      </c>
      <c r="O554" t="s">
        <v>2704</v>
      </c>
      <c r="P554" t="s">
        <v>48</v>
      </c>
      <c r="Q554" t="s">
        <v>2705</v>
      </c>
      <c r="R554" t="s">
        <v>2706</v>
      </c>
      <c r="S554" t="s">
        <v>53</v>
      </c>
      <c r="T554" t="s">
        <v>118</v>
      </c>
      <c r="U554" t="s">
        <v>2818</v>
      </c>
      <c r="V554" t="s">
        <v>91</v>
      </c>
    </row>
    <row r="555" spans="1:22" x14ac:dyDescent="0.35">
      <c r="A555" t="s">
        <v>2819</v>
      </c>
      <c r="B555" t="s">
        <v>2820</v>
      </c>
      <c r="C555" t="s">
        <v>44</v>
      </c>
      <c r="D555" t="s">
        <v>158</v>
      </c>
      <c r="E555" t="s">
        <v>28</v>
      </c>
      <c r="F555" t="s">
        <v>103</v>
      </c>
      <c r="G555" t="s">
        <v>45</v>
      </c>
      <c r="H555" t="s">
        <v>292</v>
      </c>
      <c r="I555" t="s">
        <v>46</v>
      </c>
      <c r="K555" t="s">
        <v>2821</v>
      </c>
      <c r="L555" t="s">
        <v>38</v>
      </c>
      <c r="M555" t="s">
        <v>49</v>
      </c>
      <c r="O555" t="s">
        <v>2822</v>
      </c>
      <c r="P555" t="s">
        <v>49</v>
      </c>
      <c r="Q555" t="s">
        <v>2823</v>
      </c>
      <c r="R555" t="s">
        <v>2824</v>
      </c>
      <c r="S555" t="s">
        <v>53</v>
      </c>
      <c r="T555" t="s">
        <v>2743</v>
      </c>
      <c r="U555" t="s">
        <v>2826</v>
      </c>
      <c r="V555" t="s">
        <v>91</v>
      </c>
    </row>
    <row r="556" spans="1:22" x14ac:dyDescent="0.35">
      <c r="A556" t="s">
        <v>2827</v>
      </c>
      <c r="B556" t="s">
        <v>2155</v>
      </c>
      <c r="C556" t="s">
        <v>28</v>
      </c>
      <c r="D556" t="s">
        <v>28</v>
      </c>
      <c r="E556" t="s">
        <v>28</v>
      </c>
      <c r="F556" t="s">
        <v>28</v>
      </c>
      <c r="G556" t="s">
        <v>28</v>
      </c>
      <c r="H556" t="s">
        <v>28</v>
      </c>
      <c r="I556" t="s">
        <v>46</v>
      </c>
      <c r="K556" t="s">
        <v>2828</v>
      </c>
      <c r="L556" t="s">
        <v>38</v>
      </c>
      <c r="M556" t="s">
        <v>38</v>
      </c>
      <c r="N556" t="s">
        <v>49</v>
      </c>
      <c r="O556" t="s">
        <v>2195</v>
      </c>
      <c r="P556" t="s">
        <v>49</v>
      </c>
      <c r="Q556" t="s">
        <v>2186</v>
      </c>
      <c r="R556" t="s">
        <v>2175</v>
      </c>
      <c r="S556" t="s">
        <v>53</v>
      </c>
      <c r="T556" t="s">
        <v>118</v>
      </c>
      <c r="U556" t="s">
        <v>2830</v>
      </c>
      <c r="V556" t="s">
        <v>91</v>
      </c>
    </row>
    <row r="557" spans="1:22" x14ac:dyDescent="0.35">
      <c r="A557" t="s">
        <v>2831</v>
      </c>
      <c r="B557" t="s">
        <v>1875</v>
      </c>
      <c r="C557" t="s">
        <v>377</v>
      </c>
      <c r="D557" t="s">
        <v>158</v>
      </c>
      <c r="E557" t="s">
        <v>44</v>
      </c>
      <c r="F557" t="s">
        <v>28</v>
      </c>
      <c r="G557" t="s">
        <v>45</v>
      </c>
      <c r="H557" t="s">
        <v>35</v>
      </c>
      <c r="I557" t="s">
        <v>36</v>
      </c>
      <c r="K557" t="s">
        <v>2832</v>
      </c>
      <c r="L557" t="s">
        <v>49</v>
      </c>
      <c r="M557" t="s">
        <v>49</v>
      </c>
      <c r="N557" t="s">
        <v>48</v>
      </c>
      <c r="O557" t="s">
        <v>2833</v>
      </c>
      <c r="P557" t="s">
        <v>49</v>
      </c>
      <c r="Q557" t="s">
        <v>2834</v>
      </c>
      <c r="R557" t="s">
        <v>2835</v>
      </c>
      <c r="S557" t="s">
        <v>53</v>
      </c>
      <c r="T557" t="s">
        <v>834</v>
      </c>
      <c r="U557" t="s">
        <v>2837</v>
      </c>
      <c r="V557" t="s">
        <v>91</v>
      </c>
    </row>
    <row r="558" spans="1:22" x14ac:dyDescent="0.35">
      <c r="A558" t="s">
        <v>2838</v>
      </c>
      <c r="B558" t="s">
        <v>1899</v>
      </c>
      <c r="C558" t="s">
        <v>28</v>
      </c>
      <c r="D558" t="s">
        <v>28</v>
      </c>
      <c r="E558" t="s">
        <v>28</v>
      </c>
      <c r="F558" t="s">
        <v>28</v>
      </c>
      <c r="G558" t="s">
        <v>28</v>
      </c>
      <c r="H558" t="s">
        <v>28</v>
      </c>
      <c r="I558" t="s">
        <v>36</v>
      </c>
      <c r="K558" t="s">
        <v>2756</v>
      </c>
      <c r="L558" t="s">
        <v>48</v>
      </c>
      <c r="M558" t="s">
        <v>48</v>
      </c>
      <c r="N558" t="s">
        <v>48</v>
      </c>
      <c r="O558" t="s">
        <v>2839</v>
      </c>
      <c r="P558" t="s">
        <v>49</v>
      </c>
      <c r="Q558" t="s">
        <v>2705</v>
      </c>
      <c r="R558" t="s">
        <v>2840</v>
      </c>
      <c r="S558" t="s">
        <v>53</v>
      </c>
      <c r="T558" t="s">
        <v>118</v>
      </c>
      <c r="U558" t="s">
        <v>2842</v>
      </c>
      <c r="V558" t="s">
        <v>91</v>
      </c>
    </row>
    <row r="559" spans="1:22" x14ac:dyDescent="0.35">
      <c r="A559" t="s">
        <v>2843</v>
      </c>
      <c r="B559" t="s">
        <v>1899</v>
      </c>
      <c r="C559" t="s">
        <v>28</v>
      </c>
      <c r="D559" t="s">
        <v>28</v>
      </c>
      <c r="E559" t="s">
        <v>28</v>
      </c>
      <c r="F559" t="s">
        <v>28</v>
      </c>
      <c r="G559" t="s">
        <v>28</v>
      </c>
      <c r="H559" t="s">
        <v>28</v>
      </c>
      <c r="I559" t="s">
        <v>46</v>
      </c>
      <c r="K559" t="s">
        <v>2756</v>
      </c>
      <c r="L559" t="s">
        <v>48</v>
      </c>
      <c r="M559" t="s">
        <v>48</v>
      </c>
      <c r="N559" t="s">
        <v>48</v>
      </c>
      <c r="O559" t="s">
        <v>2704</v>
      </c>
      <c r="P559" t="s">
        <v>48</v>
      </c>
      <c r="Q559" t="s">
        <v>2705</v>
      </c>
      <c r="R559" t="s">
        <v>2706</v>
      </c>
      <c r="S559" t="s">
        <v>53</v>
      </c>
      <c r="T559" t="s">
        <v>118</v>
      </c>
      <c r="U559" t="s">
        <v>2845</v>
      </c>
      <c r="V559" t="s">
        <v>91</v>
      </c>
    </row>
    <row r="560" spans="1:22" x14ac:dyDescent="0.35">
      <c r="A560" t="s">
        <v>2846</v>
      </c>
      <c r="B560" t="s">
        <v>1875</v>
      </c>
      <c r="C560" t="s">
        <v>60</v>
      </c>
      <c r="D560" t="s">
        <v>197</v>
      </c>
      <c r="E560" t="s">
        <v>284</v>
      </c>
      <c r="F560" t="s">
        <v>103</v>
      </c>
      <c r="G560" t="s">
        <v>368</v>
      </c>
      <c r="H560" t="s">
        <v>45</v>
      </c>
      <c r="I560" t="s">
        <v>46</v>
      </c>
      <c r="K560" t="s">
        <v>2276</v>
      </c>
      <c r="L560" t="s">
        <v>49</v>
      </c>
      <c r="M560" t="s">
        <v>49</v>
      </c>
      <c r="N560" t="s">
        <v>48</v>
      </c>
      <c r="O560" t="s">
        <v>2847</v>
      </c>
      <c r="P560" t="s">
        <v>49</v>
      </c>
      <c r="Q560" t="s">
        <v>2848</v>
      </c>
      <c r="R560" t="s">
        <v>2849</v>
      </c>
      <c r="S560" t="s">
        <v>53</v>
      </c>
      <c r="T560" t="s">
        <v>118</v>
      </c>
      <c r="U560" t="s">
        <v>2851</v>
      </c>
      <c r="V560" t="s">
        <v>91</v>
      </c>
    </row>
    <row r="561" spans="1:22" x14ac:dyDescent="0.35">
      <c r="A561" t="s">
        <v>2852</v>
      </c>
      <c r="B561" t="s">
        <v>1899</v>
      </c>
      <c r="C561" t="s">
        <v>28</v>
      </c>
      <c r="D561" t="s">
        <v>28</v>
      </c>
      <c r="E561" t="s">
        <v>28</v>
      </c>
      <c r="F561" t="s">
        <v>28</v>
      </c>
      <c r="G561" t="s">
        <v>28</v>
      </c>
      <c r="H561" t="s">
        <v>28</v>
      </c>
      <c r="I561" t="s">
        <v>46</v>
      </c>
      <c r="K561" t="s">
        <v>2756</v>
      </c>
      <c r="L561" t="s">
        <v>48</v>
      </c>
      <c r="M561" t="s">
        <v>48</v>
      </c>
      <c r="N561" t="s">
        <v>48</v>
      </c>
      <c r="O561" t="s">
        <v>2704</v>
      </c>
      <c r="P561" t="s">
        <v>48</v>
      </c>
      <c r="Q561" t="s">
        <v>2705</v>
      </c>
      <c r="R561" t="s">
        <v>2706</v>
      </c>
      <c r="S561" t="s">
        <v>53</v>
      </c>
      <c r="T561" t="s">
        <v>118</v>
      </c>
      <c r="U561" t="s">
        <v>2854</v>
      </c>
      <c r="V561" t="s">
        <v>91</v>
      </c>
    </row>
    <row r="562" spans="1:22" x14ac:dyDescent="0.35">
      <c r="A562" t="s">
        <v>2855</v>
      </c>
      <c r="B562" t="s">
        <v>2155</v>
      </c>
      <c r="C562" t="s">
        <v>377</v>
      </c>
      <c r="D562" t="s">
        <v>28</v>
      </c>
      <c r="E562" t="s">
        <v>29</v>
      </c>
      <c r="F562" t="s">
        <v>30</v>
      </c>
      <c r="G562" t="s">
        <v>28</v>
      </c>
      <c r="H562" t="s">
        <v>28</v>
      </c>
      <c r="I562" t="s">
        <v>46</v>
      </c>
      <c r="K562" t="s">
        <v>2828</v>
      </c>
      <c r="L562" t="s">
        <v>38</v>
      </c>
      <c r="M562" t="s">
        <v>49</v>
      </c>
      <c r="N562" t="s">
        <v>49</v>
      </c>
      <c r="O562" t="s">
        <v>2195</v>
      </c>
      <c r="P562" t="s">
        <v>49</v>
      </c>
      <c r="Q562" t="s">
        <v>2636</v>
      </c>
      <c r="R562" t="s">
        <v>2175</v>
      </c>
      <c r="S562" t="s">
        <v>53</v>
      </c>
      <c r="T562" t="s">
        <v>118</v>
      </c>
      <c r="U562" t="s">
        <v>2857</v>
      </c>
      <c r="V562" t="s">
        <v>91</v>
      </c>
    </row>
    <row r="563" spans="1:22" x14ac:dyDescent="0.35">
      <c r="A563" t="s">
        <v>2858</v>
      </c>
      <c r="B563" t="s">
        <v>2859</v>
      </c>
      <c r="C563" t="s">
        <v>344</v>
      </c>
      <c r="D563" t="s">
        <v>28</v>
      </c>
      <c r="E563" t="s">
        <v>28</v>
      </c>
      <c r="F563" t="s">
        <v>28</v>
      </c>
      <c r="G563" t="s">
        <v>94</v>
      </c>
      <c r="H563" t="s">
        <v>28</v>
      </c>
      <c r="I563" t="s">
        <v>36</v>
      </c>
      <c r="K563" t="s">
        <v>2860</v>
      </c>
      <c r="L563" t="s">
        <v>38</v>
      </c>
      <c r="M563" t="s">
        <v>38</v>
      </c>
      <c r="N563" t="s">
        <v>38</v>
      </c>
      <c r="O563" t="s">
        <v>2822</v>
      </c>
      <c r="P563" t="s">
        <v>38</v>
      </c>
      <c r="Q563" t="s">
        <v>2823</v>
      </c>
      <c r="R563" t="s">
        <v>2824</v>
      </c>
      <c r="S563" t="s">
        <v>53</v>
      </c>
      <c r="T563" t="s">
        <v>1030</v>
      </c>
      <c r="U563" t="s">
        <v>2594</v>
      </c>
      <c r="V563" t="s">
        <v>91</v>
      </c>
    </row>
    <row r="564" spans="1:22" x14ac:dyDescent="0.35">
      <c r="A564" t="s">
        <v>2862</v>
      </c>
      <c r="B564" t="s">
        <v>1875</v>
      </c>
      <c r="C564" t="s">
        <v>60</v>
      </c>
      <c r="D564" t="s">
        <v>28</v>
      </c>
      <c r="E564" t="s">
        <v>44</v>
      </c>
      <c r="F564" t="s">
        <v>196</v>
      </c>
      <c r="G564" t="s">
        <v>45</v>
      </c>
      <c r="H564" t="s">
        <v>368</v>
      </c>
      <c r="I564" t="s">
        <v>46</v>
      </c>
      <c r="K564" t="s">
        <v>2276</v>
      </c>
      <c r="L564" t="s">
        <v>49</v>
      </c>
      <c r="M564" t="s">
        <v>49</v>
      </c>
      <c r="N564" t="s">
        <v>49</v>
      </c>
      <c r="O564" t="s">
        <v>2863</v>
      </c>
      <c r="P564" t="s">
        <v>49</v>
      </c>
      <c r="Q564" t="s">
        <v>2864</v>
      </c>
      <c r="R564" t="s">
        <v>2865</v>
      </c>
      <c r="S564" t="s">
        <v>53</v>
      </c>
      <c r="T564" t="s">
        <v>118</v>
      </c>
      <c r="U564" t="s">
        <v>2867</v>
      </c>
      <c r="V564" t="s">
        <v>91</v>
      </c>
    </row>
    <row r="565" spans="1:22" x14ac:dyDescent="0.35">
      <c r="A565" t="s">
        <v>2868</v>
      </c>
      <c r="B565" t="s">
        <v>1899</v>
      </c>
      <c r="C565" t="s">
        <v>28</v>
      </c>
      <c r="D565" t="s">
        <v>28</v>
      </c>
      <c r="E565" t="s">
        <v>28</v>
      </c>
      <c r="F565" t="s">
        <v>28</v>
      </c>
      <c r="G565" t="s">
        <v>28</v>
      </c>
      <c r="H565" t="s">
        <v>28</v>
      </c>
      <c r="I565" t="s">
        <v>46</v>
      </c>
      <c r="K565" t="s">
        <v>2828</v>
      </c>
      <c r="L565" t="s">
        <v>48</v>
      </c>
      <c r="M565" t="s">
        <v>48</v>
      </c>
      <c r="N565" t="s">
        <v>48</v>
      </c>
      <c r="O565" t="s">
        <v>2704</v>
      </c>
      <c r="P565" t="s">
        <v>48</v>
      </c>
      <c r="Q565" t="s">
        <v>2705</v>
      </c>
      <c r="R565" t="s">
        <v>2706</v>
      </c>
      <c r="S565" t="s">
        <v>53</v>
      </c>
      <c r="T565" t="s">
        <v>118</v>
      </c>
      <c r="U565" t="s">
        <v>2870</v>
      </c>
      <c r="V565" t="s">
        <v>91</v>
      </c>
    </row>
    <row r="566" spans="1:22" x14ac:dyDescent="0.35">
      <c r="A566" t="s">
        <v>2871</v>
      </c>
      <c r="B566" t="s">
        <v>2155</v>
      </c>
      <c r="C566" t="s">
        <v>29</v>
      </c>
      <c r="D566" t="s">
        <v>29</v>
      </c>
      <c r="E566" t="s">
        <v>29</v>
      </c>
      <c r="F566" t="s">
        <v>30</v>
      </c>
      <c r="G566" t="s">
        <v>30</v>
      </c>
      <c r="H566" t="s">
        <v>28</v>
      </c>
      <c r="I566" t="s">
        <v>46</v>
      </c>
      <c r="K566" t="s">
        <v>2369</v>
      </c>
      <c r="L566" t="s">
        <v>49</v>
      </c>
      <c r="M566" t="s">
        <v>49</v>
      </c>
      <c r="N566" t="s">
        <v>49</v>
      </c>
      <c r="O566" t="s">
        <v>2822</v>
      </c>
      <c r="P566" t="s">
        <v>49</v>
      </c>
      <c r="Q566" t="s">
        <v>2872</v>
      </c>
      <c r="R566" t="s">
        <v>2824</v>
      </c>
      <c r="S566" t="s">
        <v>87</v>
      </c>
      <c r="T566" t="s">
        <v>1030</v>
      </c>
      <c r="U566" t="s">
        <v>2874</v>
      </c>
      <c r="V566" t="s">
        <v>91</v>
      </c>
    </row>
    <row r="567" spans="1:22" x14ac:dyDescent="0.35">
      <c r="A567" t="s">
        <v>2875</v>
      </c>
      <c r="B567" t="s">
        <v>1899</v>
      </c>
      <c r="C567" t="s">
        <v>28</v>
      </c>
      <c r="D567" t="s">
        <v>28</v>
      </c>
      <c r="E567" t="s">
        <v>28</v>
      </c>
      <c r="F567" t="s">
        <v>28</v>
      </c>
      <c r="G567" t="s">
        <v>28</v>
      </c>
      <c r="H567" t="s">
        <v>28</v>
      </c>
      <c r="I567" t="s">
        <v>46</v>
      </c>
      <c r="K567" t="s">
        <v>2828</v>
      </c>
      <c r="L567" t="s">
        <v>48</v>
      </c>
      <c r="M567" t="s">
        <v>48</v>
      </c>
      <c r="N567" t="s">
        <v>48</v>
      </c>
      <c r="O567" t="s">
        <v>2704</v>
      </c>
      <c r="P567" t="s">
        <v>48</v>
      </c>
      <c r="Q567" t="s">
        <v>2705</v>
      </c>
      <c r="R567" t="s">
        <v>2706</v>
      </c>
      <c r="S567" t="s">
        <v>53</v>
      </c>
      <c r="T567" t="s">
        <v>118</v>
      </c>
      <c r="U567" t="s">
        <v>2877</v>
      </c>
      <c r="V567" t="s">
        <v>91</v>
      </c>
    </row>
    <row r="568" spans="1:22" x14ac:dyDescent="0.35">
      <c r="A568" t="s">
        <v>2878</v>
      </c>
      <c r="B568" t="s">
        <v>2155</v>
      </c>
      <c r="C568" t="s">
        <v>28</v>
      </c>
      <c r="D568" t="s">
        <v>28</v>
      </c>
      <c r="E568" t="s">
        <v>28</v>
      </c>
      <c r="F568" t="s">
        <v>28</v>
      </c>
      <c r="G568" t="s">
        <v>28</v>
      </c>
      <c r="H568" t="s">
        <v>28</v>
      </c>
      <c r="I568" t="s">
        <v>46</v>
      </c>
      <c r="K568" t="s">
        <v>2828</v>
      </c>
      <c r="L568" t="s">
        <v>38</v>
      </c>
      <c r="M568" t="s">
        <v>49</v>
      </c>
      <c r="N568" t="s">
        <v>49</v>
      </c>
      <c r="O568" t="s">
        <v>2195</v>
      </c>
      <c r="P568" t="s">
        <v>49</v>
      </c>
      <c r="Q568" t="s">
        <v>2186</v>
      </c>
      <c r="R568" t="s">
        <v>2175</v>
      </c>
      <c r="S568" t="s">
        <v>53</v>
      </c>
      <c r="T568" t="s">
        <v>118</v>
      </c>
      <c r="U568" t="s">
        <v>2857</v>
      </c>
      <c r="V568" t="s">
        <v>91</v>
      </c>
    </row>
    <row r="569" spans="1:22" x14ac:dyDescent="0.35">
      <c r="A569" t="s">
        <v>2880</v>
      </c>
      <c r="B569" t="s">
        <v>1899</v>
      </c>
      <c r="C569" t="s">
        <v>28</v>
      </c>
      <c r="D569" t="s">
        <v>28</v>
      </c>
      <c r="E569" t="s">
        <v>28</v>
      </c>
      <c r="F569" t="s">
        <v>28</v>
      </c>
      <c r="G569" t="s">
        <v>28</v>
      </c>
      <c r="H569" t="s">
        <v>28</v>
      </c>
      <c r="I569" t="s">
        <v>46</v>
      </c>
      <c r="K569" t="s">
        <v>2828</v>
      </c>
      <c r="L569" t="s">
        <v>48</v>
      </c>
      <c r="M569" t="s">
        <v>48</v>
      </c>
      <c r="N569" t="s">
        <v>48</v>
      </c>
      <c r="O569" t="s">
        <v>2704</v>
      </c>
      <c r="P569" t="s">
        <v>48</v>
      </c>
      <c r="Q569" t="s">
        <v>2705</v>
      </c>
      <c r="R569" t="s">
        <v>2706</v>
      </c>
      <c r="S569" t="s">
        <v>53</v>
      </c>
      <c r="T569" t="s">
        <v>118</v>
      </c>
      <c r="U569" t="s">
        <v>2882</v>
      </c>
      <c r="V569" t="s">
        <v>91</v>
      </c>
    </row>
    <row r="570" spans="1:22" x14ac:dyDescent="0.35">
      <c r="A570" t="s">
        <v>2883</v>
      </c>
      <c r="B570" t="s">
        <v>2405</v>
      </c>
      <c r="C570" t="s">
        <v>28</v>
      </c>
      <c r="D570" t="s">
        <v>44</v>
      </c>
      <c r="E570" t="s">
        <v>29</v>
      </c>
      <c r="F570" t="s">
        <v>173</v>
      </c>
      <c r="G570" t="s">
        <v>45</v>
      </c>
      <c r="H570" t="s">
        <v>368</v>
      </c>
      <c r="I570" t="s">
        <v>46</v>
      </c>
      <c r="K570" t="s">
        <v>2338</v>
      </c>
      <c r="L570" t="s">
        <v>48</v>
      </c>
      <c r="M570" t="s">
        <v>48</v>
      </c>
      <c r="N570" t="s">
        <v>48</v>
      </c>
      <c r="O570" t="s">
        <v>1951</v>
      </c>
      <c r="P570" t="s">
        <v>48</v>
      </c>
      <c r="Q570" t="s">
        <v>1952</v>
      </c>
      <c r="R570" t="s">
        <v>1976</v>
      </c>
      <c r="S570" t="s">
        <v>53</v>
      </c>
      <c r="T570" t="s">
        <v>2737</v>
      </c>
      <c r="U570" t="s">
        <v>2885</v>
      </c>
      <c r="V570" t="s">
        <v>91</v>
      </c>
    </row>
    <row r="571" spans="1:22" x14ac:dyDescent="0.35">
      <c r="A571" t="s">
        <v>2454</v>
      </c>
      <c r="B571" t="s">
        <v>2155</v>
      </c>
      <c r="C571" t="s">
        <v>29</v>
      </c>
      <c r="D571" t="s">
        <v>29</v>
      </c>
      <c r="E571" t="s">
        <v>29</v>
      </c>
      <c r="F571" t="s">
        <v>30</v>
      </c>
      <c r="G571" t="s">
        <v>28</v>
      </c>
      <c r="H571" t="s">
        <v>368</v>
      </c>
      <c r="I571" t="s">
        <v>46</v>
      </c>
      <c r="K571" t="s">
        <v>2369</v>
      </c>
      <c r="L571" t="s">
        <v>49</v>
      </c>
      <c r="M571" t="s">
        <v>49</v>
      </c>
      <c r="N571" t="s">
        <v>49</v>
      </c>
      <c r="O571" t="s">
        <v>2822</v>
      </c>
      <c r="P571" t="s">
        <v>49</v>
      </c>
      <c r="Q571" t="s">
        <v>2823</v>
      </c>
      <c r="R571" t="s">
        <v>2824</v>
      </c>
      <c r="S571" t="s">
        <v>53</v>
      </c>
      <c r="T571" t="s">
        <v>2886</v>
      </c>
      <c r="U571" t="s">
        <v>2456</v>
      </c>
      <c r="V571" t="s">
        <v>91</v>
      </c>
    </row>
    <row r="572" spans="1:22" x14ac:dyDescent="0.35">
      <c r="A572" t="s">
        <v>2887</v>
      </c>
      <c r="B572" t="s">
        <v>2155</v>
      </c>
      <c r="C572" t="s">
        <v>44</v>
      </c>
      <c r="D572" t="s">
        <v>28</v>
      </c>
      <c r="E572" t="s">
        <v>28</v>
      </c>
      <c r="F572" t="s">
        <v>28</v>
      </c>
      <c r="G572" t="s">
        <v>28</v>
      </c>
      <c r="H572" t="s">
        <v>28</v>
      </c>
      <c r="I572" t="s">
        <v>46</v>
      </c>
      <c r="K572" t="s">
        <v>2828</v>
      </c>
      <c r="L572" t="s">
        <v>38</v>
      </c>
      <c r="M572" t="s">
        <v>38</v>
      </c>
      <c r="N572" t="s">
        <v>49</v>
      </c>
      <c r="O572" t="s">
        <v>2253</v>
      </c>
      <c r="P572" t="s">
        <v>49</v>
      </c>
      <c r="Q572" t="s">
        <v>2244</v>
      </c>
      <c r="R572" t="s">
        <v>2461</v>
      </c>
      <c r="S572" t="s">
        <v>53</v>
      </c>
      <c r="T572" t="s">
        <v>118</v>
      </c>
      <c r="U572" t="s">
        <v>2889</v>
      </c>
      <c r="V572" t="s">
        <v>91</v>
      </c>
    </row>
    <row r="573" spans="1:22" x14ac:dyDescent="0.35">
      <c r="A573" t="s">
        <v>2890</v>
      </c>
      <c r="B573" t="s">
        <v>1899</v>
      </c>
      <c r="C573" t="s">
        <v>28</v>
      </c>
      <c r="D573" t="s">
        <v>28</v>
      </c>
      <c r="E573" t="s">
        <v>28</v>
      </c>
      <c r="F573" t="s">
        <v>28</v>
      </c>
      <c r="G573" t="s">
        <v>28</v>
      </c>
      <c r="H573" t="s">
        <v>28</v>
      </c>
      <c r="I573" t="s">
        <v>36</v>
      </c>
      <c r="K573" t="s">
        <v>2828</v>
      </c>
      <c r="L573" t="s">
        <v>48</v>
      </c>
      <c r="M573" t="s">
        <v>48</v>
      </c>
      <c r="N573" t="s">
        <v>48</v>
      </c>
      <c r="O573" t="s">
        <v>2704</v>
      </c>
      <c r="P573" t="s">
        <v>48</v>
      </c>
      <c r="Q573" t="s">
        <v>2705</v>
      </c>
      <c r="R573" t="s">
        <v>2706</v>
      </c>
      <c r="S573" t="s">
        <v>53</v>
      </c>
      <c r="T573" t="s">
        <v>118</v>
      </c>
      <c r="U573" t="s">
        <v>2892</v>
      </c>
      <c r="V573" t="s">
        <v>91</v>
      </c>
    </row>
    <row r="574" spans="1:22" x14ac:dyDescent="0.35">
      <c r="A574" t="s">
        <v>2893</v>
      </c>
      <c r="B574" t="s">
        <v>2405</v>
      </c>
      <c r="C574" t="s">
        <v>29</v>
      </c>
      <c r="D574" t="s">
        <v>28</v>
      </c>
      <c r="E574" t="s">
        <v>60</v>
      </c>
      <c r="F574" t="s">
        <v>196</v>
      </c>
      <c r="G574" t="s">
        <v>368</v>
      </c>
      <c r="H574" t="s">
        <v>28</v>
      </c>
      <c r="I574" t="s">
        <v>46</v>
      </c>
      <c r="K574" t="s">
        <v>2894</v>
      </c>
      <c r="L574" t="s">
        <v>48</v>
      </c>
      <c r="M574" t="s">
        <v>48</v>
      </c>
      <c r="N574" t="s">
        <v>48</v>
      </c>
      <c r="O574" t="s">
        <v>1951</v>
      </c>
      <c r="P574" t="s">
        <v>48</v>
      </c>
      <c r="Q574" t="s">
        <v>1952</v>
      </c>
      <c r="R574" t="s">
        <v>1976</v>
      </c>
      <c r="S574" t="s">
        <v>53</v>
      </c>
      <c r="T574" t="s">
        <v>2737</v>
      </c>
      <c r="U574" t="s">
        <v>193</v>
      </c>
      <c r="V574" t="s">
        <v>91</v>
      </c>
    </row>
    <row r="575" spans="1:22" x14ac:dyDescent="0.35">
      <c r="A575" t="s">
        <v>2896</v>
      </c>
      <c r="B575" t="s">
        <v>2591</v>
      </c>
      <c r="C575" t="s">
        <v>33</v>
      </c>
      <c r="D575" t="s">
        <v>33</v>
      </c>
      <c r="E575" t="s">
        <v>33</v>
      </c>
      <c r="F575" t="s">
        <v>34</v>
      </c>
      <c r="G575" t="s">
        <v>30</v>
      </c>
      <c r="H575" t="s">
        <v>74</v>
      </c>
      <c r="I575" t="s">
        <v>46</v>
      </c>
      <c r="K575" t="s">
        <v>2897</v>
      </c>
      <c r="L575" t="s">
        <v>48</v>
      </c>
      <c r="M575" t="s">
        <v>49</v>
      </c>
      <c r="N575" t="s">
        <v>49</v>
      </c>
      <c r="O575" t="s">
        <v>1951</v>
      </c>
      <c r="P575" t="s">
        <v>49</v>
      </c>
      <c r="Q575" t="s">
        <v>1952</v>
      </c>
      <c r="R575" t="s">
        <v>1976</v>
      </c>
      <c r="S575" t="s">
        <v>53</v>
      </c>
      <c r="T575" t="s">
        <v>118</v>
      </c>
      <c r="U575" t="s">
        <v>2899</v>
      </c>
      <c r="V575" t="s">
        <v>91</v>
      </c>
    </row>
    <row r="576" spans="1:22" x14ac:dyDescent="0.35">
      <c r="A576" t="s">
        <v>2900</v>
      </c>
      <c r="B576" t="s">
        <v>1899</v>
      </c>
      <c r="C576" t="s">
        <v>44</v>
      </c>
      <c r="D576" t="s">
        <v>158</v>
      </c>
      <c r="E576" t="s">
        <v>28</v>
      </c>
      <c r="F576" t="s">
        <v>103</v>
      </c>
      <c r="G576" t="s">
        <v>28</v>
      </c>
      <c r="H576" t="s">
        <v>28</v>
      </c>
      <c r="I576" t="s">
        <v>36</v>
      </c>
      <c r="K576" t="s">
        <v>2901</v>
      </c>
      <c r="L576" t="s">
        <v>48</v>
      </c>
      <c r="M576" t="s">
        <v>48</v>
      </c>
      <c r="N576" t="s">
        <v>48</v>
      </c>
      <c r="O576" t="s">
        <v>2704</v>
      </c>
      <c r="P576" t="s">
        <v>48</v>
      </c>
      <c r="Q576" t="s">
        <v>2705</v>
      </c>
      <c r="R576" t="s">
        <v>2706</v>
      </c>
      <c r="S576" t="s">
        <v>53</v>
      </c>
      <c r="T576" t="s">
        <v>118</v>
      </c>
      <c r="U576" t="s">
        <v>2903</v>
      </c>
      <c r="V576" t="s">
        <v>91</v>
      </c>
    </row>
    <row r="577" spans="1:22" x14ac:dyDescent="0.35">
      <c r="A577" t="s">
        <v>2904</v>
      </c>
      <c r="B577" t="s">
        <v>2405</v>
      </c>
      <c r="C577" t="s">
        <v>44</v>
      </c>
      <c r="D577" t="s">
        <v>28</v>
      </c>
      <c r="E577" t="s">
        <v>60</v>
      </c>
      <c r="F577" t="s">
        <v>158</v>
      </c>
      <c r="G577" t="s">
        <v>368</v>
      </c>
      <c r="H577" t="s">
        <v>28</v>
      </c>
      <c r="I577" t="s">
        <v>46</v>
      </c>
      <c r="K577" t="s">
        <v>2338</v>
      </c>
      <c r="L577" t="s">
        <v>48</v>
      </c>
      <c r="M577" t="s">
        <v>48</v>
      </c>
      <c r="N577" t="s">
        <v>48</v>
      </c>
      <c r="O577" t="s">
        <v>1951</v>
      </c>
      <c r="P577" t="s">
        <v>48</v>
      </c>
      <c r="Q577" t="s">
        <v>1952</v>
      </c>
      <c r="R577" t="s">
        <v>1976</v>
      </c>
      <c r="S577" t="s">
        <v>53</v>
      </c>
      <c r="T577" t="s">
        <v>2737</v>
      </c>
      <c r="U577" t="s">
        <v>258</v>
      </c>
      <c r="V577" t="s">
        <v>91</v>
      </c>
    </row>
    <row r="578" spans="1:22" x14ac:dyDescent="0.35">
      <c r="A578" t="s">
        <v>2906</v>
      </c>
      <c r="B578" t="s">
        <v>2155</v>
      </c>
      <c r="C578" t="s">
        <v>28</v>
      </c>
      <c r="D578" t="s">
        <v>196</v>
      </c>
      <c r="E578" t="s">
        <v>28</v>
      </c>
      <c r="F578" t="s">
        <v>28</v>
      </c>
      <c r="G578" t="s">
        <v>28</v>
      </c>
      <c r="H578" t="s">
        <v>28</v>
      </c>
      <c r="I578" t="s">
        <v>46</v>
      </c>
      <c r="K578" t="s">
        <v>2901</v>
      </c>
      <c r="L578" t="s">
        <v>49</v>
      </c>
      <c r="M578" t="s">
        <v>49</v>
      </c>
      <c r="N578" t="s">
        <v>49</v>
      </c>
      <c r="O578" t="s">
        <v>2907</v>
      </c>
      <c r="P578" t="s">
        <v>49</v>
      </c>
      <c r="Q578" t="s">
        <v>2186</v>
      </c>
      <c r="R578" t="s">
        <v>2471</v>
      </c>
      <c r="S578" t="s">
        <v>53</v>
      </c>
      <c r="T578" t="s">
        <v>118</v>
      </c>
      <c r="U578" t="s">
        <v>2909</v>
      </c>
      <c r="V578" t="s">
        <v>91</v>
      </c>
    </row>
    <row r="579" spans="1:22" x14ac:dyDescent="0.35">
      <c r="A579" t="s">
        <v>2910</v>
      </c>
      <c r="B579" t="s">
        <v>2591</v>
      </c>
      <c r="C579" t="s">
        <v>33</v>
      </c>
      <c r="D579" t="s">
        <v>33</v>
      </c>
      <c r="E579" t="s">
        <v>33</v>
      </c>
      <c r="F579" t="s">
        <v>34</v>
      </c>
      <c r="G579" t="s">
        <v>34</v>
      </c>
      <c r="H579" t="s">
        <v>74</v>
      </c>
      <c r="I579" t="s">
        <v>46</v>
      </c>
      <c r="K579" t="s">
        <v>2897</v>
      </c>
      <c r="L579" t="s">
        <v>49</v>
      </c>
      <c r="M579" t="s">
        <v>49</v>
      </c>
      <c r="N579" t="s">
        <v>49</v>
      </c>
      <c r="O579" t="s">
        <v>1951</v>
      </c>
      <c r="P579" t="s">
        <v>49</v>
      </c>
      <c r="Q579" t="s">
        <v>1952</v>
      </c>
      <c r="R579" t="s">
        <v>1976</v>
      </c>
      <c r="S579" t="s">
        <v>53</v>
      </c>
      <c r="T579" t="s">
        <v>118</v>
      </c>
      <c r="U579" t="s">
        <v>2912</v>
      </c>
      <c r="V579" t="s">
        <v>91</v>
      </c>
    </row>
    <row r="580" spans="1:22" x14ac:dyDescent="0.35">
      <c r="A580" t="s">
        <v>2913</v>
      </c>
      <c r="B580" t="s">
        <v>2405</v>
      </c>
      <c r="C580" t="s">
        <v>28</v>
      </c>
      <c r="D580" t="s">
        <v>60</v>
      </c>
      <c r="E580" t="s">
        <v>60</v>
      </c>
      <c r="F580" t="s">
        <v>28</v>
      </c>
      <c r="G580" t="s">
        <v>368</v>
      </c>
      <c r="H580" t="s">
        <v>94</v>
      </c>
      <c r="I580" t="s">
        <v>46</v>
      </c>
      <c r="K580" t="s">
        <v>2914</v>
      </c>
      <c r="L580" t="s">
        <v>48</v>
      </c>
      <c r="M580" t="s">
        <v>48</v>
      </c>
      <c r="N580" t="s">
        <v>48</v>
      </c>
      <c r="O580" t="s">
        <v>1951</v>
      </c>
      <c r="P580" t="s">
        <v>48</v>
      </c>
      <c r="Q580" t="s">
        <v>1952</v>
      </c>
      <c r="R580" t="s">
        <v>1976</v>
      </c>
      <c r="S580" t="s">
        <v>53</v>
      </c>
      <c r="T580" t="s">
        <v>2737</v>
      </c>
      <c r="U580" t="s">
        <v>193</v>
      </c>
      <c r="V580" t="s">
        <v>91</v>
      </c>
    </row>
    <row r="581" spans="1:22" x14ac:dyDescent="0.35">
      <c r="A581" t="s">
        <v>2916</v>
      </c>
      <c r="B581" t="s">
        <v>2859</v>
      </c>
      <c r="C581" t="s">
        <v>29</v>
      </c>
      <c r="D581" t="s">
        <v>29</v>
      </c>
      <c r="E581" t="s">
        <v>29</v>
      </c>
      <c r="F581" t="s">
        <v>30</v>
      </c>
      <c r="G581" t="s">
        <v>30</v>
      </c>
      <c r="H581" t="s">
        <v>61</v>
      </c>
      <c r="I581" t="s">
        <v>36</v>
      </c>
      <c r="K581" t="s">
        <v>2917</v>
      </c>
      <c r="L581" t="s">
        <v>38</v>
      </c>
      <c r="M581" t="s">
        <v>49</v>
      </c>
      <c r="N581" t="s">
        <v>38</v>
      </c>
      <c r="O581" t="s">
        <v>2918</v>
      </c>
      <c r="P581" t="s">
        <v>49</v>
      </c>
      <c r="Q581" t="s">
        <v>2919</v>
      </c>
      <c r="R581" t="s">
        <v>2920</v>
      </c>
      <c r="S581" t="s">
        <v>87</v>
      </c>
      <c r="T581" t="s">
        <v>1317</v>
      </c>
      <c r="U581" t="s">
        <v>2922</v>
      </c>
      <c r="V581" t="s">
        <v>91</v>
      </c>
    </row>
    <row r="582" spans="1:22" x14ac:dyDescent="0.35">
      <c r="A582" t="s">
        <v>2923</v>
      </c>
      <c r="B582" t="s">
        <v>1899</v>
      </c>
      <c r="C582" t="s">
        <v>28</v>
      </c>
      <c r="D582" t="s">
        <v>28</v>
      </c>
      <c r="E582" t="s">
        <v>28</v>
      </c>
      <c r="F582" t="s">
        <v>28</v>
      </c>
      <c r="G582" t="s">
        <v>103</v>
      </c>
      <c r="H582" t="s">
        <v>45</v>
      </c>
      <c r="I582" t="s">
        <v>46</v>
      </c>
      <c r="K582" t="s">
        <v>2924</v>
      </c>
      <c r="L582" t="s">
        <v>48</v>
      </c>
      <c r="M582" t="s">
        <v>48</v>
      </c>
      <c r="N582" t="s">
        <v>48</v>
      </c>
      <c r="O582" t="s">
        <v>2704</v>
      </c>
      <c r="P582" t="s">
        <v>48</v>
      </c>
      <c r="Q582" t="s">
        <v>2705</v>
      </c>
      <c r="R582" t="s">
        <v>2706</v>
      </c>
      <c r="S582" t="s">
        <v>53</v>
      </c>
      <c r="T582" t="s">
        <v>118</v>
      </c>
      <c r="U582" t="s">
        <v>2926</v>
      </c>
      <c r="V582" t="s">
        <v>91</v>
      </c>
    </row>
    <row r="583" spans="1:22" x14ac:dyDescent="0.35">
      <c r="A583" t="s">
        <v>2927</v>
      </c>
      <c r="B583" t="s">
        <v>2405</v>
      </c>
      <c r="C583" t="s">
        <v>44</v>
      </c>
      <c r="D583" t="s">
        <v>28</v>
      </c>
      <c r="E583" t="s">
        <v>206</v>
      </c>
      <c r="F583" t="s">
        <v>173</v>
      </c>
      <c r="G583" t="s">
        <v>45</v>
      </c>
      <c r="H583" t="s">
        <v>368</v>
      </c>
      <c r="I583" t="s">
        <v>46</v>
      </c>
      <c r="K583" t="s">
        <v>2525</v>
      </c>
      <c r="L583" t="s">
        <v>48</v>
      </c>
      <c r="M583" t="s">
        <v>49</v>
      </c>
      <c r="N583" t="s">
        <v>49</v>
      </c>
      <c r="O583" t="s">
        <v>1951</v>
      </c>
      <c r="P583" t="s">
        <v>48</v>
      </c>
      <c r="Q583" t="s">
        <v>1952</v>
      </c>
      <c r="R583" t="s">
        <v>1976</v>
      </c>
      <c r="S583" t="s">
        <v>53</v>
      </c>
      <c r="T583" t="s">
        <v>2737</v>
      </c>
      <c r="U583" t="s">
        <v>193</v>
      </c>
      <c r="V583" t="s">
        <v>91</v>
      </c>
    </row>
    <row r="584" spans="1:22" x14ac:dyDescent="0.35">
      <c r="A584" t="s">
        <v>2929</v>
      </c>
      <c r="B584" t="s">
        <v>2591</v>
      </c>
      <c r="C584" t="s">
        <v>33</v>
      </c>
      <c r="D584" t="s">
        <v>33</v>
      </c>
      <c r="E584" t="s">
        <v>33</v>
      </c>
      <c r="F584" t="s">
        <v>34</v>
      </c>
      <c r="G584" t="s">
        <v>34</v>
      </c>
      <c r="H584" t="s">
        <v>74</v>
      </c>
      <c r="I584" t="s">
        <v>46</v>
      </c>
      <c r="K584" t="s">
        <v>2897</v>
      </c>
      <c r="L584" t="s">
        <v>49</v>
      </c>
      <c r="M584" t="s">
        <v>48</v>
      </c>
      <c r="N584" t="s">
        <v>48</v>
      </c>
      <c r="O584" t="s">
        <v>1951</v>
      </c>
      <c r="P584" t="s">
        <v>49</v>
      </c>
      <c r="Q584" t="s">
        <v>1952</v>
      </c>
      <c r="R584" t="s">
        <v>1976</v>
      </c>
      <c r="S584" t="s">
        <v>53</v>
      </c>
      <c r="T584" t="s">
        <v>118</v>
      </c>
      <c r="U584" t="s">
        <v>2931</v>
      </c>
      <c r="V584" t="s">
        <v>91</v>
      </c>
    </row>
    <row r="585" spans="1:22" x14ac:dyDescent="0.35">
      <c r="A585" t="s">
        <v>2932</v>
      </c>
      <c r="B585" t="s">
        <v>1899</v>
      </c>
      <c r="C585" t="s">
        <v>28</v>
      </c>
      <c r="D585" t="s">
        <v>158</v>
      </c>
      <c r="E585" t="s">
        <v>44</v>
      </c>
      <c r="F585" t="s">
        <v>103</v>
      </c>
      <c r="G585" t="s">
        <v>28</v>
      </c>
      <c r="H585" t="s">
        <v>28</v>
      </c>
      <c r="I585" t="s">
        <v>46</v>
      </c>
      <c r="K585" t="s">
        <v>2897</v>
      </c>
      <c r="L585" t="s">
        <v>48</v>
      </c>
      <c r="M585" t="s">
        <v>48</v>
      </c>
      <c r="N585" t="s">
        <v>48</v>
      </c>
      <c r="O585" t="s">
        <v>2704</v>
      </c>
      <c r="P585" t="s">
        <v>48</v>
      </c>
      <c r="Q585" t="s">
        <v>2705</v>
      </c>
      <c r="R585" t="s">
        <v>2706</v>
      </c>
      <c r="S585" t="s">
        <v>53</v>
      </c>
      <c r="T585" t="s">
        <v>118</v>
      </c>
      <c r="U585" t="s">
        <v>2934</v>
      </c>
      <c r="V585" t="s">
        <v>170</v>
      </c>
    </row>
    <row r="586" spans="1:22" x14ac:dyDescent="0.35">
      <c r="A586" t="s">
        <v>2935</v>
      </c>
      <c r="B586" t="s">
        <v>2740</v>
      </c>
      <c r="C586" t="s">
        <v>449</v>
      </c>
      <c r="D586" t="s">
        <v>196</v>
      </c>
      <c r="E586" t="s">
        <v>284</v>
      </c>
      <c r="F586" t="s">
        <v>30</v>
      </c>
      <c r="G586" t="s">
        <v>45</v>
      </c>
      <c r="H586" t="s">
        <v>61</v>
      </c>
      <c r="I586" t="s">
        <v>36</v>
      </c>
      <c r="K586" t="s">
        <v>2936</v>
      </c>
      <c r="L586" t="s">
        <v>38</v>
      </c>
      <c r="M586" t="s">
        <v>39</v>
      </c>
      <c r="N586" t="s">
        <v>49</v>
      </c>
      <c r="O586" t="s">
        <v>2937</v>
      </c>
      <c r="P586" t="s">
        <v>38</v>
      </c>
      <c r="S586" t="s">
        <v>53</v>
      </c>
      <c r="T586" t="s">
        <v>2743</v>
      </c>
      <c r="U586" t="s">
        <v>2939</v>
      </c>
      <c r="V586" t="s">
        <v>170</v>
      </c>
    </row>
    <row r="587" spans="1:22" x14ac:dyDescent="0.35">
      <c r="A587" t="s">
        <v>2940</v>
      </c>
      <c r="B587" t="s">
        <v>2405</v>
      </c>
      <c r="C587" t="s">
        <v>44</v>
      </c>
      <c r="D587" t="s">
        <v>28</v>
      </c>
      <c r="E587" t="s">
        <v>28</v>
      </c>
      <c r="F587" t="s">
        <v>103</v>
      </c>
      <c r="G587" t="s">
        <v>94</v>
      </c>
      <c r="H587" t="s">
        <v>45</v>
      </c>
      <c r="I587" t="s">
        <v>46</v>
      </c>
      <c r="K587" t="s">
        <v>2553</v>
      </c>
      <c r="L587" t="s">
        <v>49</v>
      </c>
      <c r="M587" t="s">
        <v>48</v>
      </c>
      <c r="N587" t="s">
        <v>48</v>
      </c>
      <c r="O587" t="s">
        <v>1951</v>
      </c>
      <c r="P587" t="s">
        <v>48</v>
      </c>
      <c r="Q587" t="s">
        <v>1952</v>
      </c>
      <c r="R587" t="s">
        <v>1976</v>
      </c>
      <c r="S587" t="s">
        <v>53</v>
      </c>
      <c r="T587" t="s">
        <v>2737</v>
      </c>
      <c r="U587" t="s">
        <v>193</v>
      </c>
      <c r="V587" t="s">
        <v>91</v>
      </c>
    </row>
    <row r="588" spans="1:22" x14ac:dyDescent="0.35">
      <c r="A588" t="s">
        <v>2942</v>
      </c>
      <c r="B588" t="s">
        <v>2859</v>
      </c>
      <c r="C588" t="s">
        <v>29</v>
      </c>
      <c r="D588" t="s">
        <v>29</v>
      </c>
      <c r="E588" t="s">
        <v>28</v>
      </c>
      <c r="F588" t="s">
        <v>30</v>
      </c>
      <c r="G588" t="s">
        <v>30</v>
      </c>
      <c r="H588" t="s">
        <v>28</v>
      </c>
      <c r="I588" t="s">
        <v>46</v>
      </c>
      <c r="K588" t="s">
        <v>2917</v>
      </c>
      <c r="L588" t="s">
        <v>38</v>
      </c>
      <c r="M588" t="s">
        <v>49</v>
      </c>
      <c r="N588" t="s">
        <v>38</v>
      </c>
      <c r="O588" t="s">
        <v>2943</v>
      </c>
      <c r="P588" t="s">
        <v>49</v>
      </c>
      <c r="Q588" t="s">
        <v>2944</v>
      </c>
      <c r="R588" t="s">
        <v>2945</v>
      </c>
      <c r="S588" t="s">
        <v>87</v>
      </c>
      <c r="T588" t="s">
        <v>1030</v>
      </c>
      <c r="U588" t="s">
        <v>2947</v>
      </c>
      <c r="V588" t="s">
        <v>91</v>
      </c>
    </row>
    <row r="589" spans="1:22" x14ac:dyDescent="0.35">
      <c r="A589" t="s">
        <v>2948</v>
      </c>
      <c r="B589" t="s">
        <v>2155</v>
      </c>
      <c r="C589" t="s">
        <v>28</v>
      </c>
      <c r="D589" t="s">
        <v>28</v>
      </c>
      <c r="E589" t="s">
        <v>28</v>
      </c>
      <c r="F589" t="s">
        <v>28</v>
      </c>
      <c r="G589" t="s">
        <v>28</v>
      </c>
      <c r="H589" t="s">
        <v>28</v>
      </c>
      <c r="I589" t="s">
        <v>46</v>
      </c>
      <c r="K589" t="s">
        <v>2924</v>
      </c>
      <c r="L589" t="s">
        <v>49</v>
      </c>
      <c r="M589" t="s">
        <v>49</v>
      </c>
      <c r="O589" t="s">
        <v>2195</v>
      </c>
      <c r="P589" t="s">
        <v>49</v>
      </c>
      <c r="Q589" t="s">
        <v>2186</v>
      </c>
      <c r="R589" t="s">
        <v>2175</v>
      </c>
      <c r="S589" t="s">
        <v>53</v>
      </c>
      <c r="T589" t="s">
        <v>118</v>
      </c>
      <c r="U589" t="s">
        <v>2950</v>
      </c>
      <c r="V589" t="s">
        <v>91</v>
      </c>
    </row>
    <row r="590" spans="1:22" x14ac:dyDescent="0.35">
      <c r="A590" t="s">
        <v>2951</v>
      </c>
      <c r="B590" t="s">
        <v>2952</v>
      </c>
      <c r="C590" t="s">
        <v>33</v>
      </c>
      <c r="D590" t="s">
        <v>33</v>
      </c>
      <c r="E590" t="s">
        <v>33</v>
      </c>
      <c r="F590" t="s">
        <v>34</v>
      </c>
      <c r="G590" t="s">
        <v>34</v>
      </c>
      <c r="H590" t="s">
        <v>74</v>
      </c>
      <c r="I590" t="s">
        <v>46</v>
      </c>
      <c r="K590" t="s">
        <v>2924</v>
      </c>
      <c r="L590" t="s">
        <v>49</v>
      </c>
      <c r="M590" t="s">
        <v>49</v>
      </c>
      <c r="N590" t="s">
        <v>49</v>
      </c>
      <c r="O590" t="s">
        <v>1951</v>
      </c>
      <c r="P590" t="s">
        <v>49</v>
      </c>
      <c r="Q590" t="s">
        <v>1952</v>
      </c>
      <c r="R590" t="s">
        <v>1976</v>
      </c>
      <c r="S590" t="s">
        <v>53</v>
      </c>
      <c r="T590" t="s">
        <v>118</v>
      </c>
      <c r="U590" t="s">
        <v>2954</v>
      </c>
      <c r="V590" t="s">
        <v>91</v>
      </c>
    </row>
    <row r="591" spans="1:22" x14ac:dyDescent="0.35">
      <c r="A591" t="s">
        <v>2955</v>
      </c>
      <c r="B591" t="s">
        <v>1899</v>
      </c>
      <c r="C591" t="s">
        <v>28</v>
      </c>
      <c r="D591" t="s">
        <v>28</v>
      </c>
      <c r="E591" t="s">
        <v>284</v>
      </c>
      <c r="F591" t="s">
        <v>30</v>
      </c>
      <c r="G591" t="s">
        <v>28</v>
      </c>
      <c r="H591" t="s">
        <v>28</v>
      </c>
      <c r="I591" t="s">
        <v>46</v>
      </c>
      <c r="K591" t="s">
        <v>2897</v>
      </c>
      <c r="L591" t="s">
        <v>48</v>
      </c>
      <c r="M591" t="s">
        <v>48</v>
      </c>
      <c r="N591" t="s">
        <v>48</v>
      </c>
      <c r="O591" t="s">
        <v>2704</v>
      </c>
      <c r="P591" t="s">
        <v>48</v>
      </c>
      <c r="Q591" t="s">
        <v>2705</v>
      </c>
      <c r="R591" t="s">
        <v>2706</v>
      </c>
      <c r="S591" t="s">
        <v>53</v>
      </c>
      <c r="T591" t="s">
        <v>118</v>
      </c>
      <c r="U591" t="s">
        <v>2957</v>
      </c>
      <c r="V591" t="s">
        <v>91</v>
      </c>
    </row>
    <row r="592" spans="1:22" x14ac:dyDescent="0.35">
      <c r="A592" t="s">
        <v>2958</v>
      </c>
      <c r="B592" t="s">
        <v>2405</v>
      </c>
      <c r="C592" t="s">
        <v>28</v>
      </c>
      <c r="D592" t="s">
        <v>60</v>
      </c>
      <c r="E592" t="s">
        <v>29</v>
      </c>
      <c r="F592" t="s">
        <v>28</v>
      </c>
      <c r="G592" t="s">
        <v>45</v>
      </c>
      <c r="H592" t="s">
        <v>368</v>
      </c>
      <c r="I592" t="s">
        <v>36</v>
      </c>
      <c r="K592" t="s">
        <v>2553</v>
      </c>
      <c r="L592" t="s">
        <v>48</v>
      </c>
      <c r="M592" t="s">
        <v>48</v>
      </c>
      <c r="N592" t="s">
        <v>48</v>
      </c>
      <c r="O592" t="s">
        <v>1951</v>
      </c>
      <c r="P592" t="s">
        <v>48</v>
      </c>
      <c r="Q592" t="s">
        <v>1952</v>
      </c>
      <c r="R592" t="s">
        <v>1976</v>
      </c>
      <c r="S592" t="s">
        <v>53</v>
      </c>
      <c r="T592" t="s">
        <v>2737</v>
      </c>
      <c r="U592" t="s">
        <v>193</v>
      </c>
      <c r="V592" t="s">
        <v>91</v>
      </c>
    </row>
    <row r="593" spans="1:22" x14ac:dyDescent="0.35">
      <c r="A593" t="s">
        <v>2960</v>
      </c>
      <c r="B593" t="s">
        <v>2155</v>
      </c>
      <c r="C593" t="s">
        <v>28</v>
      </c>
      <c r="D593" t="s">
        <v>28</v>
      </c>
      <c r="E593" t="s">
        <v>28</v>
      </c>
      <c r="F593" t="s">
        <v>158</v>
      </c>
      <c r="G593" t="s">
        <v>28</v>
      </c>
      <c r="H593" t="s">
        <v>28</v>
      </c>
      <c r="I593" t="s">
        <v>46</v>
      </c>
      <c r="K593" t="s">
        <v>2924</v>
      </c>
      <c r="L593" t="s">
        <v>38</v>
      </c>
      <c r="M593" t="s">
        <v>49</v>
      </c>
      <c r="N593" t="s">
        <v>38</v>
      </c>
      <c r="O593" t="s">
        <v>2173</v>
      </c>
      <c r="P593" t="s">
        <v>38</v>
      </c>
      <c r="Q593" t="s">
        <v>2186</v>
      </c>
      <c r="R593" t="s">
        <v>2175</v>
      </c>
      <c r="S593" t="s">
        <v>53</v>
      </c>
      <c r="T593" t="s">
        <v>118</v>
      </c>
      <c r="U593" t="s">
        <v>2962</v>
      </c>
      <c r="V593" t="s">
        <v>91</v>
      </c>
    </row>
    <row r="594" spans="1:22" x14ac:dyDescent="0.35">
      <c r="A594" t="s">
        <v>2963</v>
      </c>
      <c r="B594" t="s">
        <v>2859</v>
      </c>
      <c r="C594" t="s">
        <v>29</v>
      </c>
      <c r="D594" t="s">
        <v>29</v>
      </c>
      <c r="E594" t="s">
        <v>28</v>
      </c>
      <c r="F594" t="s">
        <v>196</v>
      </c>
      <c r="G594" t="s">
        <v>30</v>
      </c>
      <c r="H594" t="s">
        <v>94</v>
      </c>
      <c r="I594" t="s">
        <v>46</v>
      </c>
      <c r="K594" t="s">
        <v>2917</v>
      </c>
      <c r="L594" t="s">
        <v>38</v>
      </c>
      <c r="M594" t="s">
        <v>49</v>
      </c>
      <c r="N594" t="s">
        <v>38</v>
      </c>
      <c r="O594" t="s">
        <v>2943</v>
      </c>
      <c r="P594" t="s">
        <v>49</v>
      </c>
      <c r="Q594" t="s">
        <v>2964</v>
      </c>
      <c r="R594" t="s">
        <v>2965</v>
      </c>
      <c r="S594" t="s">
        <v>53</v>
      </c>
      <c r="T594" t="s">
        <v>1030</v>
      </c>
      <c r="U594" t="s">
        <v>2967</v>
      </c>
      <c r="V594" t="s">
        <v>91</v>
      </c>
    </row>
    <row r="595" spans="1:22" x14ac:dyDescent="0.35">
      <c r="A595" t="s">
        <v>2968</v>
      </c>
      <c r="B595" t="s">
        <v>1899</v>
      </c>
      <c r="C595" t="s">
        <v>28</v>
      </c>
      <c r="D595" t="s">
        <v>28</v>
      </c>
      <c r="E595" t="s">
        <v>28</v>
      </c>
      <c r="F595" t="s">
        <v>28</v>
      </c>
      <c r="G595" t="s">
        <v>28</v>
      </c>
      <c r="H595" t="s">
        <v>28</v>
      </c>
      <c r="I595" t="s">
        <v>46</v>
      </c>
      <c r="K595" t="s">
        <v>2792</v>
      </c>
      <c r="L595" t="s">
        <v>48</v>
      </c>
      <c r="M595" t="s">
        <v>48</v>
      </c>
      <c r="N595" t="s">
        <v>48</v>
      </c>
      <c r="O595" t="s">
        <v>2704</v>
      </c>
      <c r="P595" t="s">
        <v>48</v>
      </c>
      <c r="Q595" t="s">
        <v>2705</v>
      </c>
      <c r="R595" t="s">
        <v>2706</v>
      </c>
      <c r="S595" t="s">
        <v>53</v>
      </c>
      <c r="T595" t="s">
        <v>118</v>
      </c>
      <c r="U595" t="s">
        <v>2970</v>
      </c>
      <c r="V595" t="s">
        <v>129</v>
      </c>
    </row>
    <row r="596" spans="1:22" x14ac:dyDescent="0.35">
      <c r="A596" t="s">
        <v>2971</v>
      </c>
      <c r="B596" t="s">
        <v>2405</v>
      </c>
      <c r="C596" t="s">
        <v>28</v>
      </c>
      <c r="D596" t="s">
        <v>60</v>
      </c>
      <c r="E596" t="s">
        <v>29</v>
      </c>
      <c r="F596" t="s">
        <v>196</v>
      </c>
      <c r="G596" t="s">
        <v>368</v>
      </c>
      <c r="H596" t="s">
        <v>28</v>
      </c>
      <c r="I596" t="s">
        <v>36</v>
      </c>
      <c r="K596" t="s">
        <v>2972</v>
      </c>
      <c r="L596" t="s">
        <v>48</v>
      </c>
      <c r="M596" t="s">
        <v>48</v>
      </c>
      <c r="N596" t="s">
        <v>48</v>
      </c>
      <c r="O596" t="s">
        <v>1951</v>
      </c>
      <c r="P596" t="s">
        <v>49</v>
      </c>
      <c r="Q596" t="s">
        <v>1952</v>
      </c>
      <c r="R596" t="s">
        <v>1976</v>
      </c>
      <c r="S596" t="s">
        <v>53</v>
      </c>
      <c r="T596" t="s">
        <v>2737</v>
      </c>
      <c r="U596" t="s">
        <v>193</v>
      </c>
      <c r="V596" t="s">
        <v>91</v>
      </c>
    </row>
    <row r="597" spans="1:22" x14ac:dyDescent="0.35">
      <c r="A597" t="s">
        <v>2974</v>
      </c>
      <c r="B597" t="s">
        <v>2591</v>
      </c>
      <c r="C597" t="s">
        <v>33</v>
      </c>
      <c r="D597" t="s">
        <v>33</v>
      </c>
      <c r="E597" t="s">
        <v>33</v>
      </c>
      <c r="F597" t="s">
        <v>34</v>
      </c>
      <c r="G597" t="s">
        <v>34</v>
      </c>
      <c r="H597" t="s">
        <v>74</v>
      </c>
      <c r="I597" t="s">
        <v>36</v>
      </c>
      <c r="K597" t="s">
        <v>2901</v>
      </c>
      <c r="L597" t="s">
        <v>49</v>
      </c>
      <c r="M597" t="s">
        <v>48</v>
      </c>
      <c r="N597" t="s">
        <v>49</v>
      </c>
      <c r="O597" t="s">
        <v>1951</v>
      </c>
      <c r="P597" t="s">
        <v>48</v>
      </c>
      <c r="Q597" t="s">
        <v>1952</v>
      </c>
      <c r="R597" t="s">
        <v>1976</v>
      </c>
      <c r="S597" t="s">
        <v>53</v>
      </c>
      <c r="T597" t="s">
        <v>118</v>
      </c>
      <c r="U597" t="s">
        <v>2976</v>
      </c>
      <c r="V597" t="s">
        <v>91</v>
      </c>
    </row>
    <row r="598" spans="1:22" x14ac:dyDescent="0.35">
      <c r="A598" t="s">
        <v>2977</v>
      </c>
      <c r="B598" t="s">
        <v>2155</v>
      </c>
      <c r="C598" t="s">
        <v>28</v>
      </c>
      <c r="D598" t="s">
        <v>197</v>
      </c>
      <c r="E598" t="s">
        <v>28</v>
      </c>
      <c r="F598" t="s">
        <v>28</v>
      </c>
      <c r="G598" t="s">
        <v>28</v>
      </c>
      <c r="H598" t="s">
        <v>28</v>
      </c>
      <c r="I598" t="s">
        <v>46</v>
      </c>
      <c r="K598" t="s">
        <v>2897</v>
      </c>
      <c r="L598" t="s">
        <v>49</v>
      </c>
      <c r="M598" t="s">
        <v>49</v>
      </c>
      <c r="N598" t="s">
        <v>49</v>
      </c>
      <c r="O598" t="s">
        <v>2253</v>
      </c>
      <c r="P598" t="s">
        <v>49</v>
      </c>
      <c r="Q598" t="s">
        <v>2244</v>
      </c>
      <c r="R598" t="s">
        <v>2461</v>
      </c>
      <c r="S598" t="s">
        <v>53</v>
      </c>
      <c r="T598" t="s">
        <v>118</v>
      </c>
      <c r="U598" t="s">
        <v>2979</v>
      </c>
      <c r="V598" t="s">
        <v>91</v>
      </c>
    </row>
    <row r="599" spans="1:22" x14ac:dyDescent="0.35">
      <c r="A599" t="s">
        <v>2980</v>
      </c>
      <c r="B599" t="s">
        <v>2591</v>
      </c>
      <c r="C599" t="s">
        <v>33</v>
      </c>
      <c r="D599" t="s">
        <v>33</v>
      </c>
      <c r="E599" t="s">
        <v>33</v>
      </c>
      <c r="F599" t="s">
        <v>34</v>
      </c>
      <c r="G599" t="s">
        <v>34</v>
      </c>
      <c r="H599" t="s">
        <v>74</v>
      </c>
      <c r="I599" t="s">
        <v>46</v>
      </c>
      <c r="K599" t="s">
        <v>2901</v>
      </c>
      <c r="L599" t="s">
        <v>49</v>
      </c>
      <c r="M599" t="s">
        <v>49</v>
      </c>
      <c r="N599" t="s">
        <v>49</v>
      </c>
      <c r="O599" t="s">
        <v>1951</v>
      </c>
      <c r="P599" t="s">
        <v>49</v>
      </c>
      <c r="Q599" t="s">
        <v>1952</v>
      </c>
      <c r="R599" t="s">
        <v>1976</v>
      </c>
      <c r="S599" t="s">
        <v>53</v>
      </c>
      <c r="T599" t="s">
        <v>118</v>
      </c>
      <c r="U599" t="s">
        <v>2982</v>
      </c>
      <c r="V599" t="s">
        <v>91</v>
      </c>
    </row>
    <row r="600" spans="1:22" x14ac:dyDescent="0.35">
      <c r="A600" t="s">
        <v>2983</v>
      </c>
      <c r="B600" t="s">
        <v>2155</v>
      </c>
      <c r="C600" t="s">
        <v>344</v>
      </c>
      <c r="D600" t="s">
        <v>29</v>
      </c>
      <c r="E600" t="s">
        <v>29</v>
      </c>
      <c r="F600" t="s">
        <v>30</v>
      </c>
      <c r="G600" t="s">
        <v>28</v>
      </c>
      <c r="H600" t="s">
        <v>94</v>
      </c>
      <c r="I600" t="s">
        <v>46</v>
      </c>
      <c r="K600" t="s">
        <v>2984</v>
      </c>
      <c r="L600" t="s">
        <v>38</v>
      </c>
      <c r="M600" t="s">
        <v>49</v>
      </c>
      <c r="N600" t="s">
        <v>38</v>
      </c>
      <c r="O600" t="s">
        <v>2822</v>
      </c>
      <c r="P600" t="s">
        <v>49</v>
      </c>
      <c r="Q600" t="s">
        <v>2823</v>
      </c>
      <c r="R600" t="s">
        <v>2985</v>
      </c>
      <c r="S600" t="s">
        <v>53</v>
      </c>
      <c r="T600" t="s">
        <v>2987</v>
      </c>
      <c r="U600" t="s">
        <v>2988</v>
      </c>
      <c r="V600" t="s">
        <v>91</v>
      </c>
    </row>
    <row r="601" spans="1:22" x14ac:dyDescent="0.35">
      <c r="A601" t="s">
        <v>2989</v>
      </c>
      <c r="B601" t="s">
        <v>1899</v>
      </c>
      <c r="C601" t="s">
        <v>28</v>
      </c>
      <c r="D601" t="s">
        <v>28</v>
      </c>
      <c r="E601" t="s">
        <v>28</v>
      </c>
      <c r="F601" t="s">
        <v>28</v>
      </c>
      <c r="G601" t="s">
        <v>28</v>
      </c>
      <c r="H601" t="s">
        <v>28</v>
      </c>
      <c r="I601" t="s">
        <v>46</v>
      </c>
      <c r="K601" t="s">
        <v>2990</v>
      </c>
      <c r="L601" t="s">
        <v>48</v>
      </c>
      <c r="M601" t="s">
        <v>48</v>
      </c>
      <c r="N601" t="s">
        <v>48</v>
      </c>
      <c r="O601" t="s">
        <v>2704</v>
      </c>
      <c r="P601" t="s">
        <v>48</v>
      </c>
      <c r="Q601" t="s">
        <v>2705</v>
      </c>
      <c r="R601" t="s">
        <v>2706</v>
      </c>
      <c r="S601" t="s">
        <v>53</v>
      </c>
      <c r="T601" t="s">
        <v>118</v>
      </c>
      <c r="U601" t="s">
        <v>2992</v>
      </c>
      <c r="V601" t="s">
        <v>91</v>
      </c>
    </row>
    <row r="602" spans="1:22" x14ac:dyDescent="0.35">
      <c r="A602" t="s">
        <v>2993</v>
      </c>
      <c r="B602" t="s">
        <v>2405</v>
      </c>
      <c r="C602" t="s">
        <v>28</v>
      </c>
      <c r="D602" t="s">
        <v>60</v>
      </c>
      <c r="E602" t="s">
        <v>28</v>
      </c>
      <c r="F602" t="s">
        <v>197</v>
      </c>
      <c r="G602" t="s">
        <v>368</v>
      </c>
      <c r="H602" t="s">
        <v>28</v>
      </c>
      <c r="I602" t="s">
        <v>46</v>
      </c>
      <c r="K602" t="s">
        <v>2994</v>
      </c>
      <c r="L602" t="s">
        <v>49</v>
      </c>
      <c r="M602" t="s">
        <v>49</v>
      </c>
      <c r="N602" t="s">
        <v>48</v>
      </c>
      <c r="O602" t="s">
        <v>1951</v>
      </c>
      <c r="P602" t="s">
        <v>49</v>
      </c>
      <c r="Q602" t="s">
        <v>1952</v>
      </c>
      <c r="R602" t="s">
        <v>1976</v>
      </c>
      <c r="S602" t="s">
        <v>53</v>
      </c>
      <c r="T602" t="s">
        <v>2737</v>
      </c>
      <c r="U602" t="s">
        <v>193</v>
      </c>
      <c r="V602" t="s">
        <v>91</v>
      </c>
    </row>
    <row r="603" spans="1:22" x14ac:dyDescent="0.35">
      <c r="A603" t="s">
        <v>2996</v>
      </c>
      <c r="B603" t="s">
        <v>2591</v>
      </c>
      <c r="C603" t="s">
        <v>33</v>
      </c>
      <c r="D603" t="s">
        <v>33</v>
      </c>
      <c r="E603" t="s">
        <v>33</v>
      </c>
      <c r="F603" t="s">
        <v>34</v>
      </c>
      <c r="G603" t="s">
        <v>34</v>
      </c>
      <c r="H603" t="s">
        <v>74</v>
      </c>
      <c r="I603" t="s">
        <v>46</v>
      </c>
      <c r="K603" t="s">
        <v>2828</v>
      </c>
      <c r="L603" t="s">
        <v>49</v>
      </c>
      <c r="M603" t="s">
        <v>48</v>
      </c>
      <c r="N603" t="s">
        <v>48</v>
      </c>
      <c r="O603" t="s">
        <v>1951</v>
      </c>
      <c r="P603" t="s">
        <v>48</v>
      </c>
      <c r="Q603" t="s">
        <v>1952</v>
      </c>
      <c r="R603" t="s">
        <v>1976</v>
      </c>
      <c r="S603" t="s">
        <v>53</v>
      </c>
      <c r="T603" t="s">
        <v>118</v>
      </c>
      <c r="U603" t="s">
        <v>2998</v>
      </c>
      <c r="V603" t="s">
        <v>91</v>
      </c>
    </row>
    <row r="604" spans="1:22" x14ac:dyDescent="0.35">
      <c r="A604" t="s">
        <v>2999</v>
      </c>
      <c r="B604" t="s">
        <v>2155</v>
      </c>
      <c r="C604" t="s">
        <v>28</v>
      </c>
      <c r="D604" t="s">
        <v>60</v>
      </c>
      <c r="E604" t="s">
        <v>28</v>
      </c>
      <c r="F604" t="s">
        <v>28</v>
      </c>
      <c r="G604" t="s">
        <v>28</v>
      </c>
      <c r="H604" t="s">
        <v>28</v>
      </c>
      <c r="I604" t="s">
        <v>46</v>
      </c>
      <c r="K604" t="s">
        <v>2897</v>
      </c>
      <c r="L604" t="s">
        <v>38</v>
      </c>
      <c r="N604" t="s">
        <v>38</v>
      </c>
      <c r="O604" t="s">
        <v>2253</v>
      </c>
      <c r="P604" t="s">
        <v>49</v>
      </c>
      <c r="Q604" t="s">
        <v>2244</v>
      </c>
      <c r="R604" t="s">
        <v>2461</v>
      </c>
      <c r="S604" t="s">
        <v>53</v>
      </c>
      <c r="T604" t="s">
        <v>118</v>
      </c>
      <c r="U604" t="s">
        <v>3001</v>
      </c>
      <c r="V604" t="s">
        <v>91</v>
      </c>
    </row>
    <row r="605" spans="1:22" x14ac:dyDescent="0.35">
      <c r="A605" t="s">
        <v>3002</v>
      </c>
      <c r="B605" t="s">
        <v>2405</v>
      </c>
      <c r="C605" t="s">
        <v>28</v>
      </c>
      <c r="D605" t="s">
        <v>60</v>
      </c>
      <c r="E605" t="s">
        <v>284</v>
      </c>
      <c r="F605" t="s">
        <v>30</v>
      </c>
      <c r="G605" t="s">
        <v>94</v>
      </c>
      <c r="H605" t="s">
        <v>28</v>
      </c>
      <c r="I605" t="s">
        <v>36</v>
      </c>
      <c r="K605" t="s">
        <v>2599</v>
      </c>
      <c r="L605" t="s">
        <v>49</v>
      </c>
      <c r="M605" t="s">
        <v>48</v>
      </c>
      <c r="N605" t="s">
        <v>48</v>
      </c>
      <c r="O605" t="s">
        <v>1951</v>
      </c>
      <c r="P605" t="s">
        <v>49</v>
      </c>
      <c r="Q605" t="s">
        <v>1952</v>
      </c>
      <c r="R605" t="s">
        <v>1976</v>
      </c>
      <c r="S605" t="s">
        <v>53</v>
      </c>
      <c r="T605" t="s">
        <v>2737</v>
      </c>
      <c r="U605" t="s">
        <v>193</v>
      </c>
      <c r="V605" t="s">
        <v>91</v>
      </c>
    </row>
    <row r="606" spans="1:22" x14ac:dyDescent="0.35">
      <c r="A606" t="s">
        <v>3004</v>
      </c>
      <c r="B606" t="s">
        <v>1899</v>
      </c>
      <c r="C606" t="s">
        <v>28</v>
      </c>
      <c r="D606" t="s">
        <v>28</v>
      </c>
      <c r="E606" t="s">
        <v>28</v>
      </c>
      <c r="F606" t="s">
        <v>28</v>
      </c>
      <c r="G606" t="s">
        <v>28</v>
      </c>
      <c r="H606" t="s">
        <v>28</v>
      </c>
      <c r="I606" t="s">
        <v>36</v>
      </c>
      <c r="K606" t="s">
        <v>2779</v>
      </c>
      <c r="L606" t="s">
        <v>48</v>
      </c>
      <c r="M606" t="s">
        <v>48</v>
      </c>
      <c r="N606" t="s">
        <v>48</v>
      </c>
      <c r="O606" t="s">
        <v>2704</v>
      </c>
      <c r="P606" t="s">
        <v>48</v>
      </c>
      <c r="Q606" t="s">
        <v>2705</v>
      </c>
      <c r="R606" t="s">
        <v>2706</v>
      </c>
      <c r="S606" t="s">
        <v>53</v>
      </c>
      <c r="T606" t="s">
        <v>118</v>
      </c>
      <c r="U606" t="s">
        <v>3006</v>
      </c>
      <c r="V606" t="s">
        <v>91</v>
      </c>
    </row>
    <row r="607" spans="1:22" x14ac:dyDescent="0.35">
      <c r="A607" t="s">
        <v>3007</v>
      </c>
      <c r="B607" t="s">
        <v>2155</v>
      </c>
      <c r="C607" t="s">
        <v>71</v>
      </c>
      <c r="D607" t="s">
        <v>33</v>
      </c>
      <c r="E607" t="s">
        <v>29</v>
      </c>
      <c r="F607" t="s">
        <v>30</v>
      </c>
      <c r="G607" t="s">
        <v>30</v>
      </c>
      <c r="H607" t="s">
        <v>368</v>
      </c>
      <c r="I607" t="s">
        <v>46</v>
      </c>
      <c r="K607" t="s">
        <v>3008</v>
      </c>
      <c r="L607" t="s">
        <v>49</v>
      </c>
      <c r="M607" t="s">
        <v>49</v>
      </c>
      <c r="N607" t="s">
        <v>49</v>
      </c>
      <c r="O607" t="s">
        <v>2943</v>
      </c>
      <c r="P607" t="s">
        <v>49</v>
      </c>
      <c r="Q607" t="s">
        <v>2964</v>
      </c>
      <c r="R607" t="s">
        <v>2945</v>
      </c>
      <c r="S607" t="s">
        <v>53</v>
      </c>
      <c r="T607" t="s">
        <v>3010</v>
      </c>
      <c r="U607" t="s">
        <v>3011</v>
      </c>
      <c r="V607" t="s">
        <v>91</v>
      </c>
    </row>
    <row r="608" spans="1:22" x14ac:dyDescent="0.35">
      <c r="A608" t="s">
        <v>3012</v>
      </c>
      <c r="B608" t="s">
        <v>2591</v>
      </c>
      <c r="C608" t="s">
        <v>33</v>
      </c>
      <c r="D608" t="s">
        <v>33</v>
      </c>
      <c r="E608" t="s">
        <v>33</v>
      </c>
      <c r="F608" t="s">
        <v>30</v>
      </c>
      <c r="G608" t="s">
        <v>30</v>
      </c>
      <c r="H608" t="s">
        <v>292</v>
      </c>
      <c r="I608" t="s">
        <v>36</v>
      </c>
      <c r="K608" t="s">
        <v>2828</v>
      </c>
      <c r="L608" t="s">
        <v>49</v>
      </c>
      <c r="M608" t="s">
        <v>48</v>
      </c>
      <c r="N608" t="s">
        <v>49</v>
      </c>
      <c r="O608" t="s">
        <v>1951</v>
      </c>
      <c r="P608" t="s">
        <v>48</v>
      </c>
      <c r="Q608" t="s">
        <v>1952</v>
      </c>
      <c r="R608" t="s">
        <v>1976</v>
      </c>
      <c r="S608" t="s">
        <v>53</v>
      </c>
      <c r="T608" t="s">
        <v>118</v>
      </c>
      <c r="U608" t="s">
        <v>3014</v>
      </c>
      <c r="V608" t="s">
        <v>91</v>
      </c>
    </row>
    <row r="609" spans="1:22" x14ac:dyDescent="0.35">
      <c r="A609" t="s">
        <v>3015</v>
      </c>
      <c r="B609" t="s">
        <v>2405</v>
      </c>
      <c r="C609" t="s">
        <v>28</v>
      </c>
      <c r="D609" t="s">
        <v>44</v>
      </c>
      <c r="E609" t="s">
        <v>206</v>
      </c>
      <c r="F609" t="s">
        <v>30</v>
      </c>
      <c r="G609" t="s">
        <v>173</v>
      </c>
      <c r="H609" t="s">
        <v>28</v>
      </c>
      <c r="I609" t="s">
        <v>46</v>
      </c>
      <c r="K609" t="s">
        <v>2635</v>
      </c>
      <c r="L609" t="s">
        <v>48</v>
      </c>
      <c r="M609" t="s">
        <v>48</v>
      </c>
      <c r="N609" t="s">
        <v>49</v>
      </c>
      <c r="O609" t="s">
        <v>1951</v>
      </c>
      <c r="P609" t="s">
        <v>48</v>
      </c>
      <c r="Q609" t="s">
        <v>1952</v>
      </c>
      <c r="R609" t="s">
        <v>1976</v>
      </c>
      <c r="S609" t="s">
        <v>53</v>
      </c>
      <c r="T609" t="s">
        <v>2737</v>
      </c>
      <c r="U609" t="s">
        <v>193</v>
      </c>
      <c r="V609" t="s">
        <v>91</v>
      </c>
    </row>
    <row r="610" spans="1:22" x14ac:dyDescent="0.35">
      <c r="A610" t="s">
        <v>3017</v>
      </c>
      <c r="B610" t="s">
        <v>2155</v>
      </c>
      <c r="C610" t="s">
        <v>44</v>
      </c>
      <c r="D610" t="s">
        <v>28</v>
      </c>
      <c r="E610" t="s">
        <v>28</v>
      </c>
      <c r="F610" t="s">
        <v>28</v>
      </c>
      <c r="G610" t="s">
        <v>28</v>
      </c>
      <c r="H610" t="s">
        <v>28</v>
      </c>
      <c r="I610" t="s">
        <v>36</v>
      </c>
      <c r="K610" t="s">
        <v>2897</v>
      </c>
      <c r="L610" t="s">
        <v>38</v>
      </c>
      <c r="M610" t="s">
        <v>38</v>
      </c>
      <c r="N610" t="s">
        <v>49</v>
      </c>
      <c r="O610" t="s">
        <v>2253</v>
      </c>
      <c r="P610" t="s">
        <v>38</v>
      </c>
      <c r="Q610" t="s">
        <v>2411</v>
      </c>
      <c r="R610" t="s">
        <v>2461</v>
      </c>
      <c r="S610" t="s">
        <v>53</v>
      </c>
      <c r="T610" t="s">
        <v>118</v>
      </c>
      <c r="U610" t="s">
        <v>3019</v>
      </c>
      <c r="V610" t="s">
        <v>91</v>
      </c>
    </row>
    <row r="611" spans="1:22" x14ac:dyDescent="0.35">
      <c r="A611" t="s">
        <v>3020</v>
      </c>
      <c r="B611" t="s">
        <v>1899</v>
      </c>
      <c r="C611" t="s">
        <v>28</v>
      </c>
      <c r="D611" t="s">
        <v>28</v>
      </c>
      <c r="E611" t="s">
        <v>28</v>
      </c>
      <c r="F611" t="s">
        <v>28</v>
      </c>
      <c r="G611" t="s">
        <v>28</v>
      </c>
      <c r="H611" t="s">
        <v>28</v>
      </c>
      <c r="I611" t="s">
        <v>46</v>
      </c>
      <c r="K611" t="s">
        <v>2673</v>
      </c>
      <c r="L611" t="s">
        <v>48</v>
      </c>
      <c r="M611" t="s">
        <v>48</v>
      </c>
      <c r="N611" t="s">
        <v>48</v>
      </c>
      <c r="O611" t="s">
        <v>2704</v>
      </c>
      <c r="P611" t="s">
        <v>48</v>
      </c>
      <c r="Q611" t="s">
        <v>2705</v>
      </c>
      <c r="R611" t="s">
        <v>2706</v>
      </c>
      <c r="S611" t="s">
        <v>53</v>
      </c>
      <c r="T611" t="s">
        <v>118</v>
      </c>
      <c r="U611" t="s">
        <v>3022</v>
      </c>
      <c r="V611" t="s">
        <v>170</v>
      </c>
    </row>
    <row r="612" spans="1:22" x14ac:dyDescent="0.35">
      <c r="A612" t="s">
        <v>3023</v>
      </c>
      <c r="B612" t="s">
        <v>2591</v>
      </c>
      <c r="C612" t="s">
        <v>33</v>
      </c>
      <c r="D612" t="s">
        <v>29</v>
      </c>
      <c r="E612" t="s">
        <v>33</v>
      </c>
      <c r="F612" t="s">
        <v>34</v>
      </c>
      <c r="G612" t="s">
        <v>34</v>
      </c>
      <c r="H612" t="s">
        <v>74</v>
      </c>
      <c r="I612" t="s">
        <v>36</v>
      </c>
      <c r="K612" t="s">
        <v>2828</v>
      </c>
      <c r="L612" t="s">
        <v>49</v>
      </c>
      <c r="M612" t="s">
        <v>49</v>
      </c>
      <c r="N612" t="s">
        <v>48</v>
      </c>
      <c r="O612" t="s">
        <v>1951</v>
      </c>
      <c r="P612" t="s">
        <v>48</v>
      </c>
      <c r="Q612" t="s">
        <v>1952</v>
      </c>
      <c r="R612" t="s">
        <v>1976</v>
      </c>
      <c r="S612" t="s">
        <v>53</v>
      </c>
      <c r="T612" t="s">
        <v>118</v>
      </c>
      <c r="U612" t="s">
        <v>2962</v>
      </c>
      <c r="V612" t="s">
        <v>91</v>
      </c>
    </row>
    <row r="613" spans="1:22" x14ac:dyDescent="0.35">
      <c r="A613" t="s">
        <v>3025</v>
      </c>
      <c r="B613" t="s">
        <v>2859</v>
      </c>
      <c r="C613" t="s">
        <v>71</v>
      </c>
      <c r="D613" t="s">
        <v>29</v>
      </c>
      <c r="E613" t="s">
        <v>29</v>
      </c>
      <c r="F613" t="s">
        <v>34</v>
      </c>
      <c r="G613" t="s">
        <v>34</v>
      </c>
      <c r="H613" t="s">
        <v>28</v>
      </c>
      <c r="I613" t="s">
        <v>46</v>
      </c>
      <c r="K613" t="s">
        <v>3008</v>
      </c>
      <c r="L613" t="s">
        <v>38</v>
      </c>
      <c r="M613" t="s">
        <v>38</v>
      </c>
      <c r="N613" t="s">
        <v>38</v>
      </c>
      <c r="O613" t="s">
        <v>3026</v>
      </c>
      <c r="P613" t="s">
        <v>38</v>
      </c>
      <c r="Q613" t="s">
        <v>2872</v>
      </c>
      <c r="R613" t="s">
        <v>2985</v>
      </c>
      <c r="S613" t="s">
        <v>53</v>
      </c>
      <c r="T613" t="s">
        <v>3028</v>
      </c>
      <c r="U613" t="s">
        <v>3029</v>
      </c>
      <c r="V613" t="s">
        <v>91</v>
      </c>
    </row>
    <row r="614" spans="1:22" x14ac:dyDescent="0.35">
      <c r="A614" t="s">
        <v>3030</v>
      </c>
      <c r="B614" t="s">
        <v>1899</v>
      </c>
      <c r="C614" t="s">
        <v>28</v>
      </c>
      <c r="D614" t="s">
        <v>28</v>
      </c>
      <c r="E614" t="s">
        <v>284</v>
      </c>
      <c r="F614" t="s">
        <v>158</v>
      </c>
      <c r="G614" t="s">
        <v>103</v>
      </c>
      <c r="H614" t="s">
        <v>28</v>
      </c>
      <c r="I614" t="s">
        <v>46</v>
      </c>
      <c r="K614" t="s">
        <v>2673</v>
      </c>
      <c r="L614" t="s">
        <v>48</v>
      </c>
      <c r="M614" t="s">
        <v>48</v>
      </c>
      <c r="N614" t="s">
        <v>48</v>
      </c>
      <c r="O614" t="s">
        <v>2839</v>
      </c>
      <c r="P614" t="s">
        <v>48</v>
      </c>
      <c r="Q614" t="s">
        <v>2705</v>
      </c>
      <c r="R614" t="s">
        <v>2840</v>
      </c>
      <c r="S614" t="s">
        <v>53</v>
      </c>
      <c r="T614" t="s">
        <v>118</v>
      </c>
      <c r="U614" t="s">
        <v>3032</v>
      </c>
      <c r="V614" t="s">
        <v>170</v>
      </c>
    </row>
    <row r="615" spans="1:22" x14ac:dyDescent="0.35">
      <c r="A615" t="s">
        <v>3033</v>
      </c>
      <c r="B615" t="s">
        <v>2591</v>
      </c>
      <c r="C615" t="s">
        <v>33</v>
      </c>
      <c r="D615" t="s">
        <v>33</v>
      </c>
      <c r="E615" t="s">
        <v>33</v>
      </c>
      <c r="F615" t="s">
        <v>34</v>
      </c>
      <c r="G615" t="s">
        <v>34</v>
      </c>
      <c r="H615" t="s">
        <v>74</v>
      </c>
      <c r="I615" t="s">
        <v>46</v>
      </c>
      <c r="K615" t="s">
        <v>2756</v>
      </c>
      <c r="L615" t="s">
        <v>48</v>
      </c>
      <c r="M615" t="s">
        <v>48</v>
      </c>
      <c r="N615" t="s">
        <v>48</v>
      </c>
      <c r="O615" t="s">
        <v>1951</v>
      </c>
      <c r="P615" t="s">
        <v>48</v>
      </c>
      <c r="Q615" t="s">
        <v>1952</v>
      </c>
      <c r="R615" t="s">
        <v>1976</v>
      </c>
      <c r="S615" t="s">
        <v>53</v>
      </c>
      <c r="T615" t="s">
        <v>118</v>
      </c>
      <c r="U615" t="s">
        <v>3035</v>
      </c>
      <c r="V615" t="s">
        <v>91</v>
      </c>
    </row>
    <row r="616" spans="1:22" x14ac:dyDescent="0.35">
      <c r="A616" t="s">
        <v>3036</v>
      </c>
      <c r="B616" t="s">
        <v>2155</v>
      </c>
      <c r="C616" t="s">
        <v>28</v>
      </c>
      <c r="D616" t="s">
        <v>28</v>
      </c>
      <c r="E616" t="s">
        <v>28</v>
      </c>
      <c r="F616" t="s">
        <v>28</v>
      </c>
      <c r="G616" t="s">
        <v>28</v>
      </c>
      <c r="H616" t="s">
        <v>28</v>
      </c>
      <c r="I616" t="s">
        <v>36</v>
      </c>
      <c r="K616" t="s">
        <v>2792</v>
      </c>
      <c r="L616" t="s">
        <v>38</v>
      </c>
      <c r="M616" t="s">
        <v>49</v>
      </c>
      <c r="N616" t="s">
        <v>49</v>
      </c>
      <c r="O616" t="s">
        <v>2253</v>
      </c>
      <c r="P616" t="s">
        <v>38</v>
      </c>
      <c r="Q616" t="s">
        <v>2244</v>
      </c>
      <c r="R616" t="s">
        <v>2461</v>
      </c>
      <c r="S616" t="s">
        <v>53</v>
      </c>
      <c r="T616" t="s">
        <v>118</v>
      </c>
      <c r="U616" t="s">
        <v>3038</v>
      </c>
      <c r="V616" t="s">
        <v>91</v>
      </c>
    </row>
    <row r="617" spans="1:22" x14ac:dyDescent="0.35">
      <c r="A617" t="s">
        <v>3039</v>
      </c>
      <c r="B617" t="s">
        <v>2591</v>
      </c>
      <c r="C617" t="s">
        <v>33</v>
      </c>
      <c r="D617" t="s">
        <v>33</v>
      </c>
      <c r="E617" t="s">
        <v>33</v>
      </c>
      <c r="F617" t="s">
        <v>34</v>
      </c>
      <c r="G617" t="s">
        <v>34</v>
      </c>
      <c r="H617" t="s">
        <v>74</v>
      </c>
      <c r="I617" t="s">
        <v>46</v>
      </c>
      <c r="K617" t="s">
        <v>2756</v>
      </c>
      <c r="L617" t="s">
        <v>48</v>
      </c>
      <c r="M617" t="s">
        <v>48</v>
      </c>
      <c r="N617" t="s">
        <v>49</v>
      </c>
      <c r="O617" t="s">
        <v>1951</v>
      </c>
      <c r="P617" t="s">
        <v>49</v>
      </c>
      <c r="Q617" t="s">
        <v>1952</v>
      </c>
      <c r="R617" t="s">
        <v>1976</v>
      </c>
      <c r="S617" t="s">
        <v>53</v>
      </c>
      <c r="T617" t="s">
        <v>118</v>
      </c>
      <c r="U617" t="s">
        <v>3041</v>
      </c>
      <c r="V617" t="s">
        <v>91</v>
      </c>
    </row>
    <row r="618" spans="1:22" x14ac:dyDescent="0.35">
      <c r="A618" t="s">
        <v>3042</v>
      </c>
      <c r="B618" t="s">
        <v>1899</v>
      </c>
      <c r="C618" t="s">
        <v>28</v>
      </c>
      <c r="D618" t="s">
        <v>28</v>
      </c>
      <c r="E618" t="s">
        <v>28</v>
      </c>
      <c r="F618" t="s">
        <v>28</v>
      </c>
      <c r="G618" t="s">
        <v>28</v>
      </c>
      <c r="H618" t="s">
        <v>28</v>
      </c>
      <c r="I618" t="s">
        <v>46</v>
      </c>
      <c r="K618" t="s">
        <v>3043</v>
      </c>
      <c r="L618" t="s">
        <v>48</v>
      </c>
      <c r="M618" t="s">
        <v>48</v>
      </c>
      <c r="N618" t="s">
        <v>48</v>
      </c>
      <c r="O618" t="s">
        <v>2839</v>
      </c>
      <c r="P618" t="s">
        <v>48</v>
      </c>
      <c r="Q618" t="s">
        <v>2705</v>
      </c>
      <c r="R618" t="s">
        <v>2840</v>
      </c>
      <c r="S618" t="s">
        <v>53</v>
      </c>
      <c r="T618" t="s">
        <v>1030</v>
      </c>
      <c r="U618" t="s">
        <v>3045</v>
      </c>
      <c r="V618" t="s">
        <v>170</v>
      </c>
    </row>
    <row r="619" spans="1:22" x14ac:dyDescent="0.35">
      <c r="A619" t="s">
        <v>3046</v>
      </c>
      <c r="B619" t="s">
        <v>2155</v>
      </c>
      <c r="C619" t="s">
        <v>28</v>
      </c>
      <c r="D619" t="s">
        <v>28</v>
      </c>
      <c r="E619" t="s">
        <v>28</v>
      </c>
      <c r="F619" t="s">
        <v>28</v>
      </c>
      <c r="G619" t="s">
        <v>28</v>
      </c>
      <c r="H619" t="s">
        <v>35</v>
      </c>
      <c r="I619" t="s">
        <v>46</v>
      </c>
      <c r="K619" t="s">
        <v>2779</v>
      </c>
      <c r="L619" t="s">
        <v>49</v>
      </c>
      <c r="M619" t="s">
        <v>48</v>
      </c>
      <c r="N619" t="s">
        <v>48</v>
      </c>
      <c r="O619" t="s">
        <v>2173</v>
      </c>
      <c r="P619" t="s">
        <v>49</v>
      </c>
      <c r="Q619" t="s">
        <v>2244</v>
      </c>
      <c r="R619" t="s">
        <v>2461</v>
      </c>
      <c r="S619" t="s">
        <v>53</v>
      </c>
      <c r="T619" t="s">
        <v>118</v>
      </c>
      <c r="U619" t="s">
        <v>3048</v>
      </c>
      <c r="V619" t="s">
        <v>91</v>
      </c>
    </row>
    <row r="620" spans="1:22" x14ac:dyDescent="0.35">
      <c r="A620" t="s">
        <v>3049</v>
      </c>
      <c r="B620" t="s">
        <v>2591</v>
      </c>
      <c r="C620" t="s">
        <v>60</v>
      </c>
      <c r="D620" t="s">
        <v>29</v>
      </c>
      <c r="E620" t="s">
        <v>29</v>
      </c>
      <c r="F620" t="s">
        <v>103</v>
      </c>
      <c r="G620" t="s">
        <v>28</v>
      </c>
      <c r="H620" t="s">
        <v>35</v>
      </c>
      <c r="I620" t="s">
        <v>46</v>
      </c>
      <c r="K620" t="s">
        <v>2756</v>
      </c>
      <c r="L620" t="s">
        <v>48</v>
      </c>
      <c r="M620" t="s">
        <v>49</v>
      </c>
      <c r="N620" t="s">
        <v>49</v>
      </c>
      <c r="O620" t="s">
        <v>1951</v>
      </c>
      <c r="P620" t="s">
        <v>49</v>
      </c>
      <c r="Q620" t="s">
        <v>1952</v>
      </c>
      <c r="R620" t="s">
        <v>1976</v>
      </c>
      <c r="S620" t="s">
        <v>53</v>
      </c>
      <c r="T620" t="s">
        <v>118</v>
      </c>
      <c r="U620" t="s">
        <v>3051</v>
      </c>
      <c r="V620" t="s">
        <v>91</v>
      </c>
    </row>
    <row r="621" spans="1:22" x14ac:dyDescent="0.35">
      <c r="A621" t="s">
        <v>3052</v>
      </c>
      <c r="B621" t="s">
        <v>1899</v>
      </c>
      <c r="C621" t="s">
        <v>28</v>
      </c>
      <c r="D621" t="s">
        <v>28</v>
      </c>
      <c r="E621" t="s">
        <v>28</v>
      </c>
      <c r="F621" t="s">
        <v>28</v>
      </c>
      <c r="G621" t="s">
        <v>28</v>
      </c>
      <c r="H621" t="s">
        <v>28</v>
      </c>
      <c r="I621" t="s">
        <v>46</v>
      </c>
      <c r="K621" t="s">
        <v>2640</v>
      </c>
      <c r="L621" t="s">
        <v>48</v>
      </c>
      <c r="M621" t="s">
        <v>48</v>
      </c>
      <c r="N621" t="s">
        <v>48</v>
      </c>
      <c r="O621" t="s">
        <v>2839</v>
      </c>
      <c r="P621" t="s">
        <v>48</v>
      </c>
      <c r="Q621" t="s">
        <v>2705</v>
      </c>
      <c r="R621" t="s">
        <v>2840</v>
      </c>
      <c r="S621" t="s">
        <v>53</v>
      </c>
      <c r="T621" t="s">
        <v>1030</v>
      </c>
      <c r="U621" t="s">
        <v>3054</v>
      </c>
      <c r="V621" t="s">
        <v>91</v>
      </c>
    </row>
    <row r="622" spans="1:22" x14ac:dyDescent="0.35">
      <c r="A622" t="s">
        <v>3055</v>
      </c>
      <c r="B622" t="s">
        <v>2591</v>
      </c>
      <c r="C622" t="s">
        <v>33</v>
      </c>
      <c r="D622" t="s">
        <v>33</v>
      </c>
      <c r="E622" t="s">
        <v>33</v>
      </c>
      <c r="F622" t="s">
        <v>34</v>
      </c>
      <c r="G622" t="s">
        <v>34</v>
      </c>
      <c r="H622" t="s">
        <v>74</v>
      </c>
      <c r="I622" t="s">
        <v>36</v>
      </c>
      <c r="K622" t="s">
        <v>2756</v>
      </c>
      <c r="L622" t="s">
        <v>48</v>
      </c>
      <c r="M622" t="s">
        <v>49</v>
      </c>
      <c r="N622" t="s">
        <v>48</v>
      </c>
      <c r="O622" t="s">
        <v>1951</v>
      </c>
      <c r="P622" t="s">
        <v>49</v>
      </c>
      <c r="Q622" t="s">
        <v>1952</v>
      </c>
      <c r="R622" t="s">
        <v>1976</v>
      </c>
      <c r="S622" t="s">
        <v>53</v>
      </c>
      <c r="T622" t="s">
        <v>118</v>
      </c>
      <c r="U622" t="s">
        <v>3057</v>
      </c>
      <c r="V622" t="s">
        <v>91</v>
      </c>
    </row>
    <row r="623" spans="1:22" x14ac:dyDescent="0.35">
      <c r="A623" t="s">
        <v>2616</v>
      </c>
      <c r="B623" t="s">
        <v>1899</v>
      </c>
      <c r="C623" t="s">
        <v>28</v>
      </c>
      <c r="D623" t="s">
        <v>158</v>
      </c>
      <c r="E623" t="s">
        <v>28</v>
      </c>
      <c r="F623" t="s">
        <v>158</v>
      </c>
      <c r="G623" t="s">
        <v>28</v>
      </c>
      <c r="H623" t="s">
        <v>28</v>
      </c>
      <c r="I623" t="s">
        <v>36</v>
      </c>
      <c r="K623" t="s">
        <v>2592</v>
      </c>
      <c r="L623" t="s">
        <v>48</v>
      </c>
      <c r="M623" t="s">
        <v>48</v>
      </c>
      <c r="N623" t="s">
        <v>48</v>
      </c>
      <c r="O623" t="s">
        <v>2839</v>
      </c>
      <c r="P623" t="s">
        <v>48</v>
      </c>
      <c r="Q623" t="s">
        <v>2705</v>
      </c>
      <c r="R623" t="s">
        <v>2840</v>
      </c>
      <c r="S623" t="s">
        <v>53</v>
      </c>
      <c r="T623" t="s">
        <v>1030</v>
      </c>
      <c r="U623" t="s">
        <v>3059</v>
      </c>
      <c r="V623" t="s">
        <v>129</v>
      </c>
    </row>
    <row r="624" spans="1:22" x14ac:dyDescent="0.35">
      <c r="A624" t="s">
        <v>3060</v>
      </c>
      <c r="B624" t="s">
        <v>2155</v>
      </c>
      <c r="C624" t="s">
        <v>28</v>
      </c>
      <c r="D624" t="s">
        <v>28</v>
      </c>
      <c r="E624" t="s">
        <v>28</v>
      </c>
      <c r="F624" t="s">
        <v>173</v>
      </c>
      <c r="G624" t="s">
        <v>28</v>
      </c>
      <c r="H624" t="s">
        <v>35</v>
      </c>
      <c r="I624" t="s">
        <v>46</v>
      </c>
      <c r="K624" t="s">
        <v>2673</v>
      </c>
      <c r="L624" t="s">
        <v>38</v>
      </c>
      <c r="M624" t="s">
        <v>38</v>
      </c>
      <c r="N624" t="s">
        <v>49</v>
      </c>
      <c r="O624" t="s">
        <v>2253</v>
      </c>
      <c r="P624" t="s">
        <v>49</v>
      </c>
      <c r="Q624" t="s">
        <v>3061</v>
      </c>
      <c r="R624" t="s">
        <v>3062</v>
      </c>
      <c r="S624" t="s">
        <v>53</v>
      </c>
      <c r="T624" t="s">
        <v>118</v>
      </c>
      <c r="U624" t="s">
        <v>3064</v>
      </c>
      <c r="V624" t="s">
        <v>91</v>
      </c>
    </row>
    <row r="625" spans="1:22" x14ac:dyDescent="0.35">
      <c r="A625" t="s">
        <v>3065</v>
      </c>
      <c r="B625" t="s">
        <v>1899</v>
      </c>
      <c r="C625" t="s">
        <v>28</v>
      </c>
      <c r="D625" t="s">
        <v>28</v>
      </c>
      <c r="E625" t="s">
        <v>28</v>
      </c>
      <c r="F625" t="s">
        <v>28</v>
      </c>
      <c r="G625" t="s">
        <v>28</v>
      </c>
      <c r="H625" t="s">
        <v>28</v>
      </c>
      <c r="I625" t="s">
        <v>36</v>
      </c>
      <c r="K625" t="s">
        <v>2592</v>
      </c>
      <c r="L625" t="s">
        <v>48</v>
      </c>
      <c r="M625" t="s">
        <v>48</v>
      </c>
      <c r="N625" t="s">
        <v>48</v>
      </c>
      <c r="O625" t="s">
        <v>2839</v>
      </c>
      <c r="P625" t="s">
        <v>48</v>
      </c>
      <c r="Q625" t="s">
        <v>2705</v>
      </c>
      <c r="R625" t="s">
        <v>2840</v>
      </c>
      <c r="S625" t="s">
        <v>53</v>
      </c>
      <c r="T625" t="s">
        <v>1030</v>
      </c>
      <c r="U625" t="s">
        <v>3067</v>
      </c>
      <c r="V625" t="s">
        <v>91</v>
      </c>
    </row>
    <row r="626" spans="1:22" x14ac:dyDescent="0.35">
      <c r="A626" t="s">
        <v>3007</v>
      </c>
      <c r="B626" t="s">
        <v>2155</v>
      </c>
      <c r="C626" t="s">
        <v>71</v>
      </c>
      <c r="D626" t="s">
        <v>29</v>
      </c>
      <c r="E626" t="s">
        <v>29</v>
      </c>
      <c r="F626" t="s">
        <v>34</v>
      </c>
      <c r="G626" t="s">
        <v>34</v>
      </c>
      <c r="H626" t="s">
        <v>28</v>
      </c>
      <c r="I626" t="s">
        <v>46</v>
      </c>
      <c r="K626" t="s">
        <v>2984</v>
      </c>
      <c r="L626" t="s">
        <v>49</v>
      </c>
      <c r="M626" t="s">
        <v>49</v>
      </c>
      <c r="N626" t="s">
        <v>38</v>
      </c>
      <c r="O626" t="s">
        <v>2943</v>
      </c>
      <c r="P626" t="s">
        <v>38</v>
      </c>
      <c r="Q626" t="s">
        <v>2964</v>
      </c>
      <c r="R626" t="s">
        <v>2945</v>
      </c>
      <c r="S626" t="s">
        <v>53</v>
      </c>
      <c r="T626" t="s">
        <v>3028</v>
      </c>
      <c r="U626" t="s">
        <v>3068</v>
      </c>
      <c r="V626" t="s">
        <v>91</v>
      </c>
    </row>
    <row r="627" spans="1:22" x14ac:dyDescent="0.35">
      <c r="A627" t="s">
        <v>3069</v>
      </c>
      <c r="B627" t="s">
        <v>2155</v>
      </c>
      <c r="C627" t="s">
        <v>28</v>
      </c>
      <c r="D627" t="s">
        <v>28</v>
      </c>
      <c r="E627" t="s">
        <v>28</v>
      </c>
      <c r="F627" t="s">
        <v>28</v>
      </c>
      <c r="G627" t="s">
        <v>28</v>
      </c>
      <c r="H627" t="s">
        <v>28</v>
      </c>
      <c r="I627" t="s">
        <v>46</v>
      </c>
      <c r="K627" t="s">
        <v>2673</v>
      </c>
      <c r="L627" t="s">
        <v>49</v>
      </c>
      <c r="M627" t="s">
        <v>49</v>
      </c>
      <c r="N627" t="s">
        <v>49</v>
      </c>
      <c r="O627" t="s">
        <v>2253</v>
      </c>
      <c r="P627" t="s">
        <v>49</v>
      </c>
      <c r="Q627" t="s">
        <v>3070</v>
      </c>
      <c r="R627" t="s">
        <v>2461</v>
      </c>
      <c r="S627" t="s">
        <v>53</v>
      </c>
      <c r="T627" t="s">
        <v>118</v>
      </c>
      <c r="U627" t="s">
        <v>3072</v>
      </c>
      <c r="V627" t="s">
        <v>91</v>
      </c>
    </row>
    <row r="628" spans="1:22" x14ac:dyDescent="0.35">
      <c r="A628" t="s">
        <v>3073</v>
      </c>
      <c r="B628" t="s">
        <v>1875</v>
      </c>
      <c r="C628" t="s">
        <v>377</v>
      </c>
      <c r="D628" t="s">
        <v>158</v>
      </c>
      <c r="E628" t="s">
        <v>28</v>
      </c>
      <c r="F628" t="s">
        <v>103</v>
      </c>
      <c r="G628" t="s">
        <v>45</v>
      </c>
      <c r="H628" t="s">
        <v>45</v>
      </c>
      <c r="I628" t="s">
        <v>36</v>
      </c>
      <c r="K628" t="s">
        <v>2276</v>
      </c>
      <c r="L628" t="s">
        <v>49</v>
      </c>
      <c r="M628" t="s">
        <v>38</v>
      </c>
      <c r="N628" t="s">
        <v>49</v>
      </c>
      <c r="O628" t="s">
        <v>3074</v>
      </c>
      <c r="P628" t="s">
        <v>48</v>
      </c>
      <c r="Q628" t="s">
        <v>3075</v>
      </c>
      <c r="R628" t="s">
        <v>3076</v>
      </c>
      <c r="S628" t="s">
        <v>53</v>
      </c>
      <c r="T628" t="s">
        <v>118</v>
      </c>
      <c r="U628" t="s">
        <v>3078</v>
      </c>
      <c r="V628" t="s">
        <v>91</v>
      </c>
    </row>
    <row r="629" spans="1:22" x14ac:dyDescent="0.35">
      <c r="A629" t="s">
        <v>3079</v>
      </c>
      <c r="B629" t="s">
        <v>2155</v>
      </c>
      <c r="C629" t="s">
        <v>33</v>
      </c>
      <c r="D629" t="s">
        <v>33</v>
      </c>
      <c r="E629" t="s">
        <v>33</v>
      </c>
      <c r="F629" t="s">
        <v>34</v>
      </c>
      <c r="G629" t="s">
        <v>34</v>
      </c>
      <c r="H629" t="s">
        <v>74</v>
      </c>
      <c r="I629" t="s">
        <v>46</v>
      </c>
      <c r="K629" t="s">
        <v>2984</v>
      </c>
      <c r="L629" t="s">
        <v>49</v>
      </c>
      <c r="M629" t="s">
        <v>49</v>
      </c>
      <c r="N629" t="s">
        <v>49</v>
      </c>
      <c r="O629" t="s">
        <v>2822</v>
      </c>
      <c r="P629" t="s">
        <v>49</v>
      </c>
      <c r="Q629" t="s">
        <v>2823</v>
      </c>
      <c r="R629" t="s">
        <v>3080</v>
      </c>
      <c r="S629" t="s">
        <v>53</v>
      </c>
      <c r="T629" t="s">
        <v>3028</v>
      </c>
      <c r="U629" t="s">
        <v>3082</v>
      </c>
      <c r="V629" t="s">
        <v>91</v>
      </c>
    </row>
    <row r="630" spans="1:22" x14ac:dyDescent="0.35">
      <c r="A630" t="s">
        <v>2316</v>
      </c>
      <c r="B630" t="s">
        <v>1875</v>
      </c>
      <c r="C630" t="s">
        <v>44</v>
      </c>
      <c r="D630" t="s">
        <v>28</v>
      </c>
      <c r="E630" t="s">
        <v>60</v>
      </c>
      <c r="F630" t="s">
        <v>103</v>
      </c>
      <c r="G630" t="s">
        <v>45</v>
      </c>
      <c r="H630" t="s">
        <v>45</v>
      </c>
      <c r="I630" t="s">
        <v>46</v>
      </c>
      <c r="K630" t="s">
        <v>2317</v>
      </c>
      <c r="L630" t="s">
        <v>49</v>
      </c>
      <c r="M630" t="s">
        <v>49</v>
      </c>
      <c r="N630" t="s">
        <v>49</v>
      </c>
      <c r="O630" t="s">
        <v>3083</v>
      </c>
      <c r="P630" t="s">
        <v>49</v>
      </c>
      <c r="Q630" t="s">
        <v>3084</v>
      </c>
      <c r="R630" t="s">
        <v>3085</v>
      </c>
      <c r="S630" t="s">
        <v>53</v>
      </c>
      <c r="T630" t="s">
        <v>118</v>
      </c>
      <c r="U630" t="s">
        <v>2321</v>
      </c>
      <c r="V630" t="s">
        <v>91</v>
      </c>
    </row>
    <row r="631" spans="1:22" x14ac:dyDescent="0.35">
      <c r="A631" t="s">
        <v>3086</v>
      </c>
      <c r="B631" t="s">
        <v>1899</v>
      </c>
      <c r="C631" t="s">
        <v>28</v>
      </c>
      <c r="D631" t="s">
        <v>28</v>
      </c>
      <c r="E631" t="s">
        <v>28</v>
      </c>
      <c r="F631" t="s">
        <v>28</v>
      </c>
      <c r="G631" t="s">
        <v>28</v>
      </c>
      <c r="H631" t="s">
        <v>28</v>
      </c>
      <c r="I631" t="s">
        <v>36</v>
      </c>
      <c r="K631" t="s">
        <v>3087</v>
      </c>
      <c r="L631" t="s">
        <v>48</v>
      </c>
      <c r="M631" t="s">
        <v>48</v>
      </c>
      <c r="N631" t="s">
        <v>48</v>
      </c>
      <c r="O631" t="s">
        <v>2839</v>
      </c>
      <c r="P631" t="s">
        <v>48</v>
      </c>
      <c r="Q631" t="s">
        <v>2705</v>
      </c>
      <c r="R631" t="s">
        <v>2840</v>
      </c>
      <c r="S631" t="s">
        <v>53</v>
      </c>
      <c r="T631" t="s">
        <v>1030</v>
      </c>
      <c r="U631" t="s">
        <v>3089</v>
      </c>
      <c r="V631" t="s">
        <v>91</v>
      </c>
    </row>
    <row r="632" spans="1:22" x14ac:dyDescent="0.35">
      <c r="A632" t="s">
        <v>3090</v>
      </c>
      <c r="B632" t="s">
        <v>2155</v>
      </c>
      <c r="C632" t="s">
        <v>28</v>
      </c>
      <c r="D632" t="s">
        <v>28</v>
      </c>
      <c r="E632" t="s">
        <v>28</v>
      </c>
      <c r="F632" t="s">
        <v>28</v>
      </c>
      <c r="G632" t="s">
        <v>28</v>
      </c>
      <c r="H632" t="s">
        <v>28</v>
      </c>
      <c r="I632" t="s">
        <v>46</v>
      </c>
      <c r="K632" t="s">
        <v>2673</v>
      </c>
      <c r="L632" t="s">
        <v>38</v>
      </c>
      <c r="M632" t="s">
        <v>38</v>
      </c>
      <c r="N632" t="s">
        <v>49</v>
      </c>
      <c r="O632" t="s">
        <v>2253</v>
      </c>
      <c r="P632" t="s">
        <v>38</v>
      </c>
      <c r="Q632" t="s">
        <v>2411</v>
      </c>
      <c r="R632" t="s">
        <v>2461</v>
      </c>
      <c r="S632" t="s">
        <v>53</v>
      </c>
      <c r="T632" t="s">
        <v>118</v>
      </c>
      <c r="U632" t="s">
        <v>3092</v>
      </c>
      <c r="V632" t="s">
        <v>91</v>
      </c>
    </row>
    <row r="633" spans="1:22" x14ac:dyDescent="0.35">
      <c r="A633" t="s">
        <v>3093</v>
      </c>
      <c r="B633" t="s">
        <v>2859</v>
      </c>
      <c r="C633" t="s">
        <v>71</v>
      </c>
      <c r="D633" t="s">
        <v>33</v>
      </c>
      <c r="E633" t="s">
        <v>33</v>
      </c>
      <c r="F633" t="s">
        <v>34</v>
      </c>
      <c r="G633" t="s">
        <v>34</v>
      </c>
      <c r="H633" t="s">
        <v>73</v>
      </c>
      <c r="I633" t="s">
        <v>46</v>
      </c>
      <c r="K633" t="s">
        <v>3008</v>
      </c>
      <c r="L633" t="s">
        <v>38</v>
      </c>
      <c r="M633" t="s">
        <v>38</v>
      </c>
      <c r="N633" t="s">
        <v>38</v>
      </c>
      <c r="O633" t="s">
        <v>3094</v>
      </c>
      <c r="P633" t="s">
        <v>38</v>
      </c>
      <c r="Q633" t="s">
        <v>2944</v>
      </c>
      <c r="R633" t="s">
        <v>2824</v>
      </c>
      <c r="S633" t="s">
        <v>53</v>
      </c>
      <c r="T633" t="s">
        <v>3028</v>
      </c>
      <c r="U633" t="s">
        <v>3096</v>
      </c>
      <c r="V633" t="s">
        <v>91</v>
      </c>
    </row>
    <row r="634" spans="1:22" x14ac:dyDescent="0.35">
      <c r="A634" t="s">
        <v>3097</v>
      </c>
      <c r="B634" t="s">
        <v>1875</v>
      </c>
      <c r="C634" t="s">
        <v>44</v>
      </c>
      <c r="D634" t="s">
        <v>158</v>
      </c>
      <c r="E634" t="s">
        <v>157</v>
      </c>
      <c r="F634" t="s">
        <v>158</v>
      </c>
      <c r="G634" t="s">
        <v>45</v>
      </c>
      <c r="H634" t="s">
        <v>45</v>
      </c>
      <c r="I634" t="s">
        <v>46</v>
      </c>
      <c r="K634" t="s">
        <v>2317</v>
      </c>
      <c r="L634" t="s">
        <v>49</v>
      </c>
      <c r="M634" t="s">
        <v>48</v>
      </c>
      <c r="N634" t="s">
        <v>38</v>
      </c>
      <c r="O634" t="s">
        <v>3098</v>
      </c>
      <c r="P634" t="s">
        <v>49</v>
      </c>
      <c r="Q634" t="s">
        <v>3099</v>
      </c>
      <c r="R634" t="s">
        <v>3100</v>
      </c>
      <c r="S634" t="s">
        <v>53</v>
      </c>
      <c r="T634" t="s">
        <v>118</v>
      </c>
      <c r="U634" t="s">
        <v>3102</v>
      </c>
      <c r="V634" t="s">
        <v>91</v>
      </c>
    </row>
    <row r="635" spans="1:22" x14ac:dyDescent="0.35">
      <c r="A635" t="s">
        <v>3103</v>
      </c>
      <c r="B635" t="s">
        <v>3104</v>
      </c>
      <c r="C635" t="s">
        <v>33</v>
      </c>
      <c r="D635" t="s">
        <v>33</v>
      </c>
      <c r="E635" t="s">
        <v>33</v>
      </c>
      <c r="F635" t="s">
        <v>34</v>
      </c>
      <c r="G635" t="s">
        <v>34</v>
      </c>
      <c r="H635" t="s">
        <v>74</v>
      </c>
      <c r="I635" t="s">
        <v>46</v>
      </c>
      <c r="K635" t="s">
        <v>2756</v>
      </c>
      <c r="L635" t="s">
        <v>49</v>
      </c>
      <c r="M635" t="s">
        <v>49</v>
      </c>
      <c r="N635" t="s">
        <v>49</v>
      </c>
      <c r="O635" t="s">
        <v>1951</v>
      </c>
      <c r="P635" t="s">
        <v>49</v>
      </c>
      <c r="Q635" t="s">
        <v>1952</v>
      </c>
      <c r="R635" t="s">
        <v>1976</v>
      </c>
      <c r="S635" t="s">
        <v>53</v>
      </c>
      <c r="T635" t="s">
        <v>118</v>
      </c>
      <c r="U635" t="s">
        <v>3106</v>
      </c>
      <c r="V635" t="s">
        <v>91</v>
      </c>
    </row>
    <row r="636" spans="1:22" x14ac:dyDescent="0.35">
      <c r="A636" t="s">
        <v>3107</v>
      </c>
      <c r="B636" t="s">
        <v>1875</v>
      </c>
      <c r="C636" t="s">
        <v>377</v>
      </c>
      <c r="D636" t="s">
        <v>44</v>
      </c>
      <c r="E636" t="s">
        <v>157</v>
      </c>
      <c r="F636" t="s">
        <v>173</v>
      </c>
      <c r="G636" t="s">
        <v>28</v>
      </c>
      <c r="H636" t="s">
        <v>45</v>
      </c>
      <c r="I636" t="s">
        <v>46</v>
      </c>
      <c r="K636" t="s">
        <v>2338</v>
      </c>
      <c r="L636" t="s">
        <v>49</v>
      </c>
      <c r="M636" t="s">
        <v>48</v>
      </c>
      <c r="N636" t="s">
        <v>49</v>
      </c>
      <c r="O636" t="s">
        <v>3108</v>
      </c>
      <c r="P636" t="s">
        <v>49</v>
      </c>
      <c r="Q636" t="s">
        <v>3109</v>
      </c>
      <c r="R636" t="s">
        <v>3110</v>
      </c>
      <c r="S636" t="s">
        <v>53</v>
      </c>
      <c r="T636" t="s">
        <v>118</v>
      </c>
      <c r="U636" t="s">
        <v>3112</v>
      </c>
      <c r="V636" t="s">
        <v>91</v>
      </c>
    </row>
    <row r="637" spans="1:22" x14ac:dyDescent="0.35">
      <c r="A637" t="s">
        <v>3113</v>
      </c>
      <c r="B637" t="s">
        <v>2591</v>
      </c>
      <c r="C637" t="s">
        <v>33</v>
      </c>
      <c r="D637" t="s">
        <v>33</v>
      </c>
      <c r="E637" t="s">
        <v>33</v>
      </c>
      <c r="F637" t="s">
        <v>34</v>
      </c>
      <c r="G637" t="s">
        <v>34</v>
      </c>
      <c r="H637" t="s">
        <v>74</v>
      </c>
      <c r="I637" t="s">
        <v>36</v>
      </c>
      <c r="K637" t="s">
        <v>2635</v>
      </c>
      <c r="L637" t="s">
        <v>48</v>
      </c>
      <c r="M637" t="s">
        <v>48</v>
      </c>
      <c r="N637" t="s">
        <v>48</v>
      </c>
      <c r="O637" t="s">
        <v>1951</v>
      </c>
      <c r="P637" t="s">
        <v>48</v>
      </c>
      <c r="Q637" t="s">
        <v>1952</v>
      </c>
      <c r="R637" t="s">
        <v>1976</v>
      </c>
      <c r="S637" t="s">
        <v>53</v>
      </c>
      <c r="T637" t="s">
        <v>118</v>
      </c>
      <c r="U637" t="s">
        <v>3115</v>
      </c>
      <c r="V637" t="s">
        <v>91</v>
      </c>
    </row>
    <row r="638" spans="1:22" x14ac:dyDescent="0.35">
      <c r="A638" t="s">
        <v>3116</v>
      </c>
      <c r="B638" t="s">
        <v>1899</v>
      </c>
      <c r="C638" t="s">
        <v>28</v>
      </c>
      <c r="D638" t="s">
        <v>28</v>
      </c>
      <c r="E638" t="s">
        <v>28</v>
      </c>
      <c r="F638" t="s">
        <v>28</v>
      </c>
      <c r="G638" t="s">
        <v>28</v>
      </c>
      <c r="H638" t="s">
        <v>28</v>
      </c>
      <c r="I638" t="s">
        <v>46</v>
      </c>
      <c r="K638" t="s">
        <v>2577</v>
      </c>
      <c r="L638" t="s">
        <v>48</v>
      </c>
      <c r="M638" t="s">
        <v>48</v>
      </c>
      <c r="N638" t="s">
        <v>48</v>
      </c>
      <c r="O638" t="s">
        <v>2839</v>
      </c>
      <c r="P638" t="s">
        <v>48</v>
      </c>
      <c r="Q638" t="s">
        <v>2705</v>
      </c>
      <c r="R638" t="s">
        <v>2840</v>
      </c>
      <c r="S638" t="s">
        <v>53</v>
      </c>
      <c r="T638" t="s">
        <v>1030</v>
      </c>
      <c r="U638" t="s">
        <v>3118</v>
      </c>
      <c r="V638" t="s">
        <v>91</v>
      </c>
    </row>
    <row r="639" spans="1:22" x14ac:dyDescent="0.35">
      <c r="A639" t="s">
        <v>3119</v>
      </c>
      <c r="B639" t="s">
        <v>2155</v>
      </c>
      <c r="C639" t="s">
        <v>28</v>
      </c>
      <c r="D639" t="s">
        <v>28</v>
      </c>
      <c r="E639" t="s">
        <v>28</v>
      </c>
      <c r="F639" t="s">
        <v>28</v>
      </c>
      <c r="G639" t="s">
        <v>28</v>
      </c>
      <c r="H639" t="s">
        <v>28</v>
      </c>
      <c r="I639" t="s">
        <v>46</v>
      </c>
      <c r="K639" t="s">
        <v>2640</v>
      </c>
      <c r="L639" t="s">
        <v>38</v>
      </c>
      <c r="M639" t="s">
        <v>49</v>
      </c>
      <c r="N639" t="s">
        <v>38</v>
      </c>
      <c r="O639" t="s">
        <v>2796</v>
      </c>
      <c r="P639" t="s">
        <v>49</v>
      </c>
      <c r="Q639" t="s">
        <v>2244</v>
      </c>
      <c r="R639" t="s">
        <v>2175</v>
      </c>
      <c r="S639" t="s">
        <v>53</v>
      </c>
      <c r="T639" t="s">
        <v>1030</v>
      </c>
      <c r="U639" t="s">
        <v>3121</v>
      </c>
      <c r="V639" t="s">
        <v>91</v>
      </c>
    </row>
    <row r="640" spans="1:22" x14ac:dyDescent="0.35">
      <c r="A640" t="s">
        <v>3122</v>
      </c>
      <c r="B640" t="s">
        <v>2591</v>
      </c>
      <c r="C640" t="s">
        <v>33</v>
      </c>
      <c r="D640" t="s">
        <v>29</v>
      </c>
      <c r="E640" t="s">
        <v>33</v>
      </c>
      <c r="F640" t="s">
        <v>34</v>
      </c>
      <c r="G640" t="s">
        <v>34</v>
      </c>
      <c r="H640" t="s">
        <v>74</v>
      </c>
      <c r="I640" t="s">
        <v>36</v>
      </c>
      <c r="K640" t="s">
        <v>2635</v>
      </c>
      <c r="L640" t="s">
        <v>49</v>
      </c>
      <c r="M640" t="s">
        <v>48</v>
      </c>
      <c r="N640" t="s">
        <v>49</v>
      </c>
      <c r="O640" t="s">
        <v>1951</v>
      </c>
      <c r="P640" t="s">
        <v>48</v>
      </c>
      <c r="Q640" t="s">
        <v>1952</v>
      </c>
      <c r="R640" t="s">
        <v>1976</v>
      </c>
      <c r="S640" t="s">
        <v>53</v>
      </c>
      <c r="T640" t="s">
        <v>118</v>
      </c>
      <c r="U640" t="s">
        <v>3124</v>
      </c>
      <c r="V640" t="s">
        <v>91</v>
      </c>
    </row>
    <row r="641" spans="1:22" x14ac:dyDescent="0.35">
      <c r="A641" t="s">
        <v>3125</v>
      </c>
      <c r="B641" t="s">
        <v>1875</v>
      </c>
      <c r="C641" t="s">
        <v>44</v>
      </c>
      <c r="D641" t="s">
        <v>60</v>
      </c>
      <c r="E641" t="s">
        <v>157</v>
      </c>
      <c r="F641" t="s">
        <v>28</v>
      </c>
      <c r="G641" t="s">
        <v>368</v>
      </c>
      <c r="H641" t="s">
        <v>94</v>
      </c>
      <c r="I641" t="s">
        <v>36</v>
      </c>
      <c r="K641" t="s">
        <v>2338</v>
      </c>
      <c r="L641" t="s">
        <v>49</v>
      </c>
      <c r="M641" t="s">
        <v>49</v>
      </c>
      <c r="N641" t="s">
        <v>49</v>
      </c>
      <c r="O641" t="s">
        <v>3126</v>
      </c>
      <c r="P641" t="s">
        <v>49</v>
      </c>
      <c r="Q641" t="s">
        <v>3127</v>
      </c>
      <c r="R641" t="s">
        <v>3128</v>
      </c>
      <c r="S641" t="s">
        <v>53</v>
      </c>
      <c r="T641" t="s">
        <v>118</v>
      </c>
      <c r="U641" t="s">
        <v>3130</v>
      </c>
      <c r="V641" t="s">
        <v>91</v>
      </c>
    </row>
    <row r="642" spans="1:22" x14ac:dyDescent="0.35">
      <c r="A642" t="s">
        <v>3131</v>
      </c>
      <c r="B642" t="s">
        <v>2591</v>
      </c>
      <c r="C642" t="s">
        <v>33</v>
      </c>
      <c r="D642" t="s">
        <v>33</v>
      </c>
      <c r="E642" t="s">
        <v>29</v>
      </c>
      <c r="F642" t="s">
        <v>173</v>
      </c>
      <c r="G642" t="s">
        <v>30</v>
      </c>
      <c r="H642" t="s">
        <v>35</v>
      </c>
      <c r="I642" t="s">
        <v>46</v>
      </c>
      <c r="K642" t="s">
        <v>2635</v>
      </c>
      <c r="L642" t="s">
        <v>49</v>
      </c>
      <c r="M642" t="s">
        <v>49</v>
      </c>
      <c r="N642" t="s">
        <v>49</v>
      </c>
      <c r="O642" t="s">
        <v>1951</v>
      </c>
      <c r="P642" t="s">
        <v>49</v>
      </c>
      <c r="Q642" t="s">
        <v>1952</v>
      </c>
      <c r="R642" t="s">
        <v>1976</v>
      </c>
      <c r="S642" t="s">
        <v>53</v>
      </c>
      <c r="T642" t="s">
        <v>118</v>
      </c>
      <c r="U642" t="s">
        <v>3133</v>
      </c>
      <c r="V642" t="s">
        <v>91</v>
      </c>
    </row>
    <row r="643" spans="1:22" x14ac:dyDescent="0.35">
      <c r="A643" t="s">
        <v>3134</v>
      </c>
      <c r="B643" t="s">
        <v>1899</v>
      </c>
      <c r="C643" t="s">
        <v>28</v>
      </c>
      <c r="D643" t="s">
        <v>28</v>
      </c>
      <c r="E643" t="s">
        <v>28</v>
      </c>
      <c r="F643" t="s">
        <v>28</v>
      </c>
      <c r="G643" t="s">
        <v>28</v>
      </c>
      <c r="H643" t="s">
        <v>28</v>
      </c>
      <c r="I643" t="s">
        <v>46</v>
      </c>
      <c r="K643" t="s">
        <v>2577</v>
      </c>
      <c r="L643" t="s">
        <v>48</v>
      </c>
      <c r="M643" t="s">
        <v>48</v>
      </c>
      <c r="N643" t="s">
        <v>48</v>
      </c>
      <c r="O643" t="s">
        <v>2839</v>
      </c>
      <c r="P643" t="s">
        <v>48</v>
      </c>
      <c r="Q643" t="s">
        <v>2705</v>
      </c>
      <c r="R643" t="s">
        <v>2840</v>
      </c>
      <c r="S643" t="s">
        <v>53</v>
      </c>
      <c r="T643" t="s">
        <v>1030</v>
      </c>
      <c r="U643" t="s">
        <v>3136</v>
      </c>
      <c r="V643" t="s">
        <v>91</v>
      </c>
    </row>
    <row r="644" spans="1:22" x14ac:dyDescent="0.35">
      <c r="A644" t="s">
        <v>3137</v>
      </c>
      <c r="B644" t="s">
        <v>1875</v>
      </c>
      <c r="C644" t="s">
        <v>377</v>
      </c>
      <c r="D644" t="s">
        <v>60</v>
      </c>
      <c r="E644" t="s">
        <v>157</v>
      </c>
      <c r="F644" t="s">
        <v>103</v>
      </c>
      <c r="G644" t="s">
        <v>173</v>
      </c>
      <c r="H644" t="s">
        <v>368</v>
      </c>
      <c r="I644" t="s">
        <v>46</v>
      </c>
      <c r="K644" t="s">
        <v>2338</v>
      </c>
      <c r="L644" t="s">
        <v>49</v>
      </c>
      <c r="M644" t="s">
        <v>49</v>
      </c>
      <c r="N644" t="s">
        <v>49</v>
      </c>
      <c r="O644" t="s">
        <v>3138</v>
      </c>
      <c r="P644" t="s">
        <v>49</v>
      </c>
      <c r="Q644" t="s">
        <v>3139</v>
      </c>
      <c r="R644" t="s">
        <v>3140</v>
      </c>
      <c r="S644" t="s">
        <v>53</v>
      </c>
      <c r="T644" t="s">
        <v>118</v>
      </c>
      <c r="U644" t="s">
        <v>3142</v>
      </c>
      <c r="V644" t="s">
        <v>91</v>
      </c>
    </row>
    <row r="645" spans="1:22" x14ac:dyDescent="0.35">
      <c r="A645" t="s">
        <v>3143</v>
      </c>
      <c r="B645" t="s">
        <v>1899</v>
      </c>
      <c r="C645" t="s">
        <v>28</v>
      </c>
      <c r="D645" t="s">
        <v>28</v>
      </c>
      <c r="E645" t="s">
        <v>28</v>
      </c>
      <c r="F645" t="s">
        <v>28</v>
      </c>
      <c r="G645" t="s">
        <v>28</v>
      </c>
      <c r="H645" t="s">
        <v>28</v>
      </c>
      <c r="I645" t="s">
        <v>36</v>
      </c>
      <c r="K645" t="s">
        <v>2540</v>
      </c>
      <c r="L645" t="s">
        <v>48</v>
      </c>
      <c r="M645" t="s">
        <v>48</v>
      </c>
      <c r="N645" t="s">
        <v>48</v>
      </c>
      <c r="O645" t="s">
        <v>2839</v>
      </c>
      <c r="P645" t="s">
        <v>48</v>
      </c>
      <c r="Q645" t="s">
        <v>2705</v>
      </c>
      <c r="R645" t="s">
        <v>2840</v>
      </c>
      <c r="S645" t="s">
        <v>53</v>
      </c>
      <c r="T645" t="s">
        <v>1030</v>
      </c>
      <c r="U645" t="s">
        <v>3145</v>
      </c>
      <c r="V645" t="s">
        <v>91</v>
      </c>
    </row>
    <row r="646" spans="1:22" x14ac:dyDescent="0.35">
      <c r="A646" t="s">
        <v>3146</v>
      </c>
      <c r="B646" t="s">
        <v>2155</v>
      </c>
      <c r="C646" t="s">
        <v>28</v>
      </c>
      <c r="D646" t="s">
        <v>28</v>
      </c>
      <c r="E646" t="s">
        <v>28</v>
      </c>
      <c r="F646" t="s">
        <v>28</v>
      </c>
      <c r="G646" t="s">
        <v>28</v>
      </c>
      <c r="H646" t="s">
        <v>28</v>
      </c>
      <c r="I646" t="s">
        <v>46</v>
      </c>
      <c r="K646" t="s">
        <v>2592</v>
      </c>
      <c r="L646" t="s">
        <v>49</v>
      </c>
      <c r="M646" t="s">
        <v>49</v>
      </c>
      <c r="N646" t="s">
        <v>49</v>
      </c>
      <c r="O646" t="s">
        <v>2253</v>
      </c>
      <c r="P646" t="s">
        <v>49</v>
      </c>
      <c r="Q646" t="s">
        <v>2244</v>
      </c>
      <c r="R646" t="s">
        <v>2461</v>
      </c>
      <c r="S646" t="s">
        <v>53</v>
      </c>
      <c r="T646" t="s">
        <v>1030</v>
      </c>
      <c r="U646" t="s">
        <v>3148</v>
      </c>
      <c r="V646" t="s">
        <v>91</v>
      </c>
    </row>
    <row r="647" spans="1:22" x14ac:dyDescent="0.35">
      <c r="A647" t="s">
        <v>3149</v>
      </c>
      <c r="B647" t="s">
        <v>1899</v>
      </c>
      <c r="C647" t="s">
        <v>28</v>
      </c>
      <c r="D647" t="s">
        <v>28</v>
      </c>
      <c r="E647" t="s">
        <v>28</v>
      </c>
      <c r="F647" t="s">
        <v>28</v>
      </c>
      <c r="G647" t="s">
        <v>28</v>
      </c>
      <c r="H647" t="s">
        <v>28</v>
      </c>
      <c r="I647" t="s">
        <v>46</v>
      </c>
      <c r="K647" t="s">
        <v>2540</v>
      </c>
      <c r="L647" t="s">
        <v>48</v>
      </c>
      <c r="M647" t="s">
        <v>48</v>
      </c>
      <c r="N647" t="s">
        <v>48</v>
      </c>
      <c r="O647" t="s">
        <v>2839</v>
      </c>
      <c r="P647" t="s">
        <v>48</v>
      </c>
      <c r="Q647" t="s">
        <v>2705</v>
      </c>
      <c r="R647" t="s">
        <v>2840</v>
      </c>
      <c r="S647" t="s">
        <v>53</v>
      </c>
      <c r="T647" t="s">
        <v>1030</v>
      </c>
      <c r="U647" t="s">
        <v>3151</v>
      </c>
      <c r="V647" t="s">
        <v>129</v>
      </c>
    </row>
    <row r="648" spans="1:22" x14ac:dyDescent="0.35">
      <c r="A648" t="s">
        <v>3152</v>
      </c>
      <c r="B648" t="s">
        <v>1875</v>
      </c>
      <c r="C648" t="s">
        <v>28</v>
      </c>
      <c r="D648" t="s">
        <v>44</v>
      </c>
      <c r="E648" t="s">
        <v>28</v>
      </c>
      <c r="F648" t="s">
        <v>173</v>
      </c>
      <c r="G648" t="s">
        <v>28</v>
      </c>
      <c r="H648" t="s">
        <v>45</v>
      </c>
      <c r="I648" t="s">
        <v>46</v>
      </c>
      <c r="K648" t="s">
        <v>2525</v>
      </c>
      <c r="L648" t="s">
        <v>49</v>
      </c>
      <c r="M648" t="s">
        <v>49</v>
      </c>
      <c r="N648" t="s">
        <v>49</v>
      </c>
      <c r="O648" t="s">
        <v>3153</v>
      </c>
      <c r="P648" t="s">
        <v>49</v>
      </c>
      <c r="Q648" t="s">
        <v>3154</v>
      </c>
      <c r="R648" t="s">
        <v>3155</v>
      </c>
      <c r="S648" t="s">
        <v>53</v>
      </c>
      <c r="T648" t="s">
        <v>118</v>
      </c>
      <c r="U648" t="s">
        <v>3092</v>
      </c>
      <c r="V648" t="s">
        <v>91</v>
      </c>
    </row>
    <row r="649" spans="1:22" x14ac:dyDescent="0.35">
      <c r="A649" t="s">
        <v>3157</v>
      </c>
      <c r="B649" t="s">
        <v>1899</v>
      </c>
      <c r="C649" t="s">
        <v>28</v>
      </c>
      <c r="D649" t="s">
        <v>28</v>
      </c>
      <c r="E649" t="s">
        <v>28</v>
      </c>
      <c r="F649" t="s">
        <v>28</v>
      </c>
      <c r="G649" t="s">
        <v>28</v>
      </c>
      <c r="H649" t="s">
        <v>28</v>
      </c>
      <c r="I649" t="s">
        <v>36</v>
      </c>
      <c r="K649" t="s">
        <v>2391</v>
      </c>
      <c r="L649" t="s">
        <v>48</v>
      </c>
      <c r="M649" t="s">
        <v>48</v>
      </c>
      <c r="N649" t="s">
        <v>48</v>
      </c>
      <c r="O649" t="s">
        <v>2839</v>
      </c>
      <c r="P649" t="s">
        <v>48</v>
      </c>
      <c r="Q649" t="s">
        <v>2705</v>
      </c>
      <c r="R649" t="s">
        <v>2840</v>
      </c>
      <c r="S649" t="s">
        <v>53</v>
      </c>
      <c r="T649" t="s">
        <v>1030</v>
      </c>
      <c r="U649" t="s">
        <v>3159</v>
      </c>
      <c r="V649" t="s">
        <v>91</v>
      </c>
    </row>
    <row r="650" spans="1:22" x14ac:dyDescent="0.35">
      <c r="A650" t="s">
        <v>3160</v>
      </c>
      <c r="B650" t="s">
        <v>1899</v>
      </c>
      <c r="C650" t="s">
        <v>28</v>
      </c>
      <c r="D650" t="s">
        <v>44</v>
      </c>
      <c r="E650" t="s">
        <v>157</v>
      </c>
      <c r="F650" t="s">
        <v>28</v>
      </c>
      <c r="G650" t="s">
        <v>28</v>
      </c>
      <c r="H650" t="s">
        <v>28</v>
      </c>
      <c r="I650" t="s">
        <v>46</v>
      </c>
      <c r="K650" t="s">
        <v>2391</v>
      </c>
      <c r="L650" t="s">
        <v>48</v>
      </c>
      <c r="M650" t="s">
        <v>48</v>
      </c>
      <c r="N650" t="s">
        <v>48</v>
      </c>
      <c r="O650" t="s">
        <v>2839</v>
      </c>
      <c r="P650" t="s">
        <v>48</v>
      </c>
      <c r="Q650" t="s">
        <v>2705</v>
      </c>
      <c r="R650" t="s">
        <v>2840</v>
      </c>
      <c r="S650" t="s">
        <v>53</v>
      </c>
      <c r="T650" t="s">
        <v>1030</v>
      </c>
      <c r="U650" t="s">
        <v>3162</v>
      </c>
      <c r="V650" t="s">
        <v>91</v>
      </c>
    </row>
    <row r="651" spans="1:22" x14ac:dyDescent="0.35">
      <c r="A651" t="s">
        <v>3163</v>
      </c>
      <c r="B651" t="s">
        <v>1899</v>
      </c>
      <c r="C651" t="s">
        <v>28</v>
      </c>
      <c r="D651" t="s">
        <v>28</v>
      </c>
      <c r="E651" t="s">
        <v>28</v>
      </c>
      <c r="F651" t="s">
        <v>28</v>
      </c>
      <c r="G651" t="s">
        <v>28</v>
      </c>
      <c r="H651" t="s">
        <v>28</v>
      </c>
      <c r="I651" t="s">
        <v>46</v>
      </c>
      <c r="K651" t="s">
        <v>2391</v>
      </c>
      <c r="L651" t="s">
        <v>48</v>
      </c>
      <c r="M651" t="s">
        <v>48</v>
      </c>
      <c r="N651" t="s">
        <v>48</v>
      </c>
      <c r="O651" t="s">
        <v>2839</v>
      </c>
      <c r="P651" t="s">
        <v>48</v>
      </c>
      <c r="Q651" t="s">
        <v>3164</v>
      </c>
      <c r="R651" t="s">
        <v>2840</v>
      </c>
      <c r="S651" t="s">
        <v>53</v>
      </c>
      <c r="T651" t="s">
        <v>1030</v>
      </c>
      <c r="U651" t="s">
        <v>3166</v>
      </c>
      <c r="V651" t="s">
        <v>129</v>
      </c>
    </row>
    <row r="652" spans="1:22" x14ac:dyDescent="0.35">
      <c r="A652" t="s">
        <v>3167</v>
      </c>
      <c r="B652" t="s">
        <v>1899</v>
      </c>
      <c r="C652" t="s">
        <v>28</v>
      </c>
      <c r="D652" t="s">
        <v>28</v>
      </c>
      <c r="E652" t="s">
        <v>28</v>
      </c>
      <c r="F652" t="s">
        <v>28</v>
      </c>
      <c r="G652" t="s">
        <v>28</v>
      </c>
      <c r="H652" t="s">
        <v>28</v>
      </c>
      <c r="I652" t="s">
        <v>36</v>
      </c>
      <c r="K652" t="s">
        <v>2391</v>
      </c>
      <c r="L652" t="s">
        <v>48</v>
      </c>
      <c r="M652" t="s">
        <v>48</v>
      </c>
      <c r="N652" t="s">
        <v>48</v>
      </c>
      <c r="O652" t="s">
        <v>2839</v>
      </c>
      <c r="P652" t="s">
        <v>48</v>
      </c>
      <c r="Q652" t="s">
        <v>3164</v>
      </c>
      <c r="R652" t="s">
        <v>2840</v>
      </c>
      <c r="S652" t="s">
        <v>53</v>
      </c>
      <c r="T652" t="s">
        <v>1030</v>
      </c>
      <c r="U652" t="s">
        <v>3169</v>
      </c>
      <c r="V652" t="s">
        <v>91</v>
      </c>
    </row>
    <row r="653" spans="1:22" x14ac:dyDescent="0.35">
      <c r="A653" t="s">
        <v>3170</v>
      </c>
      <c r="B653" t="s">
        <v>1899</v>
      </c>
      <c r="C653" t="s">
        <v>28</v>
      </c>
      <c r="D653" t="s">
        <v>28</v>
      </c>
      <c r="E653" t="s">
        <v>28</v>
      </c>
      <c r="F653" t="s">
        <v>28</v>
      </c>
      <c r="G653" t="s">
        <v>28</v>
      </c>
      <c r="H653" t="s">
        <v>28</v>
      </c>
      <c r="I653" t="s">
        <v>46</v>
      </c>
      <c r="K653" t="s">
        <v>3171</v>
      </c>
      <c r="L653" t="s">
        <v>48</v>
      </c>
      <c r="M653" t="s">
        <v>48</v>
      </c>
      <c r="N653" t="s">
        <v>48</v>
      </c>
      <c r="O653" t="s">
        <v>2839</v>
      </c>
      <c r="P653" t="s">
        <v>48</v>
      </c>
      <c r="Q653" t="s">
        <v>2705</v>
      </c>
      <c r="R653" t="s">
        <v>2840</v>
      </c>
      <c r="S653" t="s">
        <v>53</v>
      </c>
      <c r="T653" t="s">
        <v>1030</v>
      </c>
      <c r="U653" t="s">
        <v>3173</v>
      </c>
      <c r="V653" t="s">
        <v>129</v>
      </c>
    </row>
    <row r="654" spans="1:22" x14ac:dyDescent="0.35">
      <c r="A654" t="s">
        <v>3174</v>
      </c>
      <c r="B654" t="s">
        <v>2155</v>
      </c>
      <c r="C654" t="s">
        <v>28</v>
      </c>
      <c r="D654" t="s">
        <v>28</v>
      </c>
      <c r="E654" t="s">
        <v>28</v>
      </c>
      <c r="F654" t="s">
        <v>173</v>
      </c>
      <c r="G654" t="s">
        <v>28</v>
      </c>
      <c r="H654" t="s">
        <v>73</v>
      </c>
      <c r="I654" t="s">
        <v>36</v>
      </c>
      <c r="K654" t="s">
        <v>2592</v>
      </c>
      <c r="L654" t="s">
        <v>49</v>
      </c>
      <c r="N654" t="s">
        <v>38</v>
      </c>
      <c r="O654" t="s">
        <v>2796</v>
      </c>
      <c r="P654" t="s">
        <v>48</v>
      </c>
      <c r="Q654" t="s">
        <v>2636</v>
      </c>
      <c r="R654" t="s">
        <v>2175</v>
      </c>
      <c r="S654" t="s">
        <v>53</v>
      </c>
      <c r="T654" t="s">
        <v>1030</v>
      </c>
      <c r="U654" t="s">
        <v>3176</v>
      </c>
      <c r="V654" t="s">
        <v>91</v>
      </c>
    </row>
    <row r="655" spans="1:22" x14ac:dyDescent="0.35">
      <c r="A655" t="s">
        <v>3177</v>
      </c>
      <c r="B655" t="s">
        <v>2155</v>
      </c>
      <c r="C655" t="s">
        <v>28</v>
      </c>
      <c r="D655" t="s">
        <v>28</v>
      </c>
      <c r="E655" t="s">
        <v>28</v>
      </c>
      <c r="F655" t="s">
        <v>72</v>
      </c>
      <c r="G655" t="s">
        <v>368</v>
      </c>
      <c r="H655" t="s">
        <v>28</v>
      </c>
      <c r="I655" t="s">
        <v>36</v>
      </c>
      <c r="K655" t="s">
        <v>2592</v>
      </c>
      <c r="L655" t="s">
        <v>49</v>
      </c>
      <c r="M655" t="s">
        <v>38</v>
      </c>
      <c r="N655" t="s">
        <v>48</v>
      </c>
      <c r="O655" t="s">
        <v>2253</v>
      </c>
      <c r="P655" t="s">
        <v>49</v>
      </c>
      <c r="Q655" t="s">
        <v>2244</v>
      </c>
      <c r="R655" t="s">
        <v>2175</v>
      </c>
      <c r="S655" t="s">
        <v>53</v>
      </c>
      <c r="T655" t="s">
        <v>1030</v>
      </c>
      <c r="U655" t="s">
        <v>3179</v>
      </c>
      <c r="V655" t="s">
        <v>91</v>
      </c>
    </row>
    <row r="656" spans="1:22" x14ac:dyDescent="0.35">
      <c r="A656" t="s">
        <v>3180</v>
      </c>
      <c r="B656" t="s">
        <v>1899</v>
      </c>
      <c r="C656" t="s">
        <v>377</v>
      </c>
      <c r="D656" t="s">
        <v>44</v>
      </c>
      <c r="E656" t="s">
        <v>284</v>
      </c>
      <c r="F656" t="s">
        <v>103</v>
      </c>
      <c r="G656" t="s">
        <v>28</v>
      </c>
      <c r="H656" t="s">
        <v>45</v>
      </c>
      <c r="I656" t="s">
        <v>36</v>
      </c>
      <c r="K656" t="s">
        <v>2385</v>
      </c>
      <c r="L656" t="s">
        <v>48</v>
      </c>
      <c r="M656" t="s">
        <v>48</v>
      </c>
      <c r="N656" t="s">
        <v>48</v>
      </c>
      <c r="O656" t="s">
        <v>2704</v>
      </c>
      <c r="P656" t="s">
        <v>48</v>
      </c>
      <c r="Q656" t="s">
        <v>2705</v>
      </c>
      <c r="R656" t="s">
        <v>2706</v>
      </c>
      <c r="S656" t="s">
        <v>53</v>
      </c>
      <c r="T656" t="s">
        <v>1030</v>
      </c>
      <c r="U656" t="s">
        <v>3182</v>
      </c>
      <c r="V656" t="s">
        <v>91</v>
      </c>
    </row>
    <row r="657" spans="1:22" x14ac:dyDescent="0.35">
      <c r="A657" t="s">
        <v>3183</v>
      </c>
      <c r="B657" t="s">
        <v>1899</v>
      </c>
      <c r="C657" t="s">
        <v>60</v>
      </c>
      <c r="D657" t="s">
        <v>158</v>
      </c>
      <c r="E657" t="s">
        <v>284</v>
      </c>
      <c r="F657" t="s">
        <v>103</v>
      </c>
      <c r="G657" t="s">
        <v>28</v>
      </c>
      <c r="H657" t="s">
        <v>45</v>
      </c>
      <c r="I657" t="s">
        <v>46</v>
      </c>
      <c r="K657" t="s">
        <v>2369</v>
      </c>
      <c r="L657" t="s">
        <v>48</v>
      </c>
      <c r="M657" t="s">
        <v>48</v>
      </c>
      <c r="N657" t="s">
        <v>48</v>
      </c>
      <c r="O657" t="s">
        <v>2839</v>
      </c>
      <c r="P657" t="s">
        <v>48</v>
      </c>
      <c r="Q657" t="s">
        <v>2705</v>
      </c>
      <c r="R657" t="s">
        <v>2706</v>
      </c>
      <c r="S657" t="s">
        <v>53</v>
      </c>
      <c r="T657" t="s">
        <v>1030</v>
      </c>
      <c r="U657" t="s">
        <v>3185</v>
      </c>
      <c r="V657" t="s">
        <v>129</v>
      </c>
    </row>
    <row r="658" spans="1:22" x14ac:dyDescent="0.35">
      <c r="A658" t="s">
        <v>2194</v>
      </c>
      <c r="B658" t="s">
        <v>2740</v>
      </c>
      <c r="C658" t="s">
        <v>60</v>
      </c>
      <c r="D658" t="s">
        <v>28</v>
      </c>
      <c r="E658" t="s">
        <v>284</v>
      </c>
      <c r="F658" t="s">
        <v>28</v>
      </c>
      <c r="G658" t="s">
        <v>368</v>
      </c>
      <c r="H658" t="s">
        <v>61</v>
      </c>
      <c r="I658" t="s">
        <v>46</v>
      </c>
      <c r="K658" t="s">
        <v>2071</v>
      </c>
      <c r="L658" t="s">
        <v>39</v>
      </c>
      <c r="M658" t="s">
        <v>49</v>
      </c>
      <c r="N658" t="s">
        <v>49</v>
      </c>
      <c r="O658" t="s">
        <v>3186</v>
      </c>
      <c r="P658" t="s">
        <v>49</v>
      </c>
      <c r="S658" t="s">
        <v>53</v>
      </c>
      <c r="T658" t="s">
        <v>2077</v>
      </c>
      <c r="U658" t="s">
        <v>2197</v>
      </c>
      <c r="V658" t="s">
        <v>170</v>
      </c>
    </row>
    <row r="659" spans="1:22" x14ac:dyDescent="0.35">
      <c r="A659" t="s">
        <v>3187</v>
      </c>
      <c r="B659" t="s">
        <v>1899</v>
      </c>
      <c r="C659" t="s">
        <v>44</v>
      </c>
      <c r="D659" t="s">
        <v>197</v>
      </c>
      <c r="E659" t="s">
        <v>28</v>
      </c>
      <c r="F659" t="s">
        <v>103</v>
      </c>
      <c r="G659" t="s">
        <v>368</v>
      </c>
      <c r="H659" t="s">
        <v>28</v>
      </c>
      <c r="I659" t="s">
        <v>46</v>
      </c>
      <c r="K659" t="s">
        <v>2369</v>
      </c>
      <c r="L659" t="s">
        <v>48</v>
      </c>
      <c r="M659" t="s">
        <v>48</v>
      </c>
      <c r="N659" t="s">
        <v>48</v>
      </c>
      <c r="O659" t="s">
        <v>2704</v>
      </c>
      <c r="P659" t="s">
        <v>48</v>
      </c>
      <c r="Q659" t="s">
        <v>2705</v>
      </c>
      <c r="R659" t="s">
        <v>2706</v>
      </c>
      <c r="S659" t="s">
        <v>53</v>
      </c>
      <c r="T659" t="s">
        <v>1030</v>
      </c>
      <c r="U659" t="s">
        <v>3189</v>
      </c>
      <c r="V659" t="s">
        <v>91</v>
      </c>
    </row>
    <row r="660" spans="1:22" x14ac:dyDescent="0.35">
      <c r="A660" t="s">
        <v>3190</v>
      </c>
      <c r="B660" t="s">
        <v>32</v>
      </c>
      <c r="C660" t="s">
        <v>28</v>
      </c>
      <c r="D660" t="s">
        <v>44</v>
      </c>
      <c r="E660" t="s">
        <v>157</v>
      </c>
      <c r="F660" t="s">
        <v>72</v>
      </c>
      <c r="G660" t="s">
        <v>103</v>
      </c>
      <c r="H660" t="s">
        <v>61</v>
      </c>
      <c r="I660" t="s">
        <v>46</v>
      </c>
      <c r="K660" t="s">
        <v>2071</v>
      </c>
      <c r="L660" t="s">
        <v>38</v>
      </c>
      <c r="M660" t="s">
        <v>49</v>
      </c>
      <c r="N660" t="s">
        <v>48</v>
      </c>
      <c r="O660" t="s">
        <v>3191</v>
      </c>
      <c r="P660" t="s">
        <v>48</v>
      </c>
      <c r="S660" t="s">
        <v>53</v>
      </c>
      <c r="T660" t="s">
        <v>2077</v>
      </c>
      <c r="U660" t="s">
        <v>3193</v>
      </c>
      <c r="V660" t="s">
        <v>91</v>
      </c>
    </row>
    <row r="661" spans="1:22" x14ac:dyDescent="0.35">
      <c r="A661" t="s">
        <v>3194</v>
      </c>
      <c r="B661" t="s">
        <v>1899</v>
      </c>
      <c r="C661" t="s">
        <v>28</v>
      </c>
      <c r="D661" t="s">
        <v>44</v>
      </c>
      <c r="E661" t="s">
        <v>284</v>
      </c>
      <c r="F661" t="s">
        <v>103</v>
      </c>
      <c r="G661" t="s">
        <v>45</v>
      </c>
      <c r="H661" t="s">
        <v>28</v>
      </c>
      <c r="I661" t="s">
        <v>46</v>
      </c>
      <c r="K661" t="s">
        <v>2369</v>
      </c>
      <c r="L661" t="s">
        <v>48</v>
      </c>
      <c r="M661" t="s">
        <v>48</v>
      </c>
      <c r="N661" t="s">
        <v>48</v>
      </c>
      <c r="O661" t="s">
        <v>2839</v>
      </c>
      <c r="P661" t="s">
        <v>48</v>
      </c>
      <c r="Q661" t="s">
        <v>2705</v>
      </c>
      <c r="R661" t="s">
        <v>2706</v>
      </c>
      <c r="S661" t="s">
        <v>53</v>
      </c>
      <c r="T661" t="s">
        <v>1030</v>
      </c>
      <c r="U661" t="s">
        <v>3196</v>
      </c>
      <c r="V661" t="s">
        <v>91</v>
      </c>
    </row>
    <row r="662" spans="1:22" x14ac:dyDescent="0.35">
      <c r="A662" t="s">
        <v>3197</v>
      </c>
      <c r="B662" t="s">
        <v>1899</v>
      </c>
      <c r="C662" t="s">
        <v>28</v>
      </c>
      <c r="D662" t="s">
        <v>28</v>
      </c>
      <c r="E662" t="s">
        <v>28</v>
      </c>
      <c r="F662" t="s">
        <v>28</v>
      </c>
      <c r="G662" t="s">
        <v>28</v>
      </c>
      <c r="H662" t="s">
        <v>28</v>
      </c>
      <c r="I662" t="s">
        <v>36</v>
      </c>
      <c r="K662" t="s">
        <v>2356</v>
      </c>
      <c r="L662" t="s">
        <v>48</v>
      </c>
      <c r="M662" t="s">
        <v>48</v>
      </c>
      <c r="N662" t="s">
        <v>49</v>
      </c>
      <c r="O662" t="s">
        <v>2704</v>
      </c>
      <c r="P662" t="s">
        <v>48</v>
      </c>
      <c r="Q662" t="s">
        <v>2705</v>
      </c>
      <c r="R662" t="s">
        <v>2706</v>
      </c>
      <c r="S662" t="s">
        <v>53</v>
      </c>
      <c r="T662" t="s">
        <v>1030</v>
      </c>
      <c r="U662" t="s">
        <v>3199</v>
      </c>
      <c r="V662" t="s">
        <v>91</v>
      </c>
    </row>
    <row r="663" spans="1:22" x14ac:dyDescent="0.35">
      <c r="A663" t="s">
        <v>3200</v>
      </c>
      <c r="B663" t="s">
        <v>2055</v>
      </c>
      <c r="C663" t="s">
        <v>44</v>
      </c>
      <c r="D663" t="s">
        <v>44</v>
      </c>
      <c r="E663" t="s">
        <v>44</v>
      </c>
      <c r="F663" t="s">
        <v>28</v>
      </c>
      <c r="G663" t="s">
        <v>368</v>
      </c>
      <c r="H663" t="s">
        <v>28</v>
      </c>
      <c r="I663" t="s">
        <v>46</v>
      </c>
      <c r="K663" t="s">
        <v>3201</v>
      </c>
      <c r="L663" t="s">
        <v>48</v>
      </c>
      <c r="M663" t="s">
        <v>48</v>
      </c>
      <c r="N663" t="s">
        <v>38</v>
      </c>
      <c r="O663" t="s">
        <v>2094</v>
      </c>
      <c r="P663" t="s">
        <v>38</v>
      </c>
      <c r="Q663" t="s">
        <v>2095</v>
      </c>
      <c r="R663" t="s">
        <v>2096</v>
      </c>
      <c r="S663" t="s">
        <v>79</v>
      </c>
      <c r="T663" t="s">
        <v>2743</v>
      </c>
      <c r="U663" t="s">
        <v>3203</v>
      </c>
      <c r="V663" t="s">
        <v>91</v>
      </c>
    </row>
    <row r="664" spans="1:22" x14ac:dyDescent="0.35">
      <c r="A664" t="s">
        <v>3204</v>
      </c>
      <c r="B664" t="s">
        <v>32</v>
      </c>
      <c r="C664" t="s">
        <v>29</v>
      </c>
      <c r="D664" t="s">
        <v>44</v>
      </c>
      <c r="E664" t="s">
        <v>44</v>
      </c>
      <c r="F664" t="s">
        <v>103</v>
      </c>
      <c r="G664" t="s">
        <v>45</v>
      </c>
      <c r="H664" t="s">
        <v>368</v>
      </c>
      <c r="I664" t="s">
        <v>46</v>
      </c>
      <c r="K664" t="s">
        <v>2088</v>
      </c>
      <c r="L664" t="s">
        <v>48</v>
      </c>
      <c r="M664" t="s">
        <v>48</v>
      </c>
      <c r="N664" t="s">
        <v>48</v>
      </c>
      <c r="O664" t="s">
        <v>3205</v>
      </c>
      <c r="P664" t="s">
        <v>48</v>
      </c>
      <c r="S664" t="s">
        <v>53</v>
      </c>
      <c r="T664" t="s">
        <v>2077</v>
      </c>
      <c r="U664" t="s">
        <v>3207</v>
      </c>
      <c r="V664" t="s">
        <v>170</v>
      </c>
    </row>
    <row r="665" spans="1:22" x14ac:dyDescent="0.35">
      <c r="A665" t="s">
        <v>3208</v>
      </c>
      <c r="B665" t="s">
        <v>2055</v>
      </c>
      <c r="C665" t="s">
        <v>44</v>
      </c>
      <c r="D665" t="s">
        <v>44</v>
      </c>
      <c r="E665" t="s">
        <v>60</v>
      </c>
      <c r="F665" t="s">
        <v>28</v>
      </c>
      <c r="G665" t="s">
        <v>28</v>
      </c>
      <c r="H665" t="s">
        <v>368</v>
      </c>
      <c r="I665" t="s">
        <v>46</v>
      </c>
      <c r="K665" t="s">
        <v>3209</v>
      </c>
      <c r="L665" t="s">
        <v>48</v>
      </c>
      <c r="M665" t="s">
        <v>48</v>
      </c>
      <c r="N665" t="s">
        <v>38</v>
      </c>
      <c r="O665" t="s">
        <v>2094</v>
      </c>
      <c r="P665" t="s">
        <v>38</v>
      </c>
      <c r="Q665" t="s">
        <v>2095</v>
      </c>
      <c r="R665" t="s">
        <v>2096</v>
      </c>
      <c r="S665" t="s">
        <v>79</v>
      </c>
      <c r="T665" t="s">
        <v>2743</v>
      </c>
      <c r="U665" t="s">
        <v>3211</v>
      </c>
      <c r="V665" t="s">
        <v>91</v>
      </c>
    </row>
    <row r="666" spans="1:22" x14ac:dyDescent="0.35">
      <c r="A666" t="s">
        <v>3212</v>
      </c>
      <c r="B666" t="s">
        <v>3213</v>
      </c>
      <c r="C666" t="s">
        <v>377</v>
      </c>
      <c r="D666" t="s">
        <v>44</v>
      </c>
      <c r="E666" t="s">
        <v>206</v>
      </c>
      <c r="F666" t="s">
        <v>34</v>
      </c>
      <c r="G666" t="s">
        <v>173</v>
      </c>
      <c r="H666" t="s">
        <v>45</v>
      </c>
      <c r="I666" t="s">
        <v>46</v>
      </c>
      <c r="K666" t="s">
        <v>2110</v>
      </c>
      <c r="L666" t="s">
        <v>49</v>
      </c>
      <c r="M666" t="s">
        <v>38</v>
      </c>
      <c r="N666" t="s">
        <v>40</v>
      </c>
      <c r="O666" t="s">
        <v>3214</v>
      </c>
      <c r="P666" t="s">
        <v>48</v>
      </c>
      <c r="S666" t="s">
        <v>53</v>
      </c>
      <c r="T666" t="s">
        <v>2077</v>
      </c>
      <c r="U666" t="s">
        <v>3216</v>
      </c>
      <c r="V666" t="s">
        <v>91</v>
      </c>
    </row>
    <row r="667" spans="1:22" x14ac:dyDescent="0.35">
      <c r="A667" t="s">
        <v>3217</v>
      </c>
      <c r="B667" t="s">
        <v>2155</v>
      </c>
      <c r="C667" t="s">
        <v>60</v>
      </c>
      <c r="D667" t="s">
        <v>158</v>
      </c>
      <c r="E667" t="s">
        <v>28</v>
      </c>
      <c r="F667" t="s">
        <v>28</v>
      </c>
      <c r="G667" t="s">
        <v>28</v>
      </c>
      <c r="H667" t="s">
        <v>94</v>
      </c>
      <c r="I667" t="s">
        <v>46</v>
      </c>
      <c r="K667" t="s">
        <v>2577</v>
      </c>
      <c r="L667" t="s">
        <v>49</v>
      </c>
      <c r="M667" t="s">
        <v>49</v>
      </c>
      <c r="N667" t="s">
        <v>49</v>
      </c>
      <c r="O667" t="s">
        <v>2195</v>
      </c>
      <c r="P667" t="s">
        <v>49</v>
      </c>
      <c r="Q667" t="s">
        <v>2186</v>
      </c>
      <c r="R667" t="s">
        <v>2175</v>
      </c>
      <c r="S667" t="s">
        <v>53</v>
      </c>
      <c r="T667" t="s">
        <v>1030</v>
      </c>
      <c r="U667" t="s">
        <v>3219</v>
      </c>
      <c r="V667" t="s">
        <v>91</v>
      </c>
    </row>
    <row r="668" spans="1:22" x14ac:dyDescent="0.35">
      <c r="A668" t="s">
        <v>3187</v>
      </c>
      <c r="B668" t="s">
        <v>2055</v>
      </c>
      <c r="C668" t="s">
        <v>44</v>
      </c>
      <c r="D668" t="s">
        <v>28</v>
      </c>
      <c r="E668" t="s">
        <v>60</v>
      </c>
      <c r="F668" t="s">
        <v>173</v>
      </c>
      <c r="G668" t="s">
        <v>28</v>
      </c>
      <c r="H668" t="s">
        <v>368</v>
      </c>
      <c r="I668" t="s">
        <v>46</v>
      </c>
      <c r="K668" t="s">
        <v>3220</v>
      </c>
      <c r="L668" t="s">
        <v>48</v>
      </c>
      <c r="M668" t="s">
        <v>48</v>
      </c>
      <c r="N668" t="s">
        <v>49</v>
      </c>
      <c r="O668" t="s">
        <v>3221</v>
      </c>
      <c r="P668" t="s">
        <v>38</v>
      </c>
      <c r="Q668" t="s">
        <v>2095</v>
      </c>
      <c r="R668" t="s">
        <v>2096</v>
      </c>
      <c r="S668" t="s">
        <v>79</v>
      </c>
      <c r="T668" t="s">
        <v>2743</v>
      </c>
      <c r="U668" t="s">
        <v>3222</v>
      </c>
      <c r="V668" t="s">
        <v>91</v>
      </c>
    </row>
    <row r="669" spans="1:22" x14ac:dyDescent="0.35">
      <c r="A669" t="s">
        <v>3223</v>
      </c>
      <c r="B669" t="s">
        <v>32</v>
      </c>
      <c r="C669" t="s">
        <v>377</v>
      </c>
      <c r="D669" t="s">
        <v>44</v>
      </c>
      <c r="E669" t="s">
        <v>73</v>
      </c>
      <c r="F669" t="s">
        <v>72</v>
      </c>
      <c r="G669" t="s">
        <v>73</v>
      </c>
      <c r="H669" t="s">
        <v>73</v>
      </c>
      <c r="I669" t="s">
        <v>36</v>
      </c>
      <c r="K669" t="s">
        <v>2110</v>
      </c>
      <c r="L669" t="s">
        <v>38</v>
      </c>
      <c r="M669" t="s">
        <v>38</v>
      </c>
      <c r="N669" t="s">
        <v>49</v>
      </c>
      <c r="O669" t="s">
        <v>3224</v>
      </c>
      <c r="P669" t="s">
        <v>48</v>
      </c>
      <c r="S669" t="s">
        <v>53</v>
      </c>
      <c r="T669" t="s">
        <v>2077</v>
      </c>
      <c r="U669" t="s">
        <v>2112</v>
      </c>
      <c r="V669" t="s">
        <v>170</v>
      </c>
    </row>
    <row r="670" spans="1:22" x14ac:dyDescent="0.35">
      <c r="A670" t="s">
        <v>3226</v>
      </c>
      <c r="B670" t="s">
        <v>2155</v>
      </c>
      <c r="C670" t="s">
        <v>28</v>
      </c>
      <c r="D670" t="s">
        <v>28</v>
      </c>
      <c r="E670" t="s">
        <v>284</v>
      </c>
      <c r="F670" t="s">
        <v>28</v>
      </c>
      <c r="G670" t="s">
        <v>28</v>
      </c>
      <c r="H670" t="s">
        <v>28</v>
      </c>
      <c r="I670" t="s">
        <v>46</v>
      </c>
      <c r="K670" t="s">
        <v>2577</v>
      </c>
      <c r="L670" t="s">
        <v>49</v>
      </c>
      <c r="M670" t="s">
        <v>38</v>
      </c>
      <c r="N670" t="s">
        <v>49</v>
      </c>
      <c r="O670" t="s">
        <v>2253</v>
      </c>
      <c r="P670" t="s">
        <v>49</v>
      </c>
      <c r="Q670" t="s">
        <v>2244</v>
      </c>
      <c r="R670" t="s">
        <v>2175</v>
      </c>
      <c r="S670" t="s">
        <v>53</v>
      </c>
      <c r="T670" t="s">
        <v>1030</v>
      </c>
      <c r="U670" t="s">
        <v>3228</v>
      </c>
      <c r="V670" t="s">
        <v>91</v>
      </c>
    </row>
    <row r="671" spans="1:22" x14ac:dyDescent="0.35">
      <c r="A671" t="s">
        <v>3229</v>
      </c>
      <c r="B671" t="s">
        <v>2055</v>
      </c>
      <c r="C671" t="s">
        <v>44</v>
      </c>
      <c r="D671" t="s">
        <v>60</v>
      </c>
      <c r="E671" t="s">
        <v>60</v>
      </c>
      <c r="F671" t="s">
        <v>103</v>
      </c>
      <c r="G671" t="s">
        <v>28</v>
      </c>
      <c r="H671" t="s">
        <v>45</v>
      </c>
      <c r="I671" t="s">
        <v>36</v>
      </c>
      <c r="K671" t="s">
        <v>3230</v>
      </c>
      <c r="L671" t="s">
        <v>48</v>
      </c>
      <c r="M671" t="s">
        <v>48</v>
      </c>
      <c r="N671" t="s">
        <v>38</v>
      </c>
      <c r="O671" t="s">
        <v>2094</v>
      </c>
      <c r="P671" t="s">
        <v>49</v>
      </c>
      <c r="Q671" t="s">
        <v>2095</v>
      </c>
      <c r="R671" t="s">
        <v>2096</v>
      </c>
      <c r="S671" t="s">
        <v>79</v>
      </c>
      <c r="T671" t="s">
        <v>127</v>
      </c>
      <c r="U671" t="s">
        <v>3232</v>
      </c>
      <c r="V671" t="s">
        <v>91</v>
      </c>
    </row>
    <row r="672" spans="1:22" x14ac:dyDescent="0.35">
      <c r="A672" t="s">
        <v>3233</v>
      </c>
      <c r="B672" t="s">
        <v>2155</v>
      </c>
      <c r="C672" t="s">
        <v>28</v>
      </c>
      <c r="D672" t="s">
        <v>28</v>
      </c>
      <c r="E672" t="s">
        <v>28</v>
      </c>
      <c r="F672" t="s">
        <v>28</v>
      </c>
      <c r="G672" t="s">
        <v>28</v>
      </c>
      <c r="H672" t="s">
        <v>28</v>
      </c>
      <c r="I672" t="s">
        <v>46</v>
      </c>
      <c r="K672" t="s">
        <v>2540</v>
      </c>
      <c r="L672" t="s">
        <v>38</v>
      </c>
      <c r="M672" t="s">
        <v>38</v>
      </c>
      <c r="N672" t="s">
        <v>49</v>
      </c>
      <c r="O672" t="s">
        <v>2253</v>
      </c>
      <c r="P672" t="s">
        <v>49</v>
      </c>
      <c r="Q672" t="s">
        <v>2186</v>
      </c>
      <c r="R672" t="s">
        <v>2175</v>
      </c>
      <c r="S672" t="s">
        <v>53</v>
      </c>
      <c r="T672" t="s">
        <v>1030</v>
      </c>
      <c r="U672" t="s">
        <v>3228</v>
      </c>
      <c r="V672" t="s">
        <v>91</v>
      </c>
    </row>
    <row r="673" spans="1:22" x14ac:dyDescent="0.35">
      <c r="A673" t="s">
        <v>3235</v>
      </c>
      <c r="B673" t="s">
        <v>32</v>
      </c>
      <c r="C673" t="s">
        <v>29</v>
      </c>
      <c r="D673" t="s">
        <v>197</v>
      </c>
      <c r="E673" t="s">
        <v>206</v>
      </c>
      <c r="F673" t="s">
        <v>30</v>
      </c>
      <c r="G673" t="s">
        <v>45</v>
      </c>
      <c r="H673" t="s">
        <v>73</v>
      </c>
      <c r="I673" t="s">
        <v>46</v>
      </c>
      <c r="K673" t="s">
        <v>2110</v>
      </c>
      <c r="L673" t="s">
        <v>38</v>
      </c>
      <c r="M673" t="s">
        <v>48</v>
      </c>
      <c r="N673" t="s">
        <v>40</v>
      </c>
      <c r="O673" t="s">
        <v>3236</v>
      </c>
      <c r="P673" t="s">
        <v>48</v>
      </c>
      <c r="S673" t="s">
        <v>53</v>
      </c>
      <c r="T673" t="s">
        <v>2077</v>
      </c>
      <c r="U673" t="s">
        <v>3238</v>
      </c>
      <c r="V673" t="s">
        <v>170</v>
      </c>
    </row>
    <row r="674" spans="1:22" x14ac:dyDescent="0.35">
      <c r="A674" t="s">
        <v>3239</v>
      </c>
      <c r="B674" t="s">
        <v>2055</v>
      </c>
      <c r="C674" t="s">
        <v>377</v>
      </c>
      <c r="D674" t="s">
        <v>44</v>
      </c>
      <c r="E674" t="s">
        <v>44</v>
      </c>
      <c r="F674" t="s">
        <v>103</v>
      </c>
      <c r="G674" t="s">
        <v>28</v>
      </c>
      <c r="H674" t="s">
        <v>45</v>
      </c>
      <c r="I674" t="s">
        <v>36</v>
      </c>
      <c r="K674" t="s">
        <v>3230</v>
      </c>
      <c r="L674" t="s">
        <v>48</v>
      </c>
      <c r="M674" t="s">
        <v>48</v>
      </c>
      <c r="N674" t="s">
        <v>49</v>
      </c>
      <c r="O674" t="s">
        <v>2094</v>
      </c>
      <c r="P674" t="s">
        <v>49</v>
      </c>
      <c r="Q674" t="s">
        <v>2095</v>
      </c>
      <c r="R674" t="s">
        <v>2282</v>
      </c>
      <c r="S674" t="s">
        <v>79</v>
      </c>
      <c r="T674" t="s">
        <v>127</v>
      </c>
      <c r="U674" t="s">
        <v>3241</v>
      </c>
      <c r="V674" t="s">
        <v>91</v>
      </c>
    </row>
    <row r="675" spans="1:22" x14ac:dyDescent="0.35">
      <c r="A675" t="s">
        <v>3242</v>
      </c>
      <c r="B675" t="s">
        <v>1875</v>
      </c>
      <c r="C675" t="s">
        <v>28</v>
      </c>
      <c r="D675" t="s">
        <v>60</v>
      </c>
      <c r="E675" t="s">
        <v>157</v>
      </c>
      <c r="F675" t="s">
        <v>173</v>
      </c>
      <c r="G675" t="s">
        <v>45</v>
      </c>
      <c r="H675" t="s">
        <v>45</v>
      </c>
      <c r="I675" t="s">
        <v>46</v>
      </c>
      <c r="K675" t="s">
        <v>2525</v>
      </c>
      <c r="L675" t="s">
        <v>49</v>
      </c>
      <c r="M675" t="s">
        <v>49</v>
      </c>
      <c r="N675" t="s">
        <v>48</v>
      </c>
      <c r="O675" t="s">
        <v>3243</v>
      </c>
      <c r="P675" t="s">
        <v>49</v>
      </c>
      <c r="Q675" t="s">
        <v>3244</v>
      </c>
      <c r="R675" t="s">
        <v>3245</v>
      </c>
      <c r="S675" t="s">
        <v>53</v>
      </c>
      <c r="T675" t="s">
        <v>118</v>
      </c>
      <c r="U675" t="s">
        <v>3247</v>
      </c>
      <c r="V675" t="s">
        <v>91</v>
      </c>
    </row>
    <row r="676" spans="1:22" x14ac:dyDescent="0.35">
      <c r="A676" t="s">
        <v>3248</v>
      </c>
      <c r="B676" t="s">
        <v>2155</v>
      </c>
      <c r="C676" t="s">
        <v>28</v>
      </c>
      <c r="D676" t="s">
        <v>28</v>
      </c>
      <c r="E676" t="s">
        <v>28</v>
      </c>
      <c r="F676" t="s">
        <v>28</v>
      </c>
      <c r="G676" t="s">
        <v>28</v>
      </c>
      <c r="H676" t="s">
        <v>28</v>
      </c>
      <c r="I676" t="s">
        <v>46</v>
      </c>
      <c r="K676" t="s">
        <v>2540</v>
      </c>
      <c r="L676" t="s">
        <v>48</v>
      </c>
      <c r="M676" t="s">
        <v>48</v>
      </c>
      <c r="N676" t="s">
        <v>48</v>
      </c>
      <c r="O676" t="s">
        <v>2195</v>
      </c>
      <c r="P676" t="s">
        <v>49</v>
      </c>
      <c r="Q676" t="s">
        <v>2244</v>
      </c>
      <c r="R676" t="s">
        <v>2175</v>
      </c>
      <c r="S676" t="s">
        <v>53</v>
      </c>
      <c r="T676" t="s">
        <v>1030</v>
      </c>
      <c r="U676" t="s">
        <v>3250</v>
      </c>
      <c r="V676" t="s">
        <v>91</v>
      </c>
    </row>
    <row r="677" spans="1:22" x14ac:dyDescent="0.35">
      <c r="A677" t="s">
        <v>3251</v>
      </c>
      <c r="B677" t="s">
        <v>1875</v>
      </c>
      <c r="C677" t="s">
        <v>60</v>
      </c>
      <c r="D677" t="s">
        <v>44</v>
      </c>
      <c r="E677" t="s">
        <v>157</v>
      </c>
      <c r="F677" t="s">
        <v>103</v>
      </c>
      <c r="G677" t="s">
        <v>45</v>
      </c>
      <c r="H677" t="s">
        <v>45</v>
      </c>
      <c r="I677" t="s">
        <v>46</v>
      </c>
      <c r="K677" t="s">
        <v>2525</v>
      </c>
      <c r="L677" t="s">
        <v>49</v>
      </c>
      <c r="M677" t="s">
        <v>48</v>
      </c>
      <c r="N677" t="s">
        <v>49</v>
      </c>
      <c r="O677" t="s">
        <v>3252</v>
      </c>
      <c r="P677" t="s">
        <v>49</v>
      </c>
      <c r="Q677" t="s">
        <v>3253</v>
      </c>
      <c r="R677" t="s">
        <v>3254</v>
      </c>
      <c r="S677" t="s">
        <v>53</v>
      </c>
      <c r="T677" t="s">
        <v>118</v>
      </c>
      <c r="U677" t="s">
        <v>3256</v>
      </c>
      <c r="V677" t="s">
        <v>91</v>
      </c>
    </row>
    <row r="678" spans="1:22" x14ac:dyDescent="0.35">
      <c r="A678" t="s">
        <v>3257</v>
      </c>
      <c r="B678" t="s">
        <v>32</v>
      </c>
      <c r="C678" t="s">
        <v>449</v>
      </c>
      <c r="D678" t="s">
        <v>33</v>
      </c>
      <c r="E678" t="s">
        <v>284</v>
      </c>
      <c r="F678" t="s">
        <v>158</v>
      </c>
      <c r="G678" t="s">
        <v>30</v>
      </c>
      <c r="H678" t="s">
        <v>73</v>
      </c>
      <c r="I678" t="s">
        <v>46</v>
      </c>
      <c r="K678" t="s">
        <v>2212</v>
      </c>
      <c r="L678" t="s">
        <v>48</v>
      </c>
      <c r="M678" t="s">
        <v>48</v>
      </c>
      <c r="N678" t="s">
        <v>48</v>
      </c>
      <c r="O678" t="s">
        <v>3258</v>
      </c>
      <c r="P678" t="s">
        <v>48</v>
      </c>
      <c r="S678" t="s">
        <v>53</v>
      </c>
      <c r="T678" t="s">
        <v>2246</v>
      </c>
      <c r="U678" t="s">
        <v>3260</v>
      </c>
      <c r="V678" t="s">
        <v>91</v>
      </c>
    </row>
    <row r="679" spans="1:22" x14ac:dyDescent="0.35">
      <c r="A679" t="s">
        <v>3261</v>
      </c>
      <c r="B679" t="s">
        <v>1875</v>
      </c>
      <c r="C679" t="s">
        <v>44</v>
      </c>
      <c r="D679" t="s">
        <v>44</v>
      </c>
      <c r="E679" t="s">
        <v>60</v>
      </c>
      <c r="F679" t="s">
        <v>103</v>
      </c>
      <c r="G679" t="s">
        <v>45</v>
      </c>
      <c r="H679" t="s">
        <v>368</v>
      </c>
      <c r="I679" t="s">
        <v>36</v>
      </c>
      <c r="K679" t="s">
        <v>2553</v>
      </c>
      <c r="L679" t="s">
        <v>48</v>
      </c>
      <c r="M679" t="s">
        <v>49</v>
      </c>
      <c r="N679" t="s">
        <v>49</v>
      </c>
      <c r="O679" t="s">
        <v>3262</v>
      </c>
      <c r="P679" t="s">
        <v>38</v>
      </c>
      <c r="Q679" t="s">
        <v>3263</v>
      </c>
      <c r="R679" t="s">
        <v>3264</v>
      </c>
      <c r="S679" t="s">
        <v>53</v>
      </c>
      <c r="T679" t="s">
        <v>118</v>
      </c>
      <c r="U679" t="s">
        <v>3266</v>
      </c>
      <c r="V679" t="s">
        <v>91</v>
      </c>
    </row>
    <row r="680" spans="1:22" x14ac:dyDescent="0.35">
      <c r="A680" t="s">
        <v>3267</v>
      </c>
      <c r="B680" t="s">
        <v>2155</v>
      </c>
      <c r="C680" t="s">
        <v>28</v>
      </c>
      <c r="D680" t="s">
        <v>158</v>
      </c>
      <c r="E680" t="s">
        <v>28</v>
      </c>
      <c r="F680" t="s">
        <v>28</v>
      </c>
      <c r="G680" t="s">
        <v>28</v>
      </c>
      <c r="H680" t="s">
        <v>28</v>
      </c>
      <c r="I680" t="s">
        <v>46</v>
      </c>
      <c r="K680" t="s">
        <v>2391</v>
      </c>
      <c r="L680" t="s">
        <v>49</v>
      </c>
      <c r="M680" t="s">
        <v>38</v>
      </c>
      <c r="N680" t="s">
        <v>49</v>
      </c>
      <c r="O680" t="s">
        <v>2195</v>
      </c>
      <c r="P680" t="s">
        <v>49</v>
      </c>
      <c r="Q680" t="s">
        <v>2304</v>
      </c>
      <c r="R680" t="s">
        <v>2175</v>
      </c>
      <c r="S680" t="s">
        <v>53</v>
      </c>
      <c r="T680" t="s">
        <v>1030</v>
      </c>
      <c r="U680" t="s">
        <v>3269</v>
      </c>
      <c r="V680" t="s">
        <v>91</v>
      </c>
    </row>
    <row r="681" spans="1:22" x14ac:dyDescent="0.35">
      <c r="A681" t="s">
        <v>3270</v>
      </c>
      <c r="B681" t="s">
        <v>2055</v>
      </c>
      <c r="C681" t="s">
        <v>44</v>
      </c>
      <c r="D681" t="s">
        <v>44</v>
      </c>
      <c r="E681" t="s">
        <v>44</v>
      </c>
      <c r="F681" t="s">
        <v>103</v>
      </c>
      <c r="G681" t="s">
        <v>28</v>
      </c>
      <c r="H681" t="s">
        <v>45</v>
      </c>
      <c r="I681" t="s">
        <v>46</v>
      </c>
      <c r="K681" t="s">
        <v>132</v>
      </c>
      <c r="L681" t="s">
        <v>48</v>
      </c>
      <c r="M681" t="s">
        <v>48</v>
      </c>
      <c r="N681" t="s">
        <v>48</v>
      </c>
      <c r="O681" t="s">
        <v>2094</v>
      </c>
      <c r="P681" t="s">
        <v>49</v>
      </c>
      <c r="Q681" t="s">
        <v>2095</v>
      </c>
      <c r="R681" t="s">
        <v>2282</v>
      </c>
      <c r="S681" t="s">
        <v>79</v>
      </c>
      <c r="T681" t="s">
        <v>127</v>
      </c>
      <c r="U681" t="s">
        <v>3272</v>
      </c>
      <c r="V681" t="s">
        <v>91</v>
      </c>
    </row>
    <row r="682" spans="1:22" x14ac:dyDescent="0.35">
      <c r="A682" t="s">
        <v>3273</v>
      </c>
      <c r="B682" t="s">
        <v>1875</v>
      </c>
      <c r="C682" t="s">
        <v>28</v>
      </c>
      <c r="D682" t="s">
        <v>44</v>
      </c>
      <c r="E682" t="s">
        <v>157</v>
      </c>
      <c r="F682" t="s">
        <v>103</v>
      </c>
      <c r="G682" t="s">
        <v>45</v>
      </c>
      <c r="H682" t="s">
        <v>45</v>
      </c>
      <c r="I682" t="s">
        <v>46</v>
      </c>
      <c r="K682" t="s">
        <v>2553</v>
      </c>
      <c r="L682" t="s">
        <v>49</v>
      </c>
      <c r="M682" t="s">
        <v>49</v>
      </c>
      <c r="N682" t="s">
        <v>49</v>
      </c>
      <c r="O682" t="s">
        <v>3274</v>
      </c>
      <c r="P682" t="s">
        <v>49</v>
      </c>
      <c r="Q682" t="s">
        <v>3275</v>
      </c>
      <c r="R682" t="s">
        <v>3276</v>
      </c>
      <c r="S682" t="s">
        <v>53</v>
      </c>
      <c r="T682" t="s">
        <v>118</v>
      </c>
      <c r="U682" t="s">
        <v>3278</v>
      </c>
      <c r="V682" t="s">
        <v>91</v>
      </c>
    </row>
    <row r="683" spans="1:22" x14ac:dyDescent="0.35">
      <c r="A683" t="s">
        <v>3279</v>
      </c>
      <c r="B683" t="s">
        <v>2119</v>
      </c>
      <c r="C683" t="s">
        <v>60</v>
      </c>
      <c r="D683" t="s">
        <v>72</v>
      </c>
      <c r="E683" t="s">
        <v>28</v>
      </c>
      <c r="F683" t="s">
        <v>28</v>
      </c>
      <c r="G683" t="s">
        <v>28</v>
      </c>
      <c r="H683" t="s">
        <v>28</v>
      </c>
      <c r="I683" t="s">
        <v>46</v>
      </c>
      <c r="K683" t="s">
        <v>2212</v>
      </c>
      <c r="L683" t="s">
        <v>48</v>
      </c>
      <c r="M683" t="s">
        <v>48</v>
      </c>
      <c r="N683" t="s">
        <v>49</v>
      </c>
      <c r="O683" t="s">
        <v>3280</v>
      </c>
      <c r="P683" t="s">
        <v>38</v>
      </c>
      <c r="S683" t="s">
        <v>53</v>
      </c>
      <c r="T683" t="s">
        <v>2246</v>
      </c>
      <c r="U683" t="s">
        <v>3282</v>
      </c>
      <c r="V683" t="s">
        <v>170</v>
      </c>
    </row>
    <row r="684" spans="1:22" x14ac:dyDescent="0.35">
      <c r="A684" t="s">
        <v>3283</v>
      </c>
      <c r="B684" t="s">
        <v>1875</v>
      </c>
      <c r="C684" t="s">
        <v>28</v>
      </c>
      <c r="D684" t="s">
        <v>44</v>
      </c>
      <c r="E684" t="s">
        <v>157</v>
      </c>
      <c r="F684" t="s">
        <v>103</v>
      </c>
      <c r="G684" t="s">
        <v>45</v>
      </c>
      <c r="H684" t="s">
        <v>45</v>
      </c>
      <c r="I684" t="s">
        <v>36</v>
      </c>
      <c r="K684" t="s">
        <v>2553</v>
      </c>
      <c r="L684" t="s">
        <v>49</v>
      </c>
      <c r="M684" t="s">
        <v>48</v>
      </c>
      <c r="N684" t="s">
        <v>49</v>
      </c>
      <c r="O684" t="s">
        <v>3284</v>
      </c>
      <c r="P684" t="s">
        <v>49</v>
      </c>
      <c r="Q684" t="s">
        <v>3285</v>
      </c>
      <c r="R684" t="s">
        <v>3286</v>
      </c>
      <c r="S684" t="s">
        <v>53</v>
      </c>
      <c r="T684" t="s">
        <v>118</v>
      </c>
      <c r="U684" t="s">
        <v>3288</v>
      </c>
      <c r="V684" t="s">
        <v>91</v>
      </c>
    </row>
    <row r="685" spans="1:22" x14ac:dyDescent="0.35">
      <c r="A685" t="s">
        <v>3289</v>
      </c>
      <c r="B685" t="s">
        <v>2155</v>
      </c>
      <c r="C685" t="s">
        <v>28</v>
      </c>
      <c r="D685" t="s">
        <v>28</v>
      </c>
      <c r="E685" t="s">
        <v>28</v>
      </c>
      <c r="F685" t="s">
        <v>196</v>
      </c>
      <c r="G685" t="s">
        <v>28</v>
      </c>
      <c r="H685" t="s">
        <v>28</v>
      </c>
      <c r="I685" t="s">
        <v>46</v>
      </c>
      <c r="K685" t="s">
        <v>2391</v>
      </c>
      <c r="L685" t="s">
        <v>38</v>
      </c>
      <c r="M685" t="s">
        <v>38</v>
      </c>
      <c r="N685" t="s">
        <v>49</v>
      </c>
      <c r="O685" t="s">
        <v>2195</v>
      </c>
      <c r="P685" t="s">
        <v>38</v>
      </c>
      <c r="Q685" t="s">
        <v>2244</v>
      </c>
      <c r="R685" t="s">
        <v>2175</v>
      </c>
      <c r="S685" t="s">
        <v>53</v>
      </c>
      <c r="T685" t="s">
        <v>1030</v>
      </c>
      <c r="U685" t="s">
        <v>3291</v>
      </c>
      <c r="V685" t="s">
        <v>91</v>
      </c>
    </row>
    <row r="686" spans="1:22" x14ac:dyDescent="0.35">
      <c r="A686" t="s">
        <v>3292</v>
      </c>
      <c r="B686" t="s">
        <v>2859</v>
      </c>
      <c r="C686" t="s">
        <v>44</v>
      </c>
      <c r="D686" t="s">
        <v>44</v>
      </c>
      <c r="E686" t="s">
        <v>44</v>
      </c>
      <c r="F686" t="s">
        <v>103</v>
      </c>
      <c r="G686" t="s">
        <v>103</v>
      </c>
      <c r="H686" t="s">
        <v>28</v>
      </c>
      <c r="I686" t="s">
        <v>46</v>
      </c>
      <c r="K686" t="s">
        <v>3293</v>
      </c>
      <c r="L686" t="s">
        <v>48</v>
      </c>
      <c r="M686" t="s">
        <v>48</v>
      </c>
      <c r="N686" t="s">
        <v>38</v>
      </c>
      <c r="O686" t="s">
        <v>2094</v>
      </c>
      <c r="P686" t="s">
        <v>49</v>
      </c>
      <c r="Q686" t="s">
        <v>2095</v>
      </c>
      <c r="R686" t="s">
        <v>2282</v>
      </c>
      <c r="S686" t="s">
        <v>53</v>
      </c>
      <c r="T686" t="s">
        <v>127</v>
      </c>
      <c r="U686" t="s">
        <v>3295</v>
      </c>
      <c r="V686" t="s">
        <v>91</v>
      </c>
    </row>
    <row r="687" spans="1:22" x14ac:dyDescent="0.35">
      <c r="A687" t="s">
        <v>3296</v>
      </c>
      <c r="B687" t="s">
        <v>1875</v>
      </c>
      <c r="C687" t="s">
        <v>28</v>
      </c>
      <c r="D687" t="s">
        <v>44</v>
      </c>
      <c r="E687" t="s">
        <v>157</v>
      </c>
      <c r="F687" t="s">
        <v>103</v>
      </c>
      <c r="G687" t="s">
        <v>45</v>
      </c>
      <c r="H687" t="s">
        <v>45</v>
      </c>
      <c r="I687" t="s">
        <v>36</v>
      </c>
      <c r="K687" t="s">
        <v>2599</v>
      </c>
      <c r="L687" t="s">
        <v>49</v>
      </c>
      <c r="M687" t="s">
        <v>49</v>
      </c>
      <c r="N687" t="s">
        <v>48</v>
      </c>
      <c r="O687" t="s">
        <v>15</v>
      </c>
      <c r="P687" t="s">
        <v>49</v>
      </c>
      <c r="Q687" t="s">
        <v>3297</v>
      </c>
      <c r="R687" t="s">
        <v>3298</v>
      </c>
      <c r="S687" t="s">
        <v>53</v>
      </c>
      <c r="T687" t="s">
        <v>118</v>
      </c>
      <c r="U687" t="s">
        <v>3300</v>
      </c>
      <c r="V687" t="s">
        <v>91</v>
      </c>
    </row>
    <row r="688" spans="1:22" x14ac:dyDescent="0.35">
      <c r="A688" t="s">
        <v>3301</v>
      </c>
      <c r="B688" t="s">
        <v>493</v>
      </c>
      <c r="C688" t="s">
        <v>60</v>
      </c>
      <c r="D688" t="s">
        <v>29</v>
      </c>
      <c r="E688" t="s">
        <v>60</v>
      </c>
      <c r="F688" t="s">
        <v>173</v>
      </c>
      <c r="G688" t="s">
        <v>34</v>
      </c>
      <c r="H688" t="s">
        <v>292</v>
      </c>
      <c r="I688" t="s">
        <v>36</v>
      </c>
      <c r="K688" t="s">
        <v>2212</v>
      </c>
      <c r="M688" t="s">
        <v>48</v>
      </c>
      <c r="N688" t="s">
        <v>49</v>
      </c>
      <c r="O688" t="s">
        <v>3302</v>
      </c>
      <c r="P688" t="s">
        <v>49</v>
      </c>
      <c r="S688" t="s">
        <v>53</v>
      </c>
      <c r="T688" t="s">
        <v>2246</v>
      </c>
      <c r="U688" t="s">
        <v>3304</v>
      </c>
      <c r="V688" t="s">
        <v>170</v>
      </c>
    </row>
    <row r="689" spans="1:22" x14ac:dyDescent="0.35">
      <c r="A689" t="s">
        <v>3305</v>
      </c>
      <c r="B689" t="s">
        <v>1875</v>
      </c>
      <c r="C689" t="s">
        <v>44</v>
      </c>
      <c r="D689" t="s">
        <v>44</v>
      </c>
      <c r="E689" t="s">
        <v>44</v>
      </c>
      <c r="F689" t="s">
        <v>173</v>
      </c>
      <c r="G689" t="s">
        <v>103</v>
      </c>
      <c r="H689" t="s">
        <v>45</v>
      </c>
      <c r="I689" t="s">
        <v>46</v>
      </c>
      <c r="K689" t="s">
        <v>2635</v>
      </c>
      <c r="L689" t="s">
        <v>49</v>
      </c>
      <c r="M689" t="s">
        <v>49</v>
      </c>
      <c r="N689" t="s">
        <v>49</v>
      </c>
      <c r="O689" t="s">
        <v>3306</v>
      </c>
      <c r="P689" t="s">
        <v>48</v>
      </c>
      <c r="Q689" t="s">
        <v>3307</v>
      </c>
      <c r="R689" t="s">
        <v>3308</v>
      </c>
      <c r="S689" t="s">
        <v>53</v>
      </c>
      <c r="T689" t="s">
        <v>118</v>
      </c>
      <c r="U689" t="s">
        <v>3310</v>
      </c>
      <c r="V689" t="s">
        <v>91</v>
      </c>
    </row>
    <row r="690" spans="1:22" x14ac:dyDescent="0.35">
      <c r="A690" t="s">
        <v>3311</v>
      </c>
      <c r="B690" t="s">
        <v>3312</v>
      </c>
      <c r="C690" t="s">
        <v>344</v>
      </c>
      <c r="D690" t="s">
        <v>33</v>
      </c>
      <c r="E690" t="s">
        <v>29</v>
      </c>
      <c r="F690" t="s">
        <v>72</v>
      </c>
      <c r="G690" t="s">
        <v>30</v>
      </c>
      <c r="H690" t="s">
        <v>73</v>
      </c>
      <c r="I690" t="s">
        <v>36</v>
      </c>
      <c r="K690" t="s">
        <v>2235</v>
      </c>
      <c r="L690" t="s">
        <v>48</v>
      </c>
      <c r="M690" t="s">
        <v>48</v>
      </c>
      <c r="N690" t="s">
        <v>48</v>
      </c>
      <c r="O690" t="s">
        <v>3313</v>
      </c>
      <c r="P690" t="s">
        <v>48</v>
      </c>
      <c r="S690" t="s">
        <v>53</v>
      </c>
      <c r="T690" t="s">
        <v>2246</v>
      </c>
      <c r="U690" t="s">
        <v>3315</v>
      </c>
      <c r="V690" t="s">
        <v>91</v>
      </c>
    </row>
    <row r="691" spans="1:22" x14ac:dyDescent="0.35">
      <c r="A691" t="s">
        <v>3316</v>
      </c>
      <c r="B691" t="s">
        <v>1875</v>
      </c>
      <c r="C691" t="s">
        <v>377</v>
      </c>
      <c r="D691" t="s">
        <v>158</v>
      </c>
      <c r="E691" t="s">
        <v>157</v>
      </c>
      <c r="F691" t="s">
        <v>103</v>
      </c>
      <c r="G691" t="s">
        <v>103</v>
      </c>
      <c r="H691" t="s">
        <v>35</v>
      </c>
      <c r="I691" t="s">
        <v>46</v>
      </c>
      <c r="K691" t="s">
        <v>2635</v>
      </c>
      <c r="L691" t="s">
        <v>49</v>
      </c>
      <c r="M691" t="s">
        <v>49</v>
      </c>
      <c r="N691" t="s">
        <v>48</v>
      </c>
      <c r="O691" t="s">
        <v>3317</v>
      </c>
      <c r="P691" t="s">
        <v>49</v>
      </c>
      <c r="Q691" t="s">
        <v>3318</v>
      </c>
      <c r="R691" t="s">
        <v>3319</v>
      </c>
      <c r="S691" t="s">
        <v>53</v>
      </c>
      <c r="T691" t="s">
        <v>118</v>
      </c>
      <c r="U691" t="s">
        <v>3321</v>
      </c>
      <c r="V691" t="s">
        <v>91</v>
      </c>
    </row>
    <row r="692" spans="1:22" x14ac:dyDescent="0.35">
      <c r="A692" t="s">
        <v>3322</v>
      </c>
      <c r="B692" t="s">
        <v>2155</v>
      </c>
      <c r="C692" t="s">
        <v>28</v>
      </c>
      <c r="D692" t="s">
        <v>196</v>
      </c>
      <c r="E692" t="s">
        <v>28</v>
      </c>
      <c r="F692" t="s">
        <v>28</v>
      </c>
      <c r="G692" t="s">
        <v>28</v>
      </c>
      <c r="H692" t="s">
        <v>28</v>
      </c>
      <c r="I692" t="s">
        <v>46</v>
      </c>
      <c r="K692" t="s">
        <v>2391</v>
      </c>
      <c r="L692" t="s">
        <v>38</v>
      </c>
      <c r="M692" t="s">
        <v>49</v>
      </c>
      <c r="N692" t="s">
        <v>49</v>
      </c>
      <c r="O692" t="s">
        <v>2195</v>
      </c>
      <c r="P692" t="s">
        <v>49</v>
      </c>
      <c r="Q692" t="s">
        <v>2244</v>
      </c>
      <c r="R692" t="s">
        <v>2175</v>
      </c>
      <c r="S692" t="s">
        <v>53</v>
      </c>
      <c r="T692" t="s">
        <v>1030</v>
      </c>
      <c r="U692" t="s">
        <v>3324</v>
      </c>
      <c r="V692" t="s">
        <v>91</v>
      </c>
    </row>
    <row r="693" spans="1:22" x14ac:dyDescent="0.35">
      <c r="A693" t="s">
        <v>3325</v>
      </c>
      <c r="B693" t="s">
        <v>1883</v>
      </c>
      <c r="C693" t="s">
        <v>29</v>
      </c>
      <c r="D693" t="s">
        <v>29</v>
      </c>
      <c r="E693" t="s">
        <v>29</v>
      </c>
      <c r="F693" t="s">
        <v>30</v>
      </c>
      <c r="G693" t="s">
        <v>30</v>
      </c>
      <c r="H693" t="s">
        <v>28</v>
      </c>
      <c r="I693" t="s">
        <v>46</v>
      </c>
      <c r="K693" t="s">
        <v>2984</v>
      </c>
      <c r="L693" t="s">
        <v>38</v>
      </c>
      <c r="M693" t="s">
        <v>38</v>
      </c>
      <c r="N693" t="s">
        <v>38</v>
      </c>
      <c r="O693" t="s">
        <v>3326</v>
      </c>
      <c r="P693" t="s">
        <v>38</v>
      </c>
      <c r="Q693" t="s">
        <v>3327</v>
      </c>
      <c r="R693" t="s">
        <v>3328</v>
      </c>
      <c r="S693" t="s">
        <v>53</v>
      </c>
      <c r="T693" t="s">
        <v>3028</v>
      </c>
      <c r="U693" t="s">
        <v>3330</v>
      </c>
      <c r="V693" t="s">
        <v>91</v>
      </c>
    </row>
    <row r="694" spans="1:22" x14ac:dyDescent="0.35">
      <c r="A694" t="s">
        <v>2032</v>
      </c>
      <c r="B694" t="s">
        <v>2155</v>
      </c>
      <c r="C694" t="s">
        <v>28</v>
      </c>
      <c r="D694" t="s">
        <v>60</v>
      </c>
      <c r="E694" t="s">
        <v>28</v>
      </c>
      <c r="F694" t="s">
        <v>28</v>
      </c>
      <c r="G694" t="s">
        <v>28</v>
      </c>
      <c r="H694" t="s">
        <v>28</v>
      </c>
      <c r="I694" t="s">
        <v>46</v>
      </c>
      <c r="K694" t="s">
        <v>2391</v>
      </c>
      <c r="L694" t="s">
        <v>38</v>
      </c>
      <c r="M694" t="s">
        <v>48</v>
      </c>
      <c r="N694" t="s">
        <v>49</v>
      </c>
      <c r="O694" t="s">
        <v>2253</v>
      </c>
      <c r="P694" t="s">
        <v>48</v>
      </c>
      <c r="Q694" t="s">
        <v>2244</v>
      </c>
      <c r="R694" t="s">
        <v>2461</v>
      </c>
      <c r="S694" t="s">
        <v>53</v>
      </c>
      <c r="T694" t="s">
        <v>1030</v>
      </c>
      <c r="U694" t="s">
        <v>3332</v>
      </c>
      <c r="V694" t="s">
        <v>91</v>
      </c>
    </row>
    <row r="695" spans="1:22" x14ac:dyDescent="0.35">
      <c r="A695" t="s">
        <v>3333</v>
      </c>
      <c r="B695" t="s">
        <v>1875</v>
      </c>
      <c r="C695" t="s">
        <v>44</v>
      </c>
      <c r="D695" t="s">
        <v>28</v>
      </c>
      <c r="E695" t="s">
        <v>44</v>
      </c>
      <c r="F695" t="s">
        <v>103</v>
      </c>
      <c r="G695" t="s">
        <v>103</v>
      </c>
      <c r="H695" t="s">
        <v>45</v>
      </c>
      <c r="I695" t="s">
        <v>46</v>
      </c>
      <c r="K695" t="s">
        <v>2635</v>
      </c>
      <c r="L695" t="s">
        <v>49</v>
      </c>
      <c r="M695" t="s">
        <v>38</v>
      </c>
      <c r="N695" t="s">
        <v>38</v>
      </c>
      <c r="O695" t="s">
        <v>3334</v>
      </c>
      <c r="P695" t="s">
        <v>49</v>
      </c>
      <c r="Q695" t="s">
        <v>3335</v>
      </c>
      <c r="R695" t="s">
        <v>3336</v>
      </c>
      <c r="S695" t="s">
        <v>53</v>
      </c>
      <c r="T695" t="s">
        <v>118</v>
      </c>
      <c r="U695" t="s">
        <v>3338</v>
      </c>
      <c r="V695" t="s">
        <v>91</v>
      </c>
    </row>
    <row r="696" spans="1:22" x14ac:dyDescent="0.35">
      <c r="A696" t="s">
        <v>3339</v>
      </c>
      <c r="B696" t="s">
        <v>2155</v>
      </c>
      <c r="C696" t="s">
        <v>28</v>
      </c>
      <c r="D696" t="s">
        <v>28</v>
      </c>
      <c r="E696" t="s">
        <v>28</v>
      </c>
      <c r="F696" t="s">
        <v>158</v>
      </c>
      <c r="G696" t="s">
        <v>28</v>
      </c>
      <c r="H696" t="s">
        <v>28</v>
      </c>
      <c r="I696" t="s">
        <v>46</v>
      </c>
      <c r="K696" t="s">
        <v>3171</v>
      </c>
      <c r="L696" t="s">
        <v>38</v>
      </c>
      <c r="M696" t="s">
        <v>38</v>
      </c>
      <c r="N696" t="s">
        <v>49</v>
      </c>
      <c r="O696" t="s">
        <v>2253</v>
      </c>
      <c r="P696" t="s">
        <v>49</v>
      </c>
      <c r="Q696" t="s">
        <v>2244</v>
      </c>
      <c r="R696" t="s">
        <v>2175</v>
      </c>
      <c r="S696" t="s">
        <v>53</v>
      </c>
      <c r="T696" t="s">
        <v>1030</v>
      </c>
      <c r="U696" t="s">
        <v>3341</v>
      </c>
      <c r="V696" t="s">
        <v>91</v>
      </c>
    </row>
    <row r="697" spans="1:22" x14ac:dyDescent="0.35">
      <c r="A697" t="s">
        <v>3342</v>
      </c>
      <c r="B697" t="s">
        <v>2155</v>
      </c>
      <c r="C697" t="s">
        <v>28</v>
      </c>
      <c r="D697" t="s">
        <v>28</v>
      </c>
      <c r="E697" t="s">
        <v>28</v>
      </c>
      <c r="F697" t="s">
        <v>28</v>
      </c>
      <c r="G697" t="s">
        <v>94</v>
      </c>
      <c r="H697" t="s">
        <v>28</v>
      </c>
      <c r="I697" t="s">
        <v>46</v>
      </c>
      <c r="K697" t="s">
        <v>2385</v>
      </c>
      <c r="L697" t="s">
        <v>49</v>
      </c>
      <c r="M697" t="s">
        <v>38</v>
      </c>
      <c r="N697" t="s">
        <v>38</v>
      </c>
      <c r="O697" t="s">
        <v>2195</v>
      </c>
      <c r="P697" t="s">
        <v>38</v>
      </c>
      <c r="Q697" t="s">
        <v>2186</v>
      </c>
      <c r="R697" t="s">
        <v>2471</v>
      </c>
      <c r="S697" t="s">
        <v>53</v>
      </c>
      <c r="T697" t="s">
        <v>1030</v>
      </c>
      <c r="U697" t="s">
        <v>3344</v>
      </c>
      <c r="V697" t="s">
        <v>91</v>
      </c>
    </row>
    <row r="698" spans="1:22" x14ac:dyDescent="0.35">
      <c r="A698" t="s">
        <v>3345</v>
      </c>
      <c r="B698" t="s">
        <v>2155</v>
      </c>
      <c r="C698" t="s">
        <v>28</v>
      </c>
      <c r="D698" t="s">
        <v>28</v>
      </c>
      <c r="E698" t="s">
        <v>28</v>
      </c>
      <c r="F698" t="s">
        <v>28</v>
      </c>
      <c r="G698" t="s">
        <v>28</v>
      </c>
      <c r="H698" t="s">
        <v>28</v>
      </c>
      <c r="I698" t="s">
        <v>46</v>
      </c>
      <c r="K698" t="s">
        <v>2379</v>
      </c>
      <c r="L698" t="s">
        <v>49</v>
      </c>
      <c r="M698" t="s">
        <v>49</v>
      </c>
      <c r="N698" t="s">
        <v>49</v>
      </c>
      <c r="O698" t="s">
        <v>2195</v>
      </c>
      <c r="P698" t="s">
        <v>49</v>
      </c>
      <c r="Q698" t="s">
        <v>2186</v>
      </c>
      <c r="R698" t="s">
        <v>2175</v>
      </c>
      <c r="S698" t="s">
        <v>53</v>
      </c>
      <c r="T698" t="s">
        <v>1030</v>
      </c>
      <c r="U698" t="s">
        <v>3347</v>
      </c>
      <c r="V698" t="s">
        <v>91</v>
      </c>
    </row>
    <row r="699" spans="1:22" x14ac:dyDescent="0.35">
      <c r="A699" t="s">
        <v>3348</v>
      </c>
      <c r="B699" t="s">
        <v>1875</v>
      </c>
      <c r="C699" t="s">
        <v>44</v>
      </c>
      <c r="D699" t="s">
        <v>44</v>
      </c>
      <c r="E699" t="s">
        <v>28</v>
      </c>
      <c r="F699" t="s">
        <v>103</v>
      </c>
      <c r="G699" t="s">
        <v>45</v>
      </c>
      <c r="H699" t="s">
        <v>45</v>
      </c>
      <c r="I699" t="s">
        <v>36</v>
      </c>
      <c r="K699" t="s">
        <v>2635</v>
      </c>
      <c r="L699" t="s">
        <v>49</v>
      </c>
      <c r="M699" t="s">
        <v>48</v>
      </c>
      <c r="N699" t="s">
        <v>38</v>
      </c>
      <c r="O699" t="s">
        <v>3349</v>
      </c>
      <c r="P699" t="s">
        <v>49</v>
      </c>
      <c r="Q699" t="s">
        <v>3350</v>
      </c>
      <c r="R699" t="s">
        <v>3351</v>
      </c>
      <c r="S699" t="s">
        <v>53</v>
      </c>
      <c r="T699" t="s">
        <v>118</v>
      </c>
      <c r="U699" t="s">
        <v>3353</v>
      </c>
      <c r="V699" t="s">
        <v>91</v>
      </c>
    </row>
    <row r="700" spans="1:22" x14ac:dyDescent="0.35">
      <c r="A700" t="s">
        <v>2871</v>
      </c>
      <c r="B700" t="s">
        <v>2155</v>
      </c>
      <c r="C700" t="s">
        <v>28</v>
      </c>
      <c r="D700" t="s">
        <v>28</v>
      </c>
      <c r="E700" t="s">
        <v>28</v>
      </c>
      <c r="F700" t="s">
        <v>28</v>
      </c>
      <c r="G700" t="s">
        <v>28</v>
      </c>
      <c r="H700" t="s">
        <v>28</v>
      </c>
      <c r="I700" t="s">
        <v>46</v>
      </c>
      <c r="K700" t="s">
        <v>2369</v>
      </c>
      <c r="L700" t="s">
        <v>48</v>
      </c>
      <c r="M700" t="s">
        <v>49</v>
      </c>
      <c r="N700" t="s">
        <v>49</v>
      </c>
      <c r="O700" t="s">
        <v>2195</v>
      </c>
      <c r="P700" t="s">
        <v>49</v>
      </c>
      <c r="Q700" t="s">
        <v>2244</v>
      </c>
      <c r="R700" t="s">
        <v>2175</v>
      </c>
      <c r="S700" t="s">
        <v>53</v>
      </c>
      <c r="T700" t="s">
        <v>1030</v>
      </c>
      <c r="U700" t="s">
        <v>3354</v>
      </c>
      <c r="V700" t="s">
        <v>91</v>
      </c>
    </row>
    <row r="701" spans="1:22" x14ac:dyDescent="0.35">
      <c r="A701" t="s">
        <v>3355</v>
      </c>
      <c r="B701" t="s">
        <v>1875</v>
      </c>
      <c r="C701" t="s">
        <v>44</v>
      </c>
      <c r="D701" t="s">
        <v>60</v>
      </c>
      <c r="E701" t="s">
        <v>60</v>
      </c>
      <c r="F701" t="s">
        <v>173</v>
      </c>
      <c r="G701" t="s">
        <v>45</v>
      </c>
      <c r="H701" t="s">
        <v>45</v>
      </c>
      <c r="I701" t="s">
        <v>46</v>
      </c>
      <c r="K701" t="s">
        <v>2756</v>
      </c>
      <c r="L701" t="s">
        <v>49</v>
      </c>
      <c r="M701" t="s">
        <v>38</v>
      </c>
      <c r="N701" t="s">
        <v>48</v>
      </c>
      <c r="O701" t="s">
        <v>3356</v>
      </c>
      <c r="P701" t="s">
        <v>49</v>
      </c>
      <c r="Q701" t="s">
        <v>3357</v>
      </c>
      <c r="R701" t="s">
        <v>3358</v>
      </c>
      <c r="S701" t="s">
        <v>53</v>
      </c>
      <c r="T701" t="s">
        <v>118</v>
      </c>
      <c r="U701" t="s">
        <v>3360</v>
      </c>
      <c r="V701" t="s">
        <v>91</v>
      </c>
    </row>
    <row r="702" spans="1:22" x14ac:dyDescent="0.35">
      <c r="A702" t="s">
        <v>3361</v>
      </c>
      <c r="B702" t="s">
        <v>2155</v>
      </c>
      <c r="C702" t="s">
        <v>28</v>
      </c>
      <c r="D702" t="s">
        <v>196</v>
      </c>
      <c r="E702" t="s">
        <v>28</v>
      </c>
      <c r="F702" t="s">
        <v>28</v>
      </c>
      <c r="G702" t="s">
        <v>28</v>
      </c>
      <c r="H702" t="s">
        <v>28</v>
      </c>
      <c r="I702" t="s">
        <v>46</v>
      </c>
      <c r="K702" t="s">
        <v>2369</v>
      </c>
      <c r="M702" t="s">
        <v>49</v>
      </c>
      <c r="N702" t="s">
        <v>49</v>
      </c>
      <c r="O702" t="s">
        <v>2195</v>
      </c>
      <c r="P702" t="s">
        <v>49</v>
      </c>
      <c r="Q702" t="s">
        <v>2244</v>
      </c>
      <c r="R702" t="s">
        <v>2175</v>
      </c>
      <c r="S702" t="s">
        <v>53</v>
      </c>
      <c r="T702" t="s">
        <v>1030</v>
      </c>
      <c r="U702" t="s">
        <v>3363</v>
      </c>
      <c r="V702" t="s">
        <v>91</v>
      </c>
    </row>
    <row r="703" spans="1:22" x14ac:dyDescent="0.35">
      <c r="A703" t="s">
        <v>3364</v>
      </c>
      <c r="B703" t="s">
        <v>2155</v>
      </c>
      <c r="C703" t="s">
        <v>377</v>
      </c>
      <c r="D703" t="s">
        <v>196</v>
      </c>
      <c r="E703" t="s">
        <v>28</v>
      </c>
      <c r="F703" t="s">
        <v>28</v>
      </c>
      <c r="G703" t="s">
        <v>28</v>
      </c>
      <c r="H703" t="s">
        <v>28</v>
      </c>
      <c r="I703" t="s">
        <v>36</v>
      </c>
      <c r="K703" t="s">
        <v>2356</v>
      </c>
      <c r="L703" t="s">
        <v>38</v>
      </c>
      <c r="M703" t="s">
        <v>38</v>
      </c>
      <c r="N703" t="s">
        <v>38</v>
      </c>
      <c r="O703" t="s">
        <v>2195</v>
      </c>
      <c r="P703" t="s">
        <v>49</v>
      </c>
      <c r="Q703" t="s">
        <v>2304</v>
      </c>
      <c r="R703" t="s">
        <v>2175</v>
      </c>
      <c r="S703" t="s">
        <v>53</v>
      </c>
      <c r="T703" t="s">
        <v>1030</v>
      </c>
      <c r="U703" t="s">
        <v>3366</v>
      </c>
      <c r="V703" t="s">
        <v>91</v>
      </c>
    </row>
    <row r="704" spans="1:22" x14ac:dyDescent="0.35">
      <c r="A704" t="s">
        <v>3367</v>
      </c>
      <c r="B704" t="s">
        <v>1875</v>
      </c>
      <c r="C704" t="s">
        <v>28</v>
      </c>
      <c r="D704" t="s">
        <v>44</v>
      </c>
      <c r="E704" t="s">
        <v>28</v>
      </c>
      <c r="F704" t="s">
        <v>103</v>
      </c>
      <c r="G704" t="s">
        <v>28</v>
      </c>
      <c r="H704" t="s">
        <v>45</v>
      </c>
      <c r="I704" t="s">
        <v>36</v>
      </c>
      <c r="K704" t="s">
        <v>2756</v>
      </c>
      <c r="L704" t="s">
        <v>49</v>
      </c>
      <c r="M704" t="s">
        <v>49</v>
      </c>
      <c r="N704" t="s">
        <v>48</v>
      </c>
      <c r="O704" t="s">
        <v>3368</v>
      </c>
      <c r="P704" t="s">
        <v>49</v>
      </c>
      <c r="Q704" t="s">
        <v>3369</v>
      </c>
      <c r="R704" t="s">
        <v>3370</v>
      </c>
      <c r="S704" t="s">
        <v>87</v>
      </c>
      <c r="T704" t="s">
        <v>118</v>
      </c>
      <c r="U704" t="s">
        <v>3372</v>
      </c>
      <c r="V704" t="s">
        <v>91</v>
      </c>
    </row>
    <row r="705" spans="1:22" x14ac:dyDescent="0.35">
      <c r="A705" t="s">
        <v>3373</v>
      </c>
      <c r="B705" t="s">
        <v>1520</v>
      </c>
      <c r="C705" t="s">
        <v>344</v>
      </c>
      <c r="D705" t="s">
        <v>29</v>
      </c>
      <c r="E705" t="s">
        <v>29</v>
      </c>
      <c r="F705" t="s">
        <v>30</v>
      </c>
      <c r="G705" t="s">
        <v>30</v>
      </c>
      <c r="H705" t="s">
        <v>94</v>
      </c>
      <c r="I705" t="s">
        <v>46</v>
      </c>
      <c r="K705" t="s">
        <v>3374</v>
      </c>
      <c r="L705" t="s">
        <v>49</v>
      </c>
      <c r="M705" t="s">
        <v>49</v>
      </c>
      <c r="N705" t="s">
        <v>49</v>
      </c>
      <c r="O705" t="s">
        <v>3375</v>
      </c>
      <c r="P705" t="s">
        <v>49</v>
      </c>
      <c r="Q705" t="s">
        <v>3376</v>
      </c>
      <c r="R705" t="s">
        <v>3377</v>
      </c>
      <c r="S705" t="s">
        <v>79</v>
      </c>
      <c r="T705" t="s">
        <v>100</v>
      </c>
      <c r="U705" t="s">
        <v>3378</v>
      </c>
      <c r="V705" t="s">
        <v>91</v>
      </c>
    </row>
    <row r="706" spans="1:22" x14ac:dyDescent="0.35">
      <c r="A706" t="s">
        <v>3379</v>
      </c>
      <c r="B706" t="s">
        <v>1875</v>
      </c>
      <c r="C706" t="s">
        <v>28</v>
      </c>
      <c r="D706" t="s">
        <v>44</v>
      </c>
      <c r="E706" t="s">
        <v>28</v>
      </c>
      <c r="F706" t="s">
        <v>103</v>
      </c>
      <c r="G706" t="s">
        <v>45</v>
      </c>
      <c r="H706" t="s">
        <v>45</v>
      </c>
      <c r="I706" t="s">
        <v>46</v>
      </c>
      <c r="K706" t="s">
        <v>2756</v>
      </c>
      <c r="L706" t="s">
        <v>49</v>
      </c>
      <c r="M706" t="s">
        <v>49</v>
      </c>
      <c r="N706" t="s">
        <v>49</v>
      </c>
      <c r="O706" t="s">
        <v>3380</v>
      </c>
      <c r="P706" t="s">
        <v>49</v>
      </c>
      <c r="Q706" t="s">
        <v>3381</v>
      </c>
      <c r="R706" t="s">
        <v>3382</v>
      </c>
      <c r="S706" t="s">
        <v>53</v>
      </c>
      <c r="T706" t="s">
        <v>118</v>
      </c>
      <c r="U706" t="s">
        <v>3384</v>
      </c>
      <c r="V706" t="s">
        <v>91</v>
      </c>
    </row>
    <row r="707" spans="1:22" x14ac:dyDescent="0.35">
      <c r="A707" t="s">
        <v>3385</v>
      </c>
      <c r="B707" t="s">
        <v>2431</v>
      </c>
      <c r="C707" t="s">
        <v>28</v>
      </c>
      <c r="D707" t="s">
        <v>28</v>
      </c>
      <c r="E707" t="s">
        <v>28</v>
      </c>
      <c r="F707" t="s">
        <v>28</v>
      </c>
      <c r="G707" t="s">
        <v>28</v>
      </c>
      <c r="H707" t="s">
        <v>28</v>
      </c>
      <c r="I707" t="s">
        <v>36</v>
      </c>
      <c r="K707" t="s">
        <v>2635</v>
      </c>
      <c r="L707" t="s">
        <v>49</v>
      </c>
      <c r="M707" t="s">
        <v>49</v>
      </c>
      <c r="N707" t="s">
        <v>49</v>
      </c>
      <c r="O707" t="s">
        <v>3221</v>
      </c>
      <c r="P707" t="s">
        <v>49</v>
      </c>
      <c r="Q707" t="s">
        <v>3386</v>
      </c>
      <c r="R707" t="s">
        <v>2282</v>
      </c>
      <c r="S707" t="s">
        <v>53</v>
      </c>
      <c r="T707" t="s">
        <v>127</v>
      </c>
      <c r="U707" t="s">
        <v>3388</v>
      </c>
      <c r="V707" t="s">
        <v>91</v>
      </c>
    </row>
    <row r="708" spans="1:22" x14ac:dyDescent="0.35">
      <c r="A708" t="s">
        <v>3389</v>
      </c>
      <c r="B708" t="s">
        <v>1534</v>
      </c>
      <c r="C708" t="s">
        <v>28</v>
      </c>
      <c r="D708" t="s">
        <v>28</v>
      </c>
      <c r="E708" t="s">
        <v>28</v>
      </c>
      <c r="F708" t="s">
        <v>28</v>
      </c>
      <c r="G708" t="s">
        <v>28</v>
      </c>
      <c r="H708" t="s">
        <v>28</v>
      </c>
      <c r="I708" t="s">
        <v>36</v>
      </c>
      <c r="K708" t="s">
        <v>3390</v>
      </c>
      <c r="L708" t="s">
        <v>49</v>
      </c>
      <c r="M708" t="s">
        <v>49</v>
      </c>
      <c r="N708" t="s">
        <v>49</v>
      </c>
      <c r="O708" t="s">
        <v>3391</v>
      </c>
      <c r="P708" t="s">
        <v>49</v>
      </c>
      <c r="Q708" t="s">
        <v>3392</v>
      </c>
      <c r="R708" t="s">
        <v>3393</v>
      </c>
      <c r="S708" t="s">
        <v>53</v>
      </c>
      <c r="T708" t="s">
        <v>100</v>
      </c>
      <c r="U708" t="s">
        <v>3394</v>
      </c>
      <c r="V708" t="s">
        <v>129</v>
      </c>
    </row>
    <row r="709" spans="1:22" x14ac:dyDescent="0.35">
      <c r="A709" t="s">
        <v>3395</v>
      </c>
      <c r="B709" t="s">
        <v>1875</v>
      </c>
      <c r="C709" t="s">
        <v>44</v>
      </c>
      <c r="D709" t="s">
        <v>60</v>
      </c>
      <c r="E709" t="s">
        <v>157</v>
      </c>
      <c r="F709" t="s">
        <v>103</v>
      </c>
      <c r="G709" t="s">
        <v>45</v>
      </c>
      <c r="H709" t="s">
        <v>368</v>
      </c>
      <c r="I709" t="s">
        <v>36</v>
      </c>
      <c r="K709" t="s">
        <v>2756</v>
      </c>
      <c r="L709" t="s">
        <v>49</v>
      </c>
      <c r="M709" t="s">
        <v>49</v>
      </c>
      <c r="N709" t="s">
        <v>49</v>
      </c>
      <c r="O709" t="s">
        <v>3396</v>
      </c>
      <c r="P709" t="s">
        <v>49</v>
      </c>
      <c r="Q709" t="s">
        <v>3397</v>
      </c>
      <c r="R709" t="s">
        <v>3398</v>
      </c>
      <c r="S709" t="s">
        <v>53</v>
      </c>
      <c r="T709" t="s">
        <v>118</v>
      </c>
      <c r="U709" t="s">
        <v>3400</v>
      </c>
      <c r="V709" t="s">
        <v>91</v>
      </c>
    </row>
    <row r="710" spans="1:22" x14ac:dyDescent="0.35">
      <c r="A710" t="s">
        <v>3401</v>
      </c>
      <c r="B710" t="s">
        <v>3402</v>
      </c>
      <c r="C710" t="s">
        <v>71</v>
      </c>
      <c r="D710" t="s">
        <v>33</v>
      </c>
      <c r="E710" t="s">
        <v>33</v>
      </c>
      <c r="F710" t="s">
        <v>72</v>
      </c>
      <c r="G710" t="s">
        <v>34</v>
      </c>
      <c r="H710" t="s">
        <v>74</v>
      </c>
      <c r="I710" t="s">
        <v>46</v>
      </c>
      <c r="K710" t="s">
        <v>3403</v>
      </c>
      <c r="L710" t="s">
        <v>48</v>
      </c>
      <c r="M710" t="s">
        <v>48</v>
      </c>
      <c r="N710" t="s">
        <v>48</v>
      </c>
      <c r="O710" t="s">
        <v>3404</v>
      </c>
      <c r="P710" t="s">
        <v>48</v>
      </c>
      <c r="Q710" t="s">
        <v>3405</v>
      </c>
      <c r="R710" t="s">
        <v>3406</v>
      </c>
      <c r="S710" t="s">
        <v>135</v>
      </c>
      <c r="T710" t="s">
        <v>81</v>
      </c>
      <c r="U710" t="s">
        <v>3407</v>
      </c>
      <c r="V710" t="s">
        <v>91</v>
      </c>
    </row>
    <row r="711" spans="1:22" x14ac:dyDescent="0.35">
      <c r="A711" t="s">
        <v>3408</v>
      </c>
      <c r="B711" t="s">
        <v>1875</v>
      </c>
      <c r="C711" t="s">
        <v>377</v>
      </c>
      <c r="D711" t="s">
        <v>44</v>
      </c>
      <c r="E711" t="s">
        <v>157</v>
      </c>
      <c r="F711" t="s">
        <v>173</v>
      </c>
      <c r="G711" t="s">
        <v>28</v>
      </c>
      <c r="H711" t="s">
        <v>368</v>
      </c>
      <c r="I711" t="s">
        <v>46</v>
      </c>
      <c r="K711" t="s">
        <v>2828</v>
      </c>
      <c r="L711" t="s">
        <v>49</v>
      </c>
      <c r="M711" t="s">
        <v>49</v>
      </c>
      <c r="N711" t="s">
        <v>49</v>
      </c>
      <c r="O711" t="s">
        <v>3409</v>
      </c>
      <c r="P711" t="s">
        <v>49</v>
      </c>
      <c r="Q711" t="s">
        <v>3410</v>
      </c>
      <c r="R711" t="s">
        <v>3411</v>
      </c>
      <c r="S711" t="s">
        <v>53</v>
      </c>
      <c r="T711" t="s">
        <v>118</v>
      </c>
      <c r="U711" t="s">
        <v>3413</v>
      </c>
      <c r="V711" t="s">
        <v>91</v>
      </c>
    </row>
    <row r="712" spans="1:22" x14ac:dyDescent="0.35">
      <c r="A712" t="s">
        <v>3414</v>
      </c>
      <c r="B712" t="s">
        <v>3415</v>
      </c>
      <c r="C712" t="s">
        <v>71</v>
      </c>
      <c r="D712" t="s">
        <v>29</v>
      </c>
      <c r="E712" t="s">
        <v>206</v>
      </c>
      <c r="F712" t="s">
        <v>30</v>
      </c>
      <c r="G712" t="s">
        <v>30</v>
      </c>
      <c r="H712" t="s">
        <v>94</v>
      </c>
      <c r="I712" t="s">
        <v>36</v>
      </c>
      <c r="K712" t="s">
        <v>3416</v>
      </c>
      <c r="L712" t="s">
        <v>48</v>
      </c>
      <c r="M712" t="s">
        <v>49</v>
      </c>
      <c r="N712" t="s">
        <v>49</v>
      </c>
      <c r="O712" t="s">
        <v>3417</v>
      </c>
      <c r="P712" t="s">
        <v>48</v>
      </c>
      <c r="Q712" t="s">
        <v>3418</v>
      </c>
      <c r="R712" t="s">
        <v>3419</v>
      </c>
      <c r="S712" t="s">
        <v>79</v>
      </c>
      <c r="T712" t="s">
        <v>834</v>
      </c>
      <c r="U712" t="s">
        <v>3420</v>
      </c>
      <c r="V712" t="s">
        <v>129</v>
      </c>
    </row>
    <row r="713" spans="1:22" x14ac:dyDescent="0.35">
      <c r="A713" t="s">
        <v>2515</v>
      </c>
      <c r="B713" t="s">
        <v>32</v>
      </c>
      <c r="C713" t="s">
        <v>449</v>
      </c>
      <c r="D713" t="s">
        <v>28</v>
      </c>
      <c r="E713" t="s">
        <v>29</v>
      </c>
      <c r="F713" t="s">
        <v>72</v>
      </c>
      <c r="G713" t="s">
        <v>94</v>
      </c>
      <c r="H713" t="s">
        <v>35</v>
      </c>
      <c r="I713" t="s">
        <v>46</v>
      </c>
      <c r="K713" t="s">
        <v>2235</v>
      </c>
      <c r="L713" t="s">
        <v>40</v>
      </c>
      <c r="M713" t="s">
        <v>48</v>
      </c>
      <c r="N713" t="s">
        <v>48</v>
      </c>
      <c r="O713" t="s">
        <v>3421</v>
      </c>
      <c r="P713" t="s">
        <v>38</v>
      </c>
      <c r="S713" t="s">
        <v>53</v>
      </c>
      <c r="T713" t="s">
        <v>2246</v>
      </c>
      <c r="U713" t="s">
        <v>3422</v>
      </c>
      <c r="V713" t="s">
        <v>170</v>
      </c>
    </row>
    <row r="714" spans="1:22" x14ac:dyDescent="0.35">
      <c r="A714" t="s">
        <v>3423</v>
      </c>
      <c r="B714" t="s">
        <v>2431</v>
      </c>
      <c r="C714" t="s">
        <v>28</v>
      </c>
      <c r="D714" t="s">
        <v>28</v>
      </c>
      <c r="E714" t="s">
        <v>28</v>
      </c>
      <c r="F714" t="s">
        <v>28</v>
      </c>
      <c r="G714" t="s">
        <v>28</v>
      </c>
      <c r="H714" t="s">
        <v>28</v>
      </c>
      <c r="I714" t="s">
        <v>46</v>
      </c>
      <c r="K714" t="s">
        <v>3424</v>
      </c>
      <c r="L714" t="s">
        <v>49</v>
      </c>
      <c r="M714" t="s">
        <v>49</v>
      </c>
      <c r="N714" t="s">
        <v>49</v>
      </c>
      <c r="O714" t="s">
        <v>3221</v>
      </c>
      <c r="P714" t="s">
        <v>49</v>
      </c>
      <c r="Q714" t="s">
        <v>3425</v>
      </c>
      <c r="R714" t="s">
        <v>2096</v>
      </c>
      <c r="S714" t="s">
        <v>53</v>
      </c>
      <c r="T714" t="s">
        <v>127</v>
      </c>
      <c r="U714" t="s">
        <v>3427</v>
      </c>
      <c r="V714" t="s">
        <v>91</v>
      </c>
    </row>
    <row r="715" spans="1:22" x14ac:dyDescent="0.35">
      <c r="A715" t="s">
        <v>3428</v>
      </c>
      <c r="B715" t="s">
        <v>2155</v>
      </c>
      <c r="C715" t="s">
        <v>344</v>
      </c>
      <c r="D715" t="s">
        <v>29</v>
      </c>
      <c r="E715" t="s">
        <v>29</v>
      </c>
      <c r="F715" t="s">
        <v>30</v>
      </c>
      <c r="G715" t="s">
        <v>30</v>
      </c>
      <c r="H715" t="s">
        <v>61</v>
      </c>
      <c r="I715" t="s">
        <v>46</v>
      </c>
      <c r="K715" t="s">
        <v>2984</v>
      </c>
      <c r="L715" t="s">
        <v>49</v>
      </c>
      <c r="M715" t="s">
        <v>49</v>
      </c>
      <c r="N715" t="s">
        <v>49</v>
      </c>
      <c r="O715" t="s">
        <v>3326</v>
      </c>
      <c r="P715" t="s">
        <v>49</v>
      </c>
      <c r="Q715" t="s">
        <v>3429</v>
      </c>
      <c r="R715" t="s">
        <v>3328</v>
      </c>
      <c r="S715" t="s">
        <v>53</v>
      </c>
      <c r="T715" t="s">
        <v>3028</v>
      </c>
      <c r="U715" t="s">
        <v>3431</v>
      </c>
      <c r="V715" t="s">
        <v>91</v>
      </c>
    </row>
    <row r="716" spans="1:22" x14ac:dyDescent="0.35">
      <c r="A716" t="s">
        <v>3432</v>
      </c>
      <c r="B716" t="s">
        <v>1875</v>
      </c>
      <c r="C716" t="s">
        <v>28</v>
      </c>
      <c r="D716" t="s">
        <v>44</v>
      </c>
      <c r="E716" t="s">
        <v>157</v>
      </c>
      <c r="F716" t="s">
        <v>103</v>
      </c>
      <c r="G716" t="s">
        <v>45</v>
      </c>
      <c r="H716" t="s">
        <v>45</v>
      </c>
      <c r="I716" t="s">
        <v>36</v>
      </c>
      <c r="K716" t="s">
        <v>2828</v>
      </c>
      <c r="L716" t="s">
        <v>49</v>
      </c>
      <c r="M716" t="s">
        <v>49</v>
      </c>
      <c r="N716" t="s">
        <v>49</v>
      </c>
      <c r="O716" t="s">
        <v>3433</v>
      </c>
      <c r="P716" t="s">
        <v>49</v>
      </c>
      <c r="Q716" t="s">
        <v>3434</v>
      </c>
      <c r="R716" t="s">
        <v>3435</v>
      </c>
      <c r="S716" t="s">
        <v>53</v>
      </c>
      <c r="T716" t="s">
        <v>118</v>
      </c>
      <c r="U716" t="s">
        <v>3437</v>
      </c>
      <c r="V716" t="s">
        <v>91</v>
      </c>
    </row>
    <row r="717" spans="1:22" x14ac:dyDescent="0.35">
      <c r="A717" t="s">
        <v>3438</v>
      </c>
      <c r="B717" t="s">
        <v>32</v>
      </c>
      <c r="C717" t="s">
        <v>28</v>
      </c>
      <c r="D717" t="s">
        <v>197</v>
      </c>
      <c r="E717" t="s">
        <v>60</v>
      </c>
      <c r="F717" t="s">
        <v>103</v>
      </c>
      <c r="G717" t="s">
        <v>73</v>
      </c>
      <c r="H717" t="s">
        <v>73</v>
      </c>
      <c r="I717" t="s">
        <v>46</v>
      </c>
      <c r="K717" t="s">
        <v>2235</v>
      </c>
      <c r="L717" t="s">
        <v>40</v>
      </c>
      <c r="M717" t="s">
        <v>48</v>
      </c>
      <c r="N717" t="s">
        <v>48</v>
      </c>
      <c r="O717" t="s">
        <v>3439</v>
      </c>
      <c r="P717" t="s">
        <v>48</v>
      </c>
      <c r="S717" t="s">
        <v>53</v>
      </c>
      <c r="T717" t="s">
        <v>2246</v>
      </c>
      <c r="U717" t="s">
        <v>3441</v>
      </c>
      <c r="V717" t="s">
        <v>91</v>
      </c>
    </row>
    <row r="718" spans="1:22" x14ac:dyDescent="0.35">
      <c r="A718" t="s">
        <v>3442</v>
      </c>
      <c r="B718" t="s">
        <v>1282</v>
      </c>
      <c r="C718" t="s">
        <v>71</v>
      </c>
      <c r="D718" t="s">
        <v>33</v>
      </c>
      <c r="E718" t="s">
        <v>73</v>
      </c>
      <c r="F718" t="s">
        <v>34</v>
      </c>
      <c r="G718" t="s">
        <v>34</v>
      </c>
      <c r="H718" t="s">
        <v>73</v>
      </c>
      <c r="I718" t="s">
        <v>46</v>
      </c>
      <c r="K718" t="s">
        <v>3443</v>
      </c>
      <c r="L718" t="s">
        <v>48</v>
      </c>
      <c r="M718" t="s">
        <v>48</v>
      </c>
      <c r="N718" t="s">
        <v>48</v>
      </c>
      <c r="O718" t="s">
        <v>3444</v>
      </c>
      <c r="P718" t="s">
        <v>48</v>
      </c>
      <c r="Q718" t="s">
        <v>3445</v>
      </c>
      <c r="R718" t="s">
        <v>3446</v>
      </c>
      <c r="S718" t="s">
        <v>53</v>
      </c>
      <c r="T718" t="s">
        <v>834</v>
      </c>
      <c r="U718" t="s">
        <v>3447</v>
      </c>
      <c r="V718" t="s">
        <v>57</v>
      </c>
    </row>
    <row r="719" spans="1:22" x14ac:dyDescent="0.35">
      <c r="A719" t="s">
        <v>3448</v>
      </c>
      <c r="B719" t="s">
        <v>2098</v>
      </c>
      <c r="C719" t="s">
        <v>28</v>
      </c>
      <c r="D719" t="s">
        <v>28</v>
      </c>
      <c r="E719" t="s">
        <v>28</v>
      </c>
      <c r="F719" t="s">
        <v>28</v>
      </c>
      <c r="G719" t="s">
        <v>28</v>
      </c>
      <c r="H719" t="s">
        <v>28</v>
      </c>
      <c r="I719" t="s">
        <v>46</v>
      </c>
      <c r="K719" t="s">
        <v>3424</v>
      </c>
      <c r="L719" t="s">
        <v>49</v>
      </c>
      <c r="M719" t="s">
        <v>49</v>
      </c>
      <c r="N719" t="s">
        <v>49</v>
      </c>
      <c r="O719" t="s">
        <v>3221</v>
      </c>
      <c r="P719" t="s">
        <v>49</v>
      </c>
      <c r="Q719" t="s">
        <v>3425</v>
      </c>
      <c r="R719" t="s">
        <v>2282</v>
      </c>
      <c r="S719" t="s">
        <v>53</v>
      </c>
      <c r="T719" t="s">
        <v>127</v>
      </c>
      <c r="U719" t="s">
        <v>730</v>
      </c>
      <c r="V719" t="s">
        <v>91</v>
      </c>
    </row>
    <row r="720" spans="1:22" x14ac:dyDescent="0.35">
      <c r="A720" t="s">
        <v>3450</v>
      </c>
      <c r="B720" t="s">
        <v>2155</v>
      </c>
      <c r="C720" t="s">
        <v>344</v>
      </c>
      <c r="D720" t="s">
        <v>29</v>
      </c>
      <c r="E720" t="s">
        <v>29</v>
      </c>
      <c r="F720" t="s">
        <v>196</v>
      </c>
      <c r="G720" t="s">
        <v>30</v>
      </c>
      <c r="H720" t="s">
        <v>61</v>
      </c>
      <c r="I720" t="s">
        <v>46</v>
      </c>
      <c r="K720" t="s">
        <v>3451</v>
      </c>
      <c r="L720" t="s">
        <v>38</v>
      </c>
      <c r="M720" t="s">
        <v>38</v>
      </c>
      <c r="N720" t="s">
        <v>38</v>
      </c>
      <c r="O720" t="s">
        <v>3326</v>
      </c>
      <c r="P720" t="s">
        <v>38</v>
      </c>
      <c r="Q720" t="s">
        <v>3452</v>
      </c>
      <c r="R720" t="s">
        <v>3453</v>
      </c>
      <c r="S720" t="s">
        <v>53</v>
      </c>
      <c r="T720" t="s">
        <v>3455</v>
      </c>
      <c r="U720" t="s">
        <v>3456</v>
      </c>
      <c r="V720" t="s">
        <v>91</v>
      </c>
    </row>
    <row r="721" spans="1:22" x14ac:dyDescent="0.35">
      <c r="A721" t="s">
        <v>3457</v>
      </c>
      <c r="B721" t="s">
        <v>1520</v>
      </c>
      <c r="C721" t="s">
        <v>29</v>
      </c>
      <c r="D721" t="s">
        <v>29</v>
      </c>
      <c r="E721" t="s">
        <v>29</v>
      </c>
      <c r="F721" t="s">
        <v>30</v>
      </c>
      <c r="G721" t="s">
        <v>30</v>
      </c>
      <c r="H721" t="s">
        <v>94</v>
      </c>
      <c r="I721" t="s">
        <v>36</v>
      </c>
      <c r="K721" t="s">
        <v>304</v>
      </c>
      <c r="L721" t="s">
        <v>49</v>
      </c>
      <c r="M721" t="s">
        <v>49</v>
      </c>
      <c r="N721" t="s">
        <v>49</v>
      </c>
      <c r="O721" t="s">
        <v>3458</v>
      </c>
      <c r="P721" t="s">
        <v>49</v>
      </c>
      <c r="Q721" t="s">
        <v>3459</v>
      </c>
      <c r="R721" t="s">
        <v>3460</v>
      </c>
      <c r="S721" t="s">
        <v>53</v>
      </c>
      <c r="T721" t="s">
        <v>109</v>
      </c>
      <c r="U721" t="s">
        <v>3461</v>
      </c>
      <c r="V721" t="s">
        <v>91</v>
      </c>
    </row>
    <row r="722" spans="1:22" x14ac:dyDescent="0.35">
      <c r="A722" t="s">
        <v>3462</v>
      </c>
      <c r="B722" t="s">
        <v>32</v>
      </c>
      <c r="C722" t="s">
        <v>71</v>
      </c>
      <c r="D722" t="s">
        <v>33</v>
      </c>
      <c r="E722" t="s">
        <v>73</v>
      </c>
      <c r="F722" t="s">
        <v>34</v>
      </c>
      <c r="G722" t="s">
        <v>73</v>
      </c>
      <c r="H722" t="s">
        <v>73</v>
      </c>
      <c r="I722" t="s">
        <v>46</v>
      </c>
      <c r="K722" t="s">
        <v>2276</v>
      </c>
      <c r="L722" t="s">
        <v>48</v>
      </c>
      <c r="M722" t="s">
        <v>49</v>
      </c>
      <c r="N722" t="s">
        <v>49</v>
      </c>
      <c r="O722" t="s">
        <v>3463</v>
      </c>
      <c r="P722" t="s">
        <v>49</v>
      </c>
      <c r="S722" t="s">
        <v>53</v>
      </c>
      <c r="T722" t="s">
        <v>118</v>
      </c>
      <c r="U722" t="s">
        <v>3465</v>
      </c>
      <c r="V722" t="s">
        <v>170</v>
      </c>
    </row>
    <row r="723" spans="1:22" x14ac:dyDescent="0.35">
      <c r="A723" t="s">
        <v>3466</v>
      </c>
      <c r="B723" t="s">
        <v>2098</v>
      </c>
      <c r="C723" t="s">
        <v>28</v>
      </c>
      <c r="D723" t="s">
        <v>28</v>
      </c>
      <c r="E723" t="s">
        <v>28</v>
      </c>
      <c r="F723" t="s">
        <v>28</v>
      </c>
      <c r="G723" t="s">
        <v>28</v>
      </c>
      <c r="H723" t="s">
        <v>28</v>
      </c>
      <c r="I723" t="s">
        <v>36</v>
      </c>
      <c r="K723" t="s">
        <v>3424</v>
      </c>
      <c r="L723" t="s">
        <v>49</v>
      </c>
      <c r="M723" t="s">
        <v>49</v>
      </c>
      <c r="N723" t="s">
        <v>49</v>
      </c>
      <c r="O723" t="s">
        <v>3221</v>
      </c>
      <c r="P723" t="s">
        <v>49</v>
      </c>
      <c r="Q723" t="s">
        <v>3467</v>
      </c>
      <c r="R723" t="s">
        <v>2282</v>
      </c>
      <c r="S723" t="s">
        <v>53</v>
      </c>
      <c r="T723" t="s">
        <v>127</v>
      </c>
      <c r="U723" t="s">
        <v>3469</v>
      </c>
      <c r="V723" t="s">
        <v>91</v>
      </c>
    </row>
    <row r="724" spans="1:22" x14ac:dyDescent="0.35">
      <c r="A724" t="s">
        <v>3470</v>
      </c>
      <c r="B724" t="s">
        <v>3471</v>
      </c>
      <c r="C724" t="s">
        <v>344</v>
      </c>
      <c r="D724" t="s">
        <v>29</v>
      </c>
      <c r="E724" t="s">
        <v>29</v>
      </c>
      <c r="F724" t="s">
        <v>30</v>
      </c>
      <c r="G724" t="s">
        <v>173</v>
      </c>
      <c r="H724" t="s">
        <v>94</v>
      </c>
      <c r="I724" t="s">
        <v>46</v>
      </c>
      <c r="K724" t="s">
        <v>731</v>
      </c>
      <c r="L724" t="s">
        <v>49</v>
      </c>
      <c r="M724" t="s">
        <v>48</v>
      </c>
      <c r="N724" t="s">
        <v>48</v>
      </c>
      <c r="O724" t="s">
        <v>3472</v>
      </c>
      <c r="P724" t="s">
        <v>49</v>
      </c>
      <c r="Q724" t="s">
        <v>3473</v>
      </c>
      <c r="R724" t="s">
        <v>3474</v>
      </c>
      <c r="S724" t="s">
        <v>65</v>
      </c>
      <c r="T724" t="s">
        <v>109</v>
      </c>
      <c r="U724" t="s">
        <v>3475</v>
      </c>
      <c r="V724" t="s">
        <v>129</v>
      </c>
    </row>
    <row r="725" spans="1:22" x14ac:dyDescent="0.35">
      <c r="A725" t="s">
        <v>3476</v>
      </c>
      <c r="B725" t="s">
        <v>2155</v>
      </c>
      <c r="C725" t="s">
        <v>71</v>
      </c>
      <c r="D725" t="s">
        <v>33</v>
      </c>
      <c r="E725" t="s">
        <v>33</v>
      </c>
      <c r="F725" t="s">
        <v>34</v>
      </c>
      <c r="G725" t="s">
        <v>34</v>
      </c>
      <c r="H725" t="s">
        <v>74</v>
      </c>
      <c r="I725" t="s">
        <v>36</v>
      </c>
      <c r="K725" t="s">
        <v>3477</v>
      </c>
      <c r="L725" t="s">
        <v>40</v>
      </c>
      <c r="M725" t="s">
        <v>38</v>
      </c>
      <c r="N725" t="s">
        <v>38</v>
      </c>
      <c r="O725" t="s">
        <v>3326</v>
      </c>
      <c r="P725" t="s">
        <v>40</v>
      </c>
      <c r="Q725" t="s">
        <v>3478</v>
      </c>
      <c r="R725" t="s">
        <v>3479</v>
      </c>
      <c r="S725" t="s">
        <v>53</v>
      </c>
      <c r="T725" t="s">
        <v>3455</v>
      </c>
      <c r="U725" t="s">
        <v>3481</v>
      </c>
      <c r="V725" t="s">
        <v>91</v>
      </c>
    </row>
    <row r="726" spans="1:22" x14ac:dyDescent="0.35">
      <c r="A726" t="s">
        <v>3482</v>
      </c>
      <c r="B726" t="s">
        <v>3483</v>
      </c>
      <c r="C726" t="s">
        <v>44</v>
      </c>
      <c r="D726" t="s">
        <v>158</v>
      </c>
      <c r="E726" t="s">
        <v>73</v>
      </c>
      <c r="F726" t="s">
        <v>72</v>
      </c>
      <c r="G726" t="s">
        <v>103</v>
      </c>
      <c r="H726" t="s">
        <v>94</v>
      </c>
      <c r="I726" t="s">
        <v>46</v>
      </c>
      <c r="K726" t="s">
        <v>2276</v>
      </c>
      <c r="L726" t="s">
        <v>48</v>
      </c>
      <c r="M726" t="s">
        <v>38</v>
      </c>
      <c r="N726" t="s">
        <v>48</v>
      </c>
      <c r="O726" t="s">
        <v>3484</v>
      </c>
      <c r="P726" t="s">
        <v>48</v>
      </c>
      <c r="S726" t="s">
        <v>53</v>
      </c>
      <c r="T726" t="s">
        <v>118</v>
      </c>
      <c r="U726" t="s">
        <v>3486</v>
      </c>
      <c r="V726" t="s">
        <v>91</v>
      </c>
    </row>
    <row r="727" spans="1:22" x14ac:dyDescent="0.35">
      <c r="A727" t="s">
        <v>3487</v>
      </c>
      <c r="B727" t="s">
        <v>2098</v>
      </c>
      <c r="C727" t="s">
        <v>28</v>
      </c>
      <c r="D727" t="s">
        <v>28</v>
      </c>
      <c r="E727" t="s">
        <v>28</v>
      </c>
      <c r="F727" t="s">
        <v>28</v>
      </c>
      <c r="G727" t="s">
        <v>28</v>
      </c>
      <c r="H727" t="s">
        <v>28</v>
      </c>
      <c r="I727" t="s">
        <v>36</v>
      </c>
      <c r="K727" t="s">
        <v>3424</v>
      </c>
      <c r="L727" t="s">
        <v>49</v>
      </c>
      <c r="M727" t="s">
        <v>49</v>
      </c>
      <c r="N727" t="s">
        <v>49</v>
      </c>
      <c r="O727" t="s">
        <v>3221</v>
      </c>
      <c r="P727" t="s">
        <v>49</v>
      </c>
      <c r="Q727" t="s">
        <v>3467</v>
      </c>
      <c r="R727" t="s">
        <v>2096</v>
      </c>
      <c r="S727" t="s">
        <v>53</v>
      </c>
      <c r="T727" t="s">
        <v>127</v>
      </c>
      <c r="U727" t="s">
        <v>3489</v>
      </c>
      <c r="V727" t="s">
        <v>91</v>
      </c>
    </row>
    <row r="728" spans="1:22" x14ac:dyDescent="0.35">
      <c r="A728" t="s">
        <v>3490</v>
      </c>
      <c r="B728" t="s">
        <v>2155</v>
      </c>
      <c r="C728" t="s">
        <v>33</v>
      </c>
      <c r="D728" t="s">
        <v>33</v>
      </c>
      <c r="E728" t="s">
        <v>33</v>
      </c>
      <c r="F728" t="s">
        <v>34</v>
      </c>
      <c r="G728" t="s">
        <v>34</v>
      </c>
      <c r="H728" t="s">
        <v>74</v>
      </c>
      <c r="I728" t="s">
        <v>36</v>
      </c>
      <c r="K728" t="s">
        <v>3477</v>
      </c>
      <c r="L728" t="s">
        <v>38</v>
      </c>
      <c r="M728" t="s">
        <v>38</v>
      </c>
      <c r="N728" t="s">
        <v>38</v>
      </c>
      <c r="O728" t="s">
        <v>3491</v>
      </c>
      <c r="P728" t="s">
        <v>38</v>
      </c>
      <c r="Q728" t="s">
        <v>3492</v>
      </c>
      <c r="R728" t="s">
        <v>3493</v>
      </c>
      <c r="S728" t="s">
        <v>53</v>
      </c>
      <c r="T728" t="s">
        <v>3455</v>
      </c>
      <c r="U728" t="s">
        <v>3495</v>
      </c>
      <c r="V728" t="s">
        <v>91</v>
      </c>
    </row>
    <row r="729" spans="1:22" x14ac:dyDescent="0.35">
      <c r="A729" t="s">
        <v>3496</v>
      </c>
      <c r="B729" t="s">
        <v>2431</v>
      </c>
      <c r="C729" t="s">
        <v>28</v>
      </c>
      <c r="D729" t="s">
        <v>28</v>
      </c>
      <c r="E729" t="s">
        <v>28</v>
      </c>
      <c r="F729" t="s">
        <v>28</v>
      </c>
      <c r="G729" t="s">
        <v>28</v>
      </c>
      <c r="H729" t="s">
        <v>28</v>
      </c>
      <c r="I729" t="s">
        <v>36</v>
      </c>
      <c r="K729" t="s">
        <v>3497</v>
      </c>
      <c r="L729" t="s">
        <v>49</v>
      </c>
      <c r="M729" t="s">
        <v>49</v>
      </c>
      <c r="N729" t="s">
        <v>49</v>
      </c>
      <c r="O729" t="s">
        <v>3221</v>
      </c>
      <c r="P729" t="s">
        <v>49</v>
      </c>
      <c r="Q729" t="s">
        <v>3467</v>
      </c>
      <c r="R729" t="s">
        <v>2096</v>
      </c>
      <c r="S729" t="s">
        <v>53</v>
      </c>
      <c r="T729" t="s">
        <v>127</v>
      </c>
      <c r="U729" t="s">
        <v>2445</v>
      </c>
      <c r="V729" t="s">
        <v>91</v>
      </c>
    </row>
    <row r="730" spans="1:22" x14ac:dyDescent="0.35">
      <c r="A730" t="s">
        <v>3499</v>
      </c>
      <c r="B730" t="s">
        <v>1345</v>
      </c>
      <c r="C730" t="s">
        <v>71</v>
      </c>
      <c r="D730" t="s">
        <v>33</v>
      </c>
      <c r="E730" t="s">
        <v>33</v>
      </c>
      <c r="F730" t="s">
        <v>34</v>
      </c>
      <c r="G730" t="s">
        <v>34</v>
      </c>
      <c r="H730" t="s">
        <v>73</v>
      </c>
      <c r="I730" t="s">
        <v>36</v>
      </c>
      <c r="K730" t="s">
        <v>3500</v>
      </c>
      <c r="L730" t="s">
        <v>48</v>
      </c>
      <c r="M730" t="s">
        <v>48</v>
      </c>
      <c r="N730" t="s">
        <v>48</v>
      </c>
      <c r="O730" t="s">
        <v>3501</v>
      </c>
      <c r="P730" t="s">
        <v>48</v>
      </c>
      <c r="Q730" t="s">
        <v>3502</v>
      </c>
      <c r="R730" t="s">
        <v>3503</v>
      </c>
      <c r="S730" t="s">
        <v>53</v>
      </c>
      <c r="T730" t="s">
        <v>109</v>
      </c>
      <c r="U730" t="s">
        <v>3504</v>
      </c>
      <c r="V730" t="s">
        <v>129</v>
      </c>
    </row>
    <row r="731" spans="1:22" x14ac:dyDescent="0.35">
      <c r="A731" t="s">
        <v>3505</v>
      </c>
      <c r="B731" t="s">
        <v>2859</v>
      </c>
      <c r="C731" t="s">
        <v>71</v>
      </c>
      <c r="D731" t="s">
        <v>33</v>
      </c>
      <c r="E731" t="s">
        <v>33</v>
      </c>
      <c r="F731" t="s">
        <v>34</v>
      </c>
      <c r="G731" t="s">
        <v>34</v>
      </c>
      <c r="H731" t="s">
        <v>73</v>
      </c>
      <c r="I731" t="s">
        <v>36</v>
      </c>
      <c r="K731" t="s">
        <v>3506</v>
      </c>
      <c r="L731" t="s">
        <v>38</v>
      </c>
      <c r="M731" t="s">
        <v>38</v>
      </c>
      <c r="N731" t="s">
        <v>38</v>
      </c>
      <c r="O731" t="s">
        <v>3491</v>
      </c>
      <c r="P731" t="s">
        <v>38</v>
      </c>
      <c r="Q731" t="s">
        <v>3507</v>
      </c>
      <c r="R731" t="s">
        <v>3508</v>
      </c>
      <c r="S731" t="s">
        <v>53</v>
      </c>
      <c r="T731" t="s">
        <v>3510</v>
      </c>
      <c r="U731" t="s">
        <v>3511</v>
      </c>
      <c r="V731" t="s">
        <v>91</v>
      </c>
    </row>
    <row r="732" spans="1:22" x14ac:dyDescent="0.35">
      <c r="A732" t="s">
        <v>3512</v>
      </c>
      <c r="B732" t="s">
        <v>1960</v>
      </c>
      <c r="C732" t="s">
        <v>44</v>
      </c>
      <c r="D732" t="s">
        <v>44</v>
      </c>
      <c r="E732" t="s">
        <v>44</v>
      </c>
      <c r="F732" t="s">
        <v>103</v>
      </c>
      <c r="G732" t="s">
        <v>45</v>
      </c>
      <c r="H732" t="s">
        <v>35</v>
      </c>
      <c r="I732" t="s">
        <v>46</v>
      </c>
      <c r="K732" t="s">
        <v>3513</v>
      </c>
      <c r="L732" t="s">
        <v>48</v>
      </c>
      <c r="M732" t="s">
        <v>48</v>
      </c>
      <c r="N732" t="s">
        <v>38</v>
      </c>
      <c r="O732" t="s">
        <v>1885</v>
      </c>
      <c r="P732" t="s">
        <v>48</v>
      </c>
      <c r="Q732" t="s">
        <v>1962</v>
      </c>
      <c r="R732" t="s">
        <v>1887</v>
      </c>
      <c r="S732" t="s">
        <v>79</v>
      </c>
      <c r="T732" t="s">
        <v>3515</v>
      </c>
      <c r="U732" t="s">
        <v>1434</v>
      </c>
      <c r="V732" t="s">
        <v>91</v>
      </c>
    </row>
    <row r="733" spans="1:22" x14ac:dyDescent="0.35">
      <c r="A733" t="s">
        <v>3516</v>
      </c>
      <c r="B733" t="s">
        <v>1447</v>
      </c>
      <c r="C733" t="s">
        <v>344</v>
      </c>
      <c r="D733" t="s">
        <v>29</v>
      </c>
      <c r="E733" t="s">
        <v>29</v>
      </c>
      <c r="F733" t="s">
        <v>30</v>
      </c>
      <c r="G733" t="s">
        <v>94</v>
      </c>
      <c r="H733" t="s">
        <v>94</v>
      </c>
      <c r="I733" t="s">
        <v>46</v>
      </c>
      <c r="K733" t="s">
        <v>3517</v>
      </c>
      <c r="L733" t="s">
        <v>49</v>
      </c>
      <c r="M733" t="s">
        <v>49</v>
      </c>
      <c r="N733" t="s">
        <v>49</v>
      </c>
      <c r="O733" t="s">
        <v>3518</v>
      </c>
      <c r="P733" t="s">
        <v>49</v>
      </c>
      <c r="Q733" t="s">
        <v>3519</v>
      </c>
      <c r="R733" t="s">
        <v>3520</v>
      </c>
      <c r="S733" t="s">
        <v>135</v>
      </c>
      <c r="T733" t="s">
        <v>109</v>
      </c>
      <c r="U733" t="s">
        <v>3521</v>
      </c>
      <c r="V733" t="s">
        <v>91</v>
      </c>
    </row>
    <row r="734" spans="1:22" x14ac:dyDescent="0.35">
      <c r="A734" t="s">
        <v>3522</v>
      </c>
      <c r="B734" t="s">
        <v>2155</v>
      </c>
      <c r="C734" t="s">
        <v>29</v>
      </c>
      <c r="D734" t="s">
        <v>29</v>
      </c>
      <c r="E734" t="s">
        <v>29</v>
      </c>
      <c r="F734" t="s">
        <v>30</v>
      </c>
      <c r="G734" t="s">
        <v>30</v>
      </c>
      <c r="H734" t="s">
        <v>94</v>
      </c>
      <c r="I734" t="s">
        <v>46</v>
      </c>
      <c r="K734" t="s">
        <v>3506</v>
      </c>
      <c r="L734" t="s">
        <v>40</v>
      </c>
      <c r="M734" t="s">
        <v>40</v>
      </c>
      <c r="N734" t="s">
        <v>49</v>
      </c>
      <c r="O734" t="s">
        <v>3491</v>
      </c>
      <c r="P734" t="s">
        <v>49</v>
      </c>
      <c r="Q734" t="s">
        <v>3523</v>
      </c>
      <c r="R734" t="s">
        <v>3524</v>
      </c>
      <c r="S734" t="s">
        <v>53</v>
      </c>
      <c r="T734" t="s">
        <v>3510</v>
      </c>
      <c r="U734" t="s">
        <v>3526</v>
      </c>
      <c r="V734" t="s">
        <v>91</v>
      </c>
    </row>
    <row r="735" spans="1:22" x14ac:dyDescent="0.35">
      <c r="A735" t="s">
        <v>3527</v>
      </c>
      <c r="B735" t="s">
        <v>1192</v>
      </c>
      <c r="C735" t="s">
        <v>344</v>
      </c>
      <c r="D735" t="s">
        <v>29</v>
      </c>
      <c r="E735" t="s">
        <v>206</v>
      </c>
      <c r="F735" t="s">
        <v>30</v>
      </c>
      <c r="G735" t="s">
        <v>94</v>
      </c>
      <c r="H735" t="s">
        <v>94</v>
      </c>
      <c r="I735" t="s">
        <v>36</v>
      </c>
      <c r="K735" t="s">
        <v>3528</v>
      </c>
      <c r="L735" t="s">
        <v>49</v>
      </c>
      <c r="M735" t="s">
        <v>48</v>
      </c>
      <c r="N735" t="s">
        <v>49</v>
      </c>
      <c r="O735" t="s">
        <v>3529</v>
      </c>
      <c r="P735" t="s">
        <v>48</v>
      </c>
      <c r="Q735" t="s">
        <v>3530</v>
      </c>
      <c r="R735" t="s">
        <v>3531</v>
      </c>
      <c r="S735" t="s">
        <v>53</v>
      </c>
      <c r="T735" t="s">
        <v>109</v>
      </c>
      <c r="U735" t="s">
        <v>3532</v>
      </c>
      <c r="V735" t="s">
        <v>129</v>
      </c>
    </row>
    <row r="736" spans="1:22" x14ac:dyDescent="0.35">
      <c r="A736" t="s">
        <v>3533</v>
      </c>
      <c r="B736" t="s">
        <v>1875</v>
      </c>
      <c r="C736" t="s">
        <v>44</v>
      </c>
      <c r="D736" t="s">
        <v>44</v>
      </c>
      <c r="E736" t="s">
        <v>157</v>
      </c>
      <c r="F736" t="s">
        <v>103</v>
      </c>
      <c r="G736" t="s">
        <v>45</v>
      </c>
      <c r="H736" t="s">
        <v>368</v>
      </c>
      <c r="I736" t="s">
        <v>46</v>
      </c>
      <c r="K736" t="s">
        <v>2828</v>
      </c>
      <c r="L736" t="s">
        <v>49</v>
      </c>
      <c r="M736" t="s">
        <v>49</v>
      </c>
      <c r="N736" t="s">
        <v>49</v>
      </c>
      <c r="O736" t="s">
        <v>3534</v>
      </c>
      <c r="P736" t="s">
        <v>49</v>
      </c>
      <c r="Q736" t="s">
        <v>3535</v>
      </c>
      <c r="R736" t="s">
        <v>3536</v>
      </c>
      <c r="S736" t="s">
        <v>53</v>
      </c>
      <c r="T736" t="s">
        <v>118</v>
      </c>
      <c r="U736" t="s">
        <v>3538</v>
      </c>
      <c r="V736" t="s">
        <v>91</v>
      </c>
    </row>
    <row r="737" spans="1:22" x14ac:dyDescent="0.35">
      <c r="A737" t="s">
        <v>3539</v>
      </c>
      <c r="B737" t="s">
        <v>32</v>
      </c>
      <c r="C737" t="s">
        <v>71</v>
      </c>
      <c r="D737" t="s">
        <v>33</v>
      </c>
      <c r="E737" t="s">
        <v>33</v>
      </c>
      <c r="F737" t="s">
        <v>103</v>
      </c>
      <c r="G737" t="s">
        <v>34</v>
      </c>
      <c r="H737" t="s">
        <v>35</v>
      </c>
      <c r="I737" t="s">
        <v>36</v>
      </c>
      <c r="K737" t="s">
        <v>2276</v>
      </c>
      <c r="L737" t="s">
        <v>48</v>
      </c>
      <c r="M737" t="s">
        <v>48</v>
      </c>
      <c r="N737" t="s">
        <v>48</v>
      </c>
      <c r="O737" t="s">
        <v>3540</v>
      </c>
      <c r="P737" t="s">
        <v>48</v>
      </c>
      <c r="S737" t="s">
        <v>53</v>
      </c>
      <c r="T737" t="s">
        <v>118</v>
      </c>
      <c r="U737" t="s">
        <v>3542</v>
      </c>
      <c r="V737" t="s">
        <v>91</v>
      </c>
    </row>
    <row r="738" spans="1:22" x14ac:dyDescent="0.35">
      <c r="A738" t="s">
        <v>3543</v>
      </c>
      <c r="B738" t="s">
        <v>1345</v>
      </c>
      <c r="C738" t="s">
        <v>344</v>
      </c>
      <c r="D738" t="s">
        <v>29</v>
      </c>
      <c r="E738" t="s">
        <v>29</v>
      </c>
      <c r="F738" t="s">
        <v>30</v>
      </c>
      <c r="G738" t="s">
        <v>30</v>
      </c>
      <c r="H738" t="s">
        <v>94</v>
      </c>
      <c r="I738" t="s">
        <v>36</v>
      </c>
      <c r="K738" t="s">
        <v>3544</v>
      </c>
      <c r="L738" t="s">
        <v>49</v>
      </c>
      <c r="M738" t="s">
        <v>49</v>
      </c>
      <c r="N738" t="s">
        <v>49</v>
      </c>
      <c r="O738" t="s">
        <v>3545</v>
      </c>
      <c r="P738" t="s">
        <v>49</v>
      </c>
      <c r="Q738" t="s">
        <v>3546</v>
      </c>
      <c r="R738" t="s">
        <v>3547</v>
      </c>
      <c r="S738" t="s">
        <v>87</v>
      </c>
      <c r="T738" t="s">
        <v>834</v>
      </c>
      <c r="U738" t="s">
        <v>3548</v>
      </c>
      <c r="V738" t="s">
        <v>129</v>
      </c>
    </row>
    <row r="739" spans="1:22" x14ac:dyDescent="0.35">
      <c r="A739" t="s">
        <v>3549</v>
      </c>
      <c r="B739" t="s">
        <v>2155</v>
      </c>
      <c r="C739" t="s">
        <v>28</v>
      </c>
      <c r="D739" t="s">
        <v>28</v>
      </c>
      <c r="E739" t="s">
        <v>33</v>
      </c>
      <c r="F739" t="s">
        <v>28</v>
      </c>
      <c r="G739" t="s">
        <v>28</v>
      </c>
      <c r="H739" t="s">
        <v>28</v>
      </c>
      <c r="I739" t="s">
        <v>46</v>
      </c>
      <c r="K739" t="s">
        <v>3506</v>
      </c>
      <c r="L739" t="s">
        <v>38</v>
      </c>
      <c r="M739" t="s">
        <v>38</v>
      </c>
      <c r="N739" t="s">
        <v>38</v>
      </c>
      <c r="O739" t="s">
        <v>3491</v>
      </c>
      <c r="P739" t="s">
        <v>38</v>
      </c>
      <c r="Q739" t="s">
        <v>3550</v>
      </c>
      <c r="R739" t="s">
        <v>3551</v>
      </c>
      <c r="S739" t="s">
        <v>53</v>
      </c>
      <c r="T739" t="s">
        <v>3510</v>
      </c>
      <c r="U739" t="s">
        <v>3553</v>
      </c>
      <c r="V739" t="s">
        <v>91</v>
      </c>
    </row>
    <row r="740" spans="1:22" x14ac:dyDescent="0.35">
      <c r="A740" t="s">
        <v>3554</v>
      </c>
      <c r="B740" t="s">
        <v>3471</v>
      </c>
      <c r="C740" t="s">
        <v>29</v>
      </c>
      <c r="D740" t="s">
        <v>29</v>
      </c>
      <c r="E740" t="s">
        <v>29</v>
      </c>
      <c r="F740" t="s">
        <v>30</v>
      </c>
      <c r="G740" t="s">
        <v>30</v>
      </c>
      <c r="H740" t="s">
        <v>94</v>
      </c>
      <c r="I740" t="s">
        <v>46</v>
      </c>
      <c r="K740" t="s">
        <v>3555</v>
      </c>
      <c r="L740" t="s">
        <v>49</v>
      </c>
      <c r="M740" t="s">
        <v>49</v>
      </c>
      <c r="N740" t="s">
        <v>49</v>
      </c>
      <c r="O740" t="s">
        <v>3556</v>
      </c>
      <c r="P740" t="s">
        <v>49</v>
      </c>
      <c r="Q740" t="s">
        <v>3557</v>
      </c>
      <c r="R740" t="s">
        <v>3558</v>
      </c>
      <c r="S740" t="s">
        <v>79</v>
      </c>
      <c r="T740" t="s">
        <v>834</v>
      </c>
      <c r="U740" t="s">
        <v>3559</v>
      </c>
      <c r="V740" t="s">
        <v>57</v>
      </c>
    </row>
    <row r="741" spans="1:22" x14ac:dyDescent="0.35">
      <c r="A741" t="s">
        <v>3560</v>
      </c>
      <c r="B741" t="s">
        <v>1875</v>
      </c>
      <c r="C741" t="s">
        <v>28</v>
      </c>
      <c r="D741" t="s">
        <v>44</v>
      </c>
      <c r="E741" t="s">
        <v>157</v>
      </c>
      <c r="F741" t="s">
        <v>103</v>
      </c>
      <c r="G741" t="s">
        <v>45</v>
      </c>
      <c r="H741" t="s">
        <v>368</v>
      </c>
      <c r="I741" t="s">
        <v>36</v>
      </c>
      <c r="K741" t="s">
        <v>2828</v>
      </c>
      <c r="L741" t="s">
        <v>49</v>
      </c>
      <c r="M741" t="s">
        <v>49</v>
      </c>
      <c r="N741" t="s">
        <v>49</v>
      </c>
      <c r="O741" t="s">
        <v>3561</v>
      </c>
      <c r="P741" t="s">
        <v>49</v>
      </c>
      <c r="Q741" t="s">
        <v>3562</v>
      </c>
      <c r="R741" t="s">
        <v>3563</v>
      </c>
      <c r="S741" t="s">
        <v>53</v>
      </c>
      <c r="T741" t="s">
        <v>118</v>
      </c>
      <c r="U741" t="s">
        <v>3565</v>
      </c>
      <c r="V741" t="s">
        <v>91</v>
      </c>
    </row>
    <row r="742" spans="1:22" x14ac:dyDescent="0.35">
      <c r="A742" t="s">
        <v>3566</v>
      </c>
      <c r="B742" t="s">
        <v>2155</v>
      </c>
      <c r="C742" t="s">
        <v>33</v>
      </c>
      <c r="D742" t="s">
        <v>33</v>
      </c>
      <c r="E742" t="s">
        <v>33</v>
      </c>
      <c r="F742" t="s">
        <v>34</v>
      </c>
      <c r="G742" t="s">
        <v>34</v>
      </c>
      <c r="H742" t="s">
        <v>74</v>
      </c>
      <c r="I742" t="s">
        <v>36</v>
      </c>
      <c r="K742" t="s">
        <v>3506</v>
      </c>
      <c r="L742" t="s">
        <v>38</v>
      </c>
      <c r="M742" t="s">
        <v>38</v>
      </c>
      <c r="N742" t="s">
        <v>38</v>
      </c>
      <c r="O742" t="s">
        <v>3491</v>
      </c>
      <c r="P742" t="s">
        <v>38</v>
      </c>
      <c r="Q742" t="s">
        <v>3507</v>
      </c>
      <c r="R742" t="s">
        <v>3567</v>
      </c>
      <c r="S742" t="s">
        <v>53</v>
      </c>
      <c r="T742" t="s">
        <v>3510</v>
      </c>
      <c r="U742" t="s">
        <v>3569</v>
      </c>
      <c r="V742" t="s">
        <v>91</v>
      </c>
    </row>
    <row r="743" spans="1:22" x14ac:dyDescent="0.35">
      <c r="A743" t="s">
        <v>3570</v>
      </c>
      <c r="B743" t="s">
        <v>3571</v>
      </c>
      <c r="C743" t="s">
        <v>28</v>
      </c>
      <c r="D743" t="s">
        <v>28</v>
      </c>
      <c r="E743" t="s">
        <v>28</v>
      </c>
      <c r="F743" t="s">
        <v>28</v>
      </c>
      <c r="G743" t="s">
        <v>28</v>
      </c>
      <c r="H743" t="s">
        <v>28</v>
      </c>
      <c r="I743" t="s">
        <v>36</v>
      </c>
      <c r="K743" t="s">
        <v>3572</v>
      </c>
      <c r="L743" t="s">
        <v>49</v>
      </c>
      <c r="M743" t="s">
        <v>49</v>
      </c>
      <c r="N743" t="s">
        <v>49</v>
      </c>
      <c r="O743" t="s">
        <v>3573</v>
      </c>
      <c r="P743" t="s">
        <v>49</v>
      </c>
      <c r="Q743" t="s">
        <v>3574</v>
      </c>
      <c r="R743" t="s">
        <v>3575</v>
      </c>
      <c r="S743" t="s">
        <v>87</v>
      </c>
      <c r="T743" t="s">
        <v>834</v>
      </c>
      <c r="U743" t="s">
        <v>3576</v>
      </c>
      <c r="V743" t="s">
        <v>129</v>
      </c>
    </row>
    <row r="744" spans="1:22" x14ac:dyDescent="0.35">
      <c r="A744" t="s">
        <v>3577</v>
      </c>
      <c r="B744" t="s">
        <v>1875</v>
      </c>
      <c r="C744" t="s">
        <v>28</v>
      </c>
      <c r="D744" t="s">
        <v>44</v>
      </c>
      <c r="E744" t="s">
        <v>157</v>
      </c>
      <c r="F744" t="s">
        <v>103</v>
      </c>
      <c r="G744" t="s">
        <v>45</v>
      </c>
      <c r="H744" t="s">
        <v>368</v>
      </c>
      <c r="I744" t="s">
        <v>46</v>
      </c>
      <c r="K744" t="s">
        <v>2901</v>
      </c>
      <c r="L744" t="s">
        <v>49</v>
      </c>
      <c r="M744" t="s">
        <v>49</v>
      </c>
      <c r="N744" t="s">
        <v>49</v>
      </c>
      <c r="O744" t="s">
        <v>3578</v>
      </c>
      <c r="P744" t="s">
        <v>49</v>
      </c>
      <c r="Q744" t="s">
        <v>3579</v>
      </c>
      <c r="R744" t="s">
        <v>3580</v>
      </c>
      <c r="S744" t="s">
        <v>53</v>
      </c>
      <c r="T744" t="s">
        <v>118</v>
      </c>
      <c r="U744" t="s">
        <v>3582</v>
      </c>
      <c r="V744" t="s">
        <v>91</v>
      </c>
    </row>
    <row r="745" spans="1:22" x14ac:dyDescent="0.35">
      <c r="A745" t="s">
        <v>3583</v>
      </c>
      <c r="B745" t="s">
        <v>3584</v>
      </c>
      <c r="C745" t="s">
        <v>28</v>
      </c>
      <c r="D745" t="s">
        <v>28</v>
      </c>
      <c r="E745" t="s">
        <v>28</v>
      </c>
      <c r="F745" t="s">
        <v>28</v>
      </c>
      <c r="G745" t="s">
        <v>28</v>
      </c>
      <c r="H745" t="s">
        <v>28</v>
      </c>
      <c r="I745" t="s">
        <v>36</v>
      </c>
      <c r="K745" t="s">
        <v>3585</v>
      </c>
      <c r="L745" t="s">
        <v>49</v>
      </c>
      <c r="M745" t="s">
        <v>49</v>
      </c>
      <c r="N745" t="s">
        <v>49</v>
      </c>
      <c r="O745" t="s">
        <v>3586</v>
      </c>
      <c r="P745" t="s">
        <v>49</v>
      </c>
      <c r="Q745" t="s">
        <v>3587</v>
      </c>
      <c r="R745" t="s">
        <v>3588</v>
      </c>
      <c r="S745" t="s">
        <v>135</v>
      </c>
      <c r="T745" t="s">
        <v>81</v>
      </c>
      <c r="U745" t="s">
        <v>3589</v>
      </c>
      <c r="V745" t="s">
        <v>129</v>
      </c>
    </row>
    <row r="746" spans="1:22" x14ac:dyDescent="0.35">
      <c r="A746" t="s">
        <v>3590</v>
      </c>
      <c r="B746" t="s">
        <v>1875</v>
      </c>
      <c r="C746" t="s">
        <v>28</v>
      </c>
      <c r="D746" t="s">
        <v>44</v>
      </c>
      <c r="E746" t="s">
        <v>157</v>
      </c>
      <c r="F746" t="s">
        <v>103</v>
      </c>
      <c r="G746" t="s">
        <v>45</v>
      </c>
      <c r="H746" t="s">
        <v>368</v>
      </c>
      <c r="I746" t="s">
        <v>36</v>
      </c>
      <c r="K746" t="s">
        <v>2924</v>
      </c>
      <c r="L746" t="s">
        <v>49</v>
      </c>
      <c r="M746" t="s">
        <v>49</v>
      </c>
      <c r="N746" t="s">
        <v>49</v>
      </c>
      <c r="O746" t="s">
        <v>3591</v>
      </c>
      <c r="P746" t="s">
        <v>49</v>
      </c>
      <c r="Q746" t="s">
        <v>3592</v>
      </c>
      <c r="R746" t="s">
        <v>3593</v>
      </c>
      <c r="S746" t="s">
        <v>53</v>
      </c>
      <c r="T746" t="s">
        <v>118</v>
      </c>
      <c r="U746" t="s">
        <v>3092</v>
      </c>
      <c r="V746" t="s">
        <v>91</v>
      </c>
    </row>
    <row r="747" spans="1:22" x14ac:dyDescent="0.35">
      <c r="A747" t="s">
        <v>3595</v>
      </c>
      <c r="B747" t="s">
        <v>3596</v>
      </c>
      <c r="C747" t="s">
        <v>71</v>
      </c>
      <c r="D747" t="s">
        <v>33</v>
      </c>
      <c r="E747" t="s">
        <v>73</v>
      </c>
      <c r="F747" t="s">
        <v>34</v>
      </c>
      <c r="G747" t="s">
        <v>34</v>
      </c>
      <c r="H747" t="s">
        <v>73</v>
      </c>
      <c r="I747" t="s">
        <v>46</v>
      </c>
      <c r="K747" t="s">
        <v>3597</v>
      </c>
      <c r="L747" t="s">
        <v>48</v>
      </c>
      <c r="M747" t="s">
        <v>48</v>
      </c>
      <c r="N747" t="s">
        <v>48</v>
      </c>
      <c r="O747" t="s">
        <v>3598</v>
      </c>
      <c r="P747" t="s">
        <v>48</v>
      </c>
      <c r="Q747" t="s">
        <v>3599</v>
      </c>
      <c r="R747" t="s">
        <v>3600</v>
      </c>
      <c r="S747" t="s">
        <v>135</v>
      </c>
      <c r="T747" t="s">
        <v>603</v>
      </c>
      <c r="U747" t="s">
        <v>3601</v>
      </c>
      <c r="V747" t="s">
        <v>129</v>
      </c>
    </row>
    <row r="748" spans="1:22" x14ac:dyDescent="0.35">
      <c r="A748" t="s">
        <v>3602</v>
      </c>
      <c r="B748" t="s">
        <v>2155</v>
      </c>
      <c r="C748" t="s">
        <v>33</v>
      </c>
      <c r="D748" t="s">
        <v>33</v>
      </c>
      <c r="E748" t="s">
        <v>33</v>
      </c>
      <c r="F748" t="s">
        <v>34</v>
      </c>
      <c r="G748" t="s">
        <v>34</v>
      </c>
      <c r="H748" t="s">
        <v>74</v>
      </c>
      <c r="I748" t="s">
        <v>36</v>
      </c>
      <c r="K748" t="s">
        <v>3506</v>
      </c>
      <c r="L748" t="s">
        <v>38</v>
      </c>
      <c r="M748" t="s">
        <v>49</v>
      </c>
      <c r="N748" t="s">
        <v>49</v>
      </c>
      <c r="O748" t="s">
        <v>3603</v>
      </c>
      <c r="P748" t="s">
        <v>49</v>
      </c>
      <c r="Q748" t="s">
        <v>3604</v>
      </c>
      <c r="R748" t="s">
        <v>3605</v>
      </c>
      <c r="S748" t="s">
        <v>87</v>
      </c>
      <c r="T748" t="s">
        <v>3510</v>
      </c>
      <c r="U748" t="s">
        <v>3607</v>
      </c>
      <c r="V748" t="s">
        <v>91</v>
      </c>
    </row>
    <row r="749" spans="1:22" x14ac:dyDescent="0.35">
      <c r="A749" t="s">
        <v>3608</v>
      </c>
      <c r="B749" t="s">
        <v>3609</v>
      </c>
      <c r="C749" t="s">
        <v>29</v>
      </c>
      <c r="D749" t="s">
        <v>29</v>
      </c>
      <c r="E749" t="s">
        <v>29</v>
      </c>
      <c r="F749" t="s">
        <v>30</v>
      </c>
      <c r="G749" t="s">
        <v>30</v>
      </c>
      <c r="H749" t="s">
        <v>94</v>
      </c>
      <c r="I749" t="s">
        <v>36</v>
      </c>
      <c r="K749" t="s">
        <v>3610</v>
      </c>
      <c r="L749" t="s">
        <v>49</v>
      </c>
      <c r="M749" t="s">
        <v>49</v>
      </c>
      <c r="N749" t="s">
        <v>49</v>
      </c>
      <c r="O749" t="s">
        <v>3611</v>
      </c>
      <c r="P749" t="s">
        <v>49</v>
      </c>
      <c r="Q749" t="s">
        <v>3612</v>
      </c>
      <c r="R749" t="s">
        <v>3613</v>
      </c>
      <c r="S749" t="s">
        <v>53</v>
      </c>
      <c r="T749" t="s">
        <v>100</v>
      </c>
      <c r="U749" t="s">
        <v>3614</v>
      </c>
      <c r="V749" t="s">
        <v>91</v>
      </c>
    </row>
    <row r="750" spans="1:22" x14ac:dyDescent="0.35">
      <c r="A750" t="s">
        <v>2506</v>
      </c>
      <c r="B750" t="s">
        <v>2119</v>
      </c>
      <c r="C750" t="s">
        <v>44</v>
      </c>
      <c r="D750" t="s">
        <v>158</v>
      </c>
      <c r="E750" t="s">
        <v>29</v>
      </c>
      <c r="F750" t="s">
        <v>173</v>
      </c>
      <c r="G750" t="s">
        <v>103</v>
      </c>
      <c r="H750" t="s">
        <v>74</v>
      </c>
      <c r="I750" t="s">
        <v>46</v>
      </c>
      <c r="K750" t="s">
        <v>2317</v>
      </c>
      <c r="L750" t="s">
        <v>48</v>
      </c>
      <c r="M750" t="s">
        <v>48</v>
      </c>
      <c r="N750" t="s">
        <v>40</v>
      </c>
      <c r="O750" t="s">
        <v>3615</v>
      </c>
      <c r="P750" t="s">
        <v>48</v>
      </c>
      <c r="S750" t="s">
        <v>53</v>
      </c>
      <c r="T750" t="s">
        <v>118</v>
      </c>
      <c r="U750" t="s">
        <v>2508</v>
      </c>
      <c r="V750" t="s">
        <v>91</v>
      </c>
    </row>
    <row r="751" spans="1:22" x14ac:dyDescent="0.35">
      <c r="A751" t="s">
        <v>3616</v>
      </c>
      <c r="B751" t="s">
        <v>1339</v>
      </c>
      <c r="C751" t="s">
        <v>28</v>
      </c>
      <c r="D751" t="s">
        <v>28</v>
      </c>
      <c r="E751" t="s">
        <v>28</v>
      </c>
      <c r="F751" t="s">
        <v>28</v>
      </c>
      <c r="G751" t="s">
        <v>28</v>
      </c>
      <c r="H751" t="s">
        <v>28</v>
      </c>
      <c r="I751" t="s">
        <v>46</v>
      </c>
      <c r="K751" t="s">
        <v>3617</v>
      </c>
      <c r="L751" t="s">
        <v>49</v>
      </c>
      <c r="M751" t="s">
        <v>49</v>
      </c>
      <c r="N751" t="s">
        <v>49</v>
      </c>
      <c r="O751" t="s">
        <v>3618</v>
      </c>
      <c r="P751" t="s">
        <v>49</v>
      </c>
      <c r="Q751" t="s">
        <v>3619</v>
      </c>
      <c r="R751" t="s">
        <v>3620</v>
      </c>
      <c r="S751" t="s">
        <v>79</v>
      </c>
      <c r="T751" t="s">
        <v>100</v>
      </c>
      <c r="U751" t="s">
        <v>3621</v>
      </c>
      <c r="V751" t="s">
        <v>129</v>
      </c>
    </row>
    <row r="752" spans="1:22" x14ac:dyDescent="0.35">
      <c r="A752" t="s">
        <v>3622</v>
      </c>
      <c r="B752" t="s">
        <v>1875</v>
      </c>
      <c r="C752" t="s">
        <v>28</v>
      </c>
      <c r="D752" t="s">
        <v>44</v>
      </c>
      <c r="E752" t="s">
        <v>157</v>
      </c>
      <c r="F752" t="s">
        <v>103</v>
      </c>
      <c r="G752" t="s">
        <v>45</v>
      </c>
      <c r="H752" t="s">
        <v>368</v>
      </c>
      <c r="I752" t="s">
        <v>36</v>
      </c>
      <c r="K752" t="s">
        <v>2897</v>
      </c>
      <c r="L752" t="s">
        <v>49</v>
      </c>
      <c r="M752" t="s">
        <v>49</v>
      </c>
      <c r="N752" t="s">
        <v>49</v>
      </c>
      <c r="O752" t="s">
        <v>3623</v>
      </c>
      <c r="P752" t="s">
        <v>49</v>
      </c>
      <c r="Q752" t="s">
        <v>3624</v>
      </c>
      <c r="R752" t="s">
        <v>3625</v>
      </c>
      <c r="S752" t="s">
        <v>53</v>
      </c>
      <c r="T752" t="s">
        <v>118</v>
      </c>
      <c r="U752" t="s">
        <v>3627</v>
      </c>
      <c r="V752" t="s">
        <v>91</v>
      </c>
    </row>
    <row r="753" spans="1:22" x14ac:dyDescent="0.35">
      <c r="A753" t="s">
        <v>3628</v>
      </c>
      <c r="B753" t="s">
        <v>3629</v>
      </c>
      <c r="C753" t="s">
        <v>344</v>
      </c>
      <c r="D753" t="s">
        <v>29</v>
      </c>
      <c r="E753" t="s">
        <v>29</v>
      </c>
      <c r="F753" t="s">
        <v>30</v>
      </c>
      <c r="G753" t="s">
        <v>30</v>
      </c>
      <c r="H753" t="s">
        <v>94</v>
      </c>
      <c r="I753" t="s">
        <v>36</v>
      </c>
      <c r="K753" t="s">
        <v>3630</v>
      </c>
      <c r="L753" t="s">
        <v>38</v>
      </c>
      <c r="M753" t="s">
        <v>38</v>
      </c>
      <c r="N753" t="s">
        <v>38</v>
      </c>
      <c r="O753" t="s">
        <v>3631</v>
      </c>
      <c r="P753" t="s">
        <v>38</v>
      </c>
      <c r="Q753" t="s">
        <v>3632</v>
      </c>
      <c r="R753" t="s">
        <v>3633</v>
      </c>
      <c r="S753" t="s">
        <v>135</v>
      </c>
      <c r="T753" t="s">
        <v>100</v>
      </c>
      <c r="U753" t="s">
        <v>3634</v>
      </c>
      <c r="V753" t="s">
        <v>91</v>
      </c>
    </row>
    <row r="754" spans="1:22" x14ac:dyDescent="0.35">
      <c r="A754" t="s">
        <v>3635</v>
      </c>
      <c r="B754" t="s">
        <v>3636</v>
      </c>
      <c r="C754" t="s">
        <v>71</v>
      </c>
      <c r="D754" t="s">
        <v>29</v>
      </c>
      <c r="E754" t="s">
        <v>73</v>
      </c>
      <c r="F754" t="s">
        <v>34</v>
      </c>
      <c r="G754" t="s">
        <v>34</v>
      </c>
      <c r="H754" t="s">
        <v>73</v>
      </c>
      <c r="I754" t="s">
        <v>46</v>
      </c>
      <c r="K754" t="s">
        <v>3637</v>
      </c>
      <c r="L754" t="s">
        <v>48</v>
      </c>
      <c r="M754" t="s">
        <v>48</v>
      </c>
      <c r="N754" t="s">
        <v>48</v>
      </c>
      <c r="O754" t="s">
        <v>3638</v>
      </c>
      <c r="P754" t="s">
        <v>48</v>
      </c>
      <c r="Q754" t="s">
        <v>3639</v>
      </c>
      <c r="R754" t="s">
        <v>3640</v>
      </c>
      <c r="S754" t="s">
        <v>87</v>
      </c>
      <c r="T754" t="s">
        <v>100</v>
      </c>
      <c r="U754" t="s">
        <v>3641</v>
      </c>
      <c r="V754" t="s">
        <v>91</v>
      </c>
    </row>
    <row r="755" spans="1:22" x14ac:dyDescent="0.35">
      <c r="A755" t="s">
        <v>3642</v>
      </c>
      <c r="B755" t="s">
        <v>1875</v>
      </c>
      <c r="C755" t="s">
        <v>28</v>
      </c>
      <c r="D755" t="s">
        <v>44</v>
      </c>
      <c r="E755" t="s">
        <v>157</v>
      </c>
      <c r="F755" t="s">
        <v>103</v>
      </c>
      <c r="G755" t="s">
        <v>45</v>
      </c>
      <c r="H755" t="s">
        <v>368</v>
      </c>
      <c r="I755" t="s">
        <v>36</v>
      </c>
      <c r="K755" t="s">
        <v>2897</v>
      </c>
      <c r="L755" t="s">
        <v>49</v>
      </c>
      <c r="M755" t="s">
        <v>49</v>
      </c>
      <c r="N755" t="s">
        <v>49</v>
      </c>
      <c r="O755" t="s">
        <v>3643</v>
      </c>
      <c r="P755" t="s">
        <v>49</v>
      </c>
      <c r="Q755" t="s">
        <v>3644</v>
      </c>
      <c r="R755" t="s">
        <v>3645</v>
      </c>
      <c r="S755" t="s">
        <v>53</v>
      </c>
      <c r="T755" t="s">
        <v>118</v>
      </c>
      <c r="U755" t="s">
        <v>3092</v>
      </c>
      <c r="V755" t="s">
        <v>91</v>
      </c>
    </row>
    <row r="756" spans="1:22" x14ac:dyDescent="0.35">
      <c r="A756" t="s">
        <v>3647</v>
      </c>
      <c r="B756" t="s">
        <v>3648</v>
      </c>
      <c r="C756" t="s">
        <v>344</v>
      </c>
      <c r="D756" t="s">
        <v>29</v>
      </c>
      <c r="E756" t="s">
        <v>206</v>
      </c>
      <c r="F756" t="s">
        <v>30</v>
      </c>
      <c r="G756" t="s">
        <v>30</v>
      </c>
      <c r="H756" t="s">
        <v>94</v>
      </c>
      <c r="I756" t="s">
        <v>36</v>
      </c>
      <c r="K756" t="s">
        <v>3649</v>
      </c>
      <c r="L756" t="s">
        <v>49</v>
      </c>
      <c r="M756" t="s">
        <v>49</v>
      </c>
      <c r="N756" t="s">
        <v>49</v>
      </c>
      <c r="O756" t="s">
        <v>3650</v>
      </c>
      <c r="P756" t="s">
        <v>49</v>
      </c>
      <c r="Q756" t="s">
        <v>3651</v>
      </c>
      <c r="R756" t="s">
        <v>3652</v>
      </c>
      <c r="S756" t="s">
        <v>65</v>
      </c>
      <c r="T756" t="s">
        <v>100</v>
      </c>
      <c r="U756" t="s">
        <v>3653</v>
      </c>
      <c r="V756" t="s">
        <v>129</v>
      </c>
    </row>
    <row r="757" spans="1:22" x14ac:dyDescent="0.35">
      <c r="A757" t="s">
        <v>3654</v>
      </c>
      <c r="B757" t="s">
        <v>1960</v>
      </c>
      <c r="C757" t="s">
        <v>44</v>
      </c>
      <c r="D757" t="s">
        <v>44</v>
      </c>
      <c r="E757" t="s">
        <v>44</v>
      </c>
      <c r="F757" t="s">
        <v>158</v>
      </c>
      <c r="G757" t="s">
        <v>103</v>
      </c>
      <c r="H757" t="s">
        <v>35</v>
      </c>
      <c r="I757" t="s">
        <v>46</v>
      </c>
      <c r="K757" t="s">
        <v>3655</v>
      </c>
      <c r="L757" t="s">
        <v>48</v>
      </c>
      <c r="M757" t="s">
        <v>48</v>
      </c>
      <c r="N757" t="s">
        <v>38</v>
      </c>
      <c r="O757" t="s">
        <v>1885</v>
      </c>
      <c r="P757" t="s">
        <v>38</v>
      </c>
      <c r="Q757" t="s">
        <v>2011</v>
      </c>
      <c r="R757" t="s">
        <v>1887</v>
      </c>
      <c r="S757" t="s">
        <v>79</v>
      </c>
      <c r="T757" t="s">
        <v>3515</v>
      </c>
      <c r="U757" t="s">
        <v>3657</v>
      </c>
      <c r="V757" t="s">
        <v>91</v>
      </c>
    </row>
    <row r="758" spans="1:22" x14ac:dyDescent="0.35">
      <c r="A758" t="s">
        <v>3658</v>
      </c>
      <c r="B758" t="s">
        <v>1192</v>
      </c>
      <c r="C758" t="s">
        <v>344</v>
      </c>
      <c r="D758" t="s">
        <v>29</v>
      </c>
      <c r="E758" t="s">
        <v>206</v>
      </c>
      <c r="F758" t="s">
        <v>30</v>
      </c>
      <c r="G758" t="s">
        <v>94</v>
      </c>
      <c r="H758" t="s">
        <v>94</v>
      </c>
      <c r="I758" t="s">
        <v>46</v>
      </c>
      <c r="K758" t="s">
        <v>3659</v>
      </c>
      <c r="L758" t="s">
        <v>49</v>
      </c>
      <c r="M758" t="s">
        <v>49</v>
      </c>
      <c r="N758" t="s">
        <v>49</v>
      </c>
      <c r="O758" t="s">
        <v>3660</v>
      </c>
      <c r="P758" t="s">
        <v>49</v>
      </c>
      <c r="Q758" t="s">
        <v>3661</v>
      </c>
      <c r="R758" t="s">
        <v>3662</v>
      </c>
      <c r="S758" t="s">
        <v>87</v>
      </c>
      <c r="T758" t="s">
        <v>100</v>
      </c>
      <c r="U758" t="s">
        <v>3663</v>
      </c>
      <c r="V758" t="s">
        <v>129</v>
      </c>
    </row>
    <row r="759" spans="1:22" x14ac:dyDescent="0.35">
      <c r="A759" t="s">
        <v>3664</v>
      </c>
      <c r="B759" t="s">
        <v>1875</v>
      </c>
      <c r="C759" t="s">
        <v>44</v>
      </c>
      <c r="D759" t="s">
        <v>44</v>
      </c>
      <c r="E759" t="s">
        <v>157</v>
      </c>
      <c r="F759" t="s">
        <v>103</v>
      </c>
      <c r="G759" t="s">
        <v>368</v>
      </c>
      <c r="H759" t="s">
        <v>368</v>
      </c>
      <c r="I759" t="s">
        <v>46</v>
      </c>
      <c r="K759" t="s">
        <v>2897</v>
      </c>
      <c r="L759" t="s">
        <v>49</v>
      </c>
      <c r="M759" t="s">
        <v>49</v>
      </c>
      <c r="N759" t="s">
        <v>49</v>
      </c>
      <c r="O759" t="s">
        <v>3665</v>
      </c>
      <c r="P759" t="s">
        <v>49</v>
      </c>
      <c r="Q759" t="s">
        <v>3666</v>
      </c>
      <c r="R759" t="s">
        <v>3667</v>
      </c>
      <c r="S759" t="s">
        <v>53</v>
      </c>
      <c r="T759" t="s">
        <v>118</v>
      </c>
      <c r="U759" t="s">
        <v>3669</v>
      </c>
      <c r="V759" t="s">
        <v>91</v>
      </c>
    </row>
    <row r="760" spans="1:22" x14ac:dyDescent="0.35">
      <c r="A760" t="s">
        <v>3670</v>
      </c>
      <c r="B760" t="s">
        <v>3596</v>
      </c>
      <c r="C760" t="s">
        <v>71</v>
      </c>
      <c r="D760" t="s">
        <v>33</v>
      </c>
      <c r="E760" t="s">
        <v>73</v>
      </c>
      <c r="F760" t="s">
        <v>34</v>
      </c>
      <c r="G760" t="s">
        <v>34</v>
      </c>
      <c r="H760" t="s">
        <v>73</v>
      </c>
      <c r="I760" t="s">
        <v>46</v>
      </c>
      <c r="K760" t="s">
        <v>3671</v>
      </c>
      <c r="L760" t="s">
        <v>48</v>
      </c>
      <c r="M760" t="s">
        <v>48</v>
      </c>
      <c r="N760" t="s">
        <v>48</v>
      </c>
      <c r="O760" t="s">
        <v>3672</v>
      </c>
      <c r="P760" t="s">
        <v>48</v>
      </c>
      <c r="Q760" t="s">
        <v>3673</v>
      </c>
      <c r="R760" t="s">
        <v>3674</v>
      </c>
      <c r="S760" t="s">
        <v>135</v>
      </c>
      <c r="T760" t="s">
        <v>603</v>
      </c>
      <c r="U760" t="s">
        <v>3675</v>
      </c>
      <c r="V760" t="s">
        <v>91</v>
      </c>
    </row>
    <row r="761" spans="1:22" x14ac:dyDescent="0.35">
      <c r="A761" t="s">
        <v>3676</v>
      </c>
      <c r="B761" t="s">
        <v>1960</v>
      </c>
      <c r="C761" t="s">
        <v>44</v>
      </c>
      <c r="D761" t="s">
        <v>60</v>
      </c>
      <c r="E761" t="s">
        <v>60</v>
      </c>
      <c r="F761" t="s">
        <v>103</v>
      </c>
      <c r="G761" t="s">
        <v>103</v>
      </c>
      <c r="H761" t="s">
        <v>45</v>
      </c>
      <c r="I761" t="s">
        <v>46</v>
      </c>
      <c r="K761" t="s">
        <v>3677</v>
      </c>
      <c r="L761" t="s">
        <v>48</v>
      </c>
      <c r="M761" t="s">
        <v>48</v>
      </c>
      <c r="N761" t="s">
        <v>49</v>
      </c>
      <c r="O761" t="s">
        <v>1885</v>
      </c>
      <c r="P761" t="s">
        <v>38</v>
      </c>
      <c r="Q761" t="s">
        <v>2011</v>
      </c>
      <c r="R761" t="s">
        <v>1887</v>
      </c>
      <c r="S761" t="s">
        <v>53</v>
      </c>
      <c r="T761" t="s">
        <v>3515</v>
      </c>
      <c r="U761" t="s">
        <v>3679</v>
      </c>
      <c r="V761" t="s">
        <v>91</v>
      </c>
    </row>
    <row r="762" spans="1:22" x14ac:dyDescent="0.35">
      <c r="A762" t="s">
        <v>3680</v>
      </c>
      <c r="B762" t="s">
        <v>2155</v>
      </c>
      <c r="C762" t="s">
        <v>71</v>
      </c>
      <c r="D762" t="s">
        <v>33</v>
      </c>
      <c r="E762" t="s">
        <v>33</v>
      </c>
      <c r="F762" t="s">
        <v>34</v>
      </c>
      <c r="G762" t="s">
        <v>34</v>
      </c>
      <c r="H762" t="s">
        <v>35</v>
      </c>
      <c r="I762" t="s">
        <v>36</v>
      </c>
      <c r="K762" t="s">
        <v>3506</v>
      </c>
      <c r="L762" t="s">
        <v>49</v>
      </c>
      <c r="M762" t="s">
        <v>49</v>
      </c>
      <c r="N762" t="s">
        <v>49</v>
      </c>
      <c r="O762" t="s">
        <v>3681</v>
      </c>
      <c r="P762" t="s">
        <v>49</v>
      </c>
      <c r="Q762" t="s">
        <v>3682</v>
      </c>
      <c r="R762" t="s">
        <v>3683</v>
      </c>
      <c r="S762" t="s">
        <v>53</v>
      </c>
      <c r="T762" t="s">
        <v>3510</v>
      </c>
      <c r="U762" t="s">
        <v>3685</v>
      </c>
      <c r="V762" t="s">
        <v>91</v>
      </c>
    </row>
    <row r="763" spans="1:22" x14ac:dyDescent="0.35">
      <c r="A763" t="s">
        <v>2887</v>
      </c>
      <c r="B763" t="s">
        <v>1875</v>
      </c>
      <c r="C763" t="s">
        <v>377</v>
      </c>
      <c r="D763" t="s">
        <v>44</v>
      </c>
      <c r="E763" t="s">
        <v>157</v>
      </c>
      <c r="F763" t="s">
        <v>103</v>
      </c>
      <c r="G763" t="s">
        <v>103</v>
      </c>
      <c r="H763" t="s">
        <v>45</v>
      </c>
      <c r="I763" t="s">
        <v>36</v>
      </c>
      <c r="K763" t="s">
        <v>2792</v>
      </c>
      <c r="L763" t="s">
        <v>49</v>
      </c>
      <c r="M763" t="s">
        <v>49</v>
      </c>
      <c r="N763" t="s">
        <v>49</v>
      </c>
      <c r="O763" t="s">
        <v>3686</v>
      </c>
      <c r="P763" t="s">
        <v>49</v>
      </c>
      <c r="Q763" t="s">
        <v>3687</v>
      </c>
      <c r="R763" t="s">
        <v>3688</v>
      </c>
      <c r="S763" t="s">
        <v>53</v>
      </c>
      <c r="T763" t="s">
        <v>118</v>
      </c>
      <c r="U763" t="s">
        <v>3690</v>
      </c>
      <c r="V763" t="s">
        <v>91</v>
      </c>
    </row>
    <row r="764" spans="1:22" x14ac:dyDescent="0.35">
      <c r="A764" t="s">
        <v>3691</v>
      </c>
      <c r="B764" t="s">
        <v>3692</v>
      </c>
      <c r="C764" t="s">
        <v>28</v>
      </c>
      <c r="D764" t="s">
        <v>28</v>
      </c>
      <c r="E764" t="s">
        <v>28</v>
      </c>
      <c r="F764" t="s">
        <v>28</v>
      </c>
      <c r="G764" t="s">
        <v>28</v>
      </c>
      <c r="H764" t="s">
        <v>28</v>
      </c>
      <c r="I764" t="s">
        <v>36</v>
      </c>
      <c r="K764" t="s">
        <v>3693</v>
      </c>
      <c r="L764" t="s">
        <v>49</v>
      </c>
      <c r="M764" t="s">
        <v>49</v>
      </c>
      <c r="N764" t="s">
        <v>49</v>
      </c>
      <c r="O764" t="s">
        <v>3694</v>
      </c>
      <c r="P764" t="s">
        <v>49</v>
      </c>
      <c r="Q764" t="s">
        <v>3695</v>
      </c>
      <c r="R764" t="s">
        <v>3696</v>
      </c>
      <c r="S764" t="s">
        <v>53</v>
      </c>
      <c r="T764" t="s">
        <v>603</v>
      </c>
      <c r="U764" t="s">
        <v>3697</v>
      </c>
      <c r="V764" t="s">
        <v>91</v>
      </c>
    </row>
    <row r="765" spans="1:22" x14ac:dyDescent="0.35">
      <c r="A765" t="s">
        <v>3698</v>
      </c>
      <c r="B765" t="s">
        <v>32</v>
      </c>
      <c r="C765" t="s">
        <v>60</v>
      </c>
      <c r="D765" t="s">
        <v>158</v>
      </c>
      <c r="E765" t="s">
        <v>206</v>
      </c>
      <c r="F765" t="s">
        <v>103</v>
      </c>
      <c r="G765" t="s">
        <v>28</v>
      </c>
      <c r="H765" t="s">
        <v>368</v>
      </c>
      <c r="I765" t="s">
        <v>36</v>
      </c>
      <c r="K765" t="s">
        <v>2338</v>
      </c>
      <c r="L765" t="s">
        <v>48</v>
      </c>
      <c r="M765" t="s">
        <v>39</v>
      </c>
      <c r="N765" t="s">
        <v>38</v>
      </c>
      <c r="O765" t="s">
        <v>3699</v>
      </c>
      <c r="P765" t="s">
        <v>48</v>
      </c>
      <c r="S765" t="s">
        <v>53</v>
      </c>
      <c r="T765" t="s">
        <v>118</v>
      </c>
      <c r="U765" t="s">
        <v>3701</v>
      </c>
      <c r="V765" t="s">
        <v>91</v>
      </c>
    </row>
    <row r="766" spans="1:22" x14ac:dyDescent="0.35">
      <c r="A766" t="s">
        <v>3702</v>
      </c>
      <c r="B766" t="s">
        <v>2155</v>
      </c>
      <c r="C766" t="s">
        <v>71</v>
      </c>
      <c r="D766" t="s">
        <v>33</v>
      </c>
      <c r="E766" t="s">
        <v>33</v>
      </c>
      <c r="F766" t="s">
        <v>34</v>
      </c>
      <c r="G766" t="s">
        <v>34</v>
      </c>
      <c r="H766" t="s">
        <v>73</v>
      </c>
      <c r="I766" t="s">
        <v>46</v>
      </c>
      <c r="K766" t="s">
        <v>3506</v>
      </c>
      <c r="L766" t="s">
        <v>38</v>
      </c>
      <c r="M766" t="s">
        <v>40</v>
      </c>
      <c r="N766" t="s">
        <v>38</v>
      </c>
      <c r="O766" t="s">
        <v>3703</v>
      </c>
      <c r="P766" t="s">
        <v>40</v>
      </c>
      <c r="Q766" t="s">
        <v>3682</v>
      </c>
      <c r="R766" t="s">
        <v>3605</v>
      </c>
      <c r="S766" t="s">
        <v>53</v>
      </c>
      <c r="T766" t="s">
        <v>3510</v>
      </c>
      <c r="U766" t="s">
        <v>3705</v>
      </c>
      <c r="V766" t="s">
        <v>91</v>
      </c>
    </row>
    <row r="767" spans="1:22" x14ac:dyDescent="0.35">
      <c r="A767" t="s">
        <v>3706</v>
      </c>
      <c r="B767" t="s">
        <v>1520</v>
      </c>
      <c r="C767" t="s">
        <v>71</v>
      </c>
      <c r="D767" t="s">
        <v>33</v>
      </c>
      <c r="E767" t="s">
        <v>73</v>
      </c>
      <c r="F767" t="s">
        <v>34</v>
      </c>
      <c r="G767" t="s">
        <v>34</v>
      </c>
      <c r="H767" t="s">
        <v>73</v>
      </c>
      <c r="I767" t="s">
        <v>46</v>
      </c>
      <c r="K767" t="s">
        <v>642</v>
      </c>
      <c r="L767" t="s">
        <v>48</v>
      </c>
      <c r="M767" t="s">
        <v>48</v>
      </c>
      <c r="N767" t="s">
        <v>48</v>
      </c>
      <c r="O767" t="s">
        <v>3707</v>
      </c>
      <c r="P767" t="s">
        <v>48</v>
      </c>
      <c r="Q767" t="s">
        <v>3708</v>
      </c>
      <c r="R767" t="s">
        <v>3709</v>
      </c>
      <c r="S767" t="s">
        <v>65</v>
      </c>
      <c r="T767" t="s">
        <v>603</v>
      </c>
      <c r="U767" t="s">
        <v>3710</v>
      </c>
      <c r="V767" t="s">
        <v>91</v>
      </c>
    </row>
    <row r="768" spans="1:22" x14ac:dyDescent="0.35">
      <c r="A768" t="s">
        <v>3711</v>
      </c>
      <c r="B768" t="s">
        <v>32</v>
      </c>
      <c r="C768" t="s">
        <v>71</v>
      </c>
      <c r="D768" t="s">
        <v>60</v>
      </c>
      <c r="E768" t="s">
        <v>73</v>
      </c>
      <c r="F768" t="s">
        <v>28</v>
      </c>
      <c r="G768" t="s">
        <v>45</v>
      </c>
      <c r="H768" t="s">
        <v>73</v>
      </c>
      <c r="I768" t="s">
        <v>46</v>
      </c>
      <c r="K768" t="s">
        <v>2338</v>
      </c>
      <c r="L768" t="s">
        <v>48</v>
      </c>
      <c r="M768" t="s">
        <v>48</v>
      </c>
      <c r="N768" t="s">
        <v>49</v>
      </c>
      <c r="O768" t="s">
        <v>3712</v>
      </c>
      <c r="P768" t="s">
        <v>49</v>
      </c>
      <c r="S768" t="s">
        <v>53</v>
      </c>
      <c r="T768" t="s">
        <v>118</v>
      </c>
      <c r="U768" t="s">
        <v>3714</v>
      </c>
      <c r="V768" t="s">
        <v>170</v>
      </c>
    </row>
    <row r="769" spans="1:22" x14ac:dyDescent="0.35">
      <c r="A769" t="s">
        <v>3715</v>
      </c>
      <c r="B769" t="s">
        <v>1960</v>
      </c>
      <c r="C769" t="s">
        <v>44</v>
      </c>
      <c r="D769" t="s">
        <v>60</v>
      </c>
      <c r="E769" t="s">
        <v>60</v>
      </c>
      <c r="F769" t="s">
        <v>173</v>
      </c>
      <c r="G769" t="s">
        <v>103</v>
      </c>
      <c r="H769" t="s">
        <v>61</v>
      </c>
      <c r="I769" t="s">
        <v>46</v>
      </c>
      <c r="K769" t="s">
        <v>3716</v>
      </c>
      <c r="L769" t="s">
        <v>48</v>
      </c>
      <c r="M769" t="s">
        <v>48</v>
      </c>
      <c r="N769" t="s">
        <v>49</v>
      </c>
      <c r="O769" t="s">
        <v>1885</v>
      </c>
      <c r="P769" t="s">
        <v>38</v>
      </c>
      <c r="Q769" t="s">
        <v>1962</v>
      </c>
      <c r="R769" t="s">
        <v>1887</v>
      </c>
      <c r="S769" t="s">
        <v>79</v>
      </c>
      <c r="T769" t="s">
        <v>3515</v>
      </c>
      <c r="U769" t="s">
        <v>3718</v>
      </c>
      <c r="V769" t="s">
        <v>91</v>
      </c>
    </row>
    <row r="770" spans="1:22" x14ac:dyDescent="0.35">
      <c r="A770" t="s">
        <v>3719</v>
      </c>
      <c r="B770" t="s">
        <v>1447</v>
      </c>
      <c r="C770" t="s">
        <v>344</v>
      </c>
      <c r="D770" t="s">
        <v>29</v>
      </c>
      <c r="E770" t="s">
        <v>29</v>
      </c>
      <c r="F770" t="s">
        <v>30</v>
      </c>
      <c r="G770" t="s">
        <v>30</v>
      </c>
      <c r="H770" t="s">
        <v>94</v>
      </c>
      <c r="I770" t="s">
        <v>36</v>
      </c>
      <c r="K770" t="s">
        <v>3720</v>
      </c>
      <c r="L770" t="s">
        <v>49</v>
      </c>
      <c r="M770" t="s">
        <v>48</v>
      </c>
      <c r="N770" t="s">
        <v>49</v>
      </c>
      <c r="O770" t="s">
        <v>3721</v>
      </c>
      <c r="P770" t="s">
        <v>48</v>
      </c>
      <c r="Q770" t="s">
        <v>3722</v>
      </c>
      <c r="R770" t="s">
        <v>3723</v>
      </c>
      <c r="S770" t="s">
        <v>135</v>
      </c>
      <c r="T770" t="s">
        <v>603</v>
      </c>
      <c r="U770" t="s">
        <v>3724</v>
      </c>
      <c r="V770" t="s">
        <v>129</v>
      </c>
    </row>
    <row r="771" spans="1:22" x14ac:dyDescent="0.35">
      <c r="A771" t="s">
        <v>3725</v>
      </c>
      <c r="B771" t="s">
        <v>3636</v>
      </c>
      <c r="C771" t="s">
        <v>28</v>
      </c>
      <c r="D771" t="s">
        <v>28</v>
      </c>
      <c r="E771" t="s">
        <v>28</v>
      </c>
      <c r="F771" t="s">
        <v>28</v>
      </c>
      <c r="G771" t="s">
        <v>28</v>
      </c>
      <c r="H771" t="s">
        <v>28</v>
      </c>
      <c r="I771" t="s">
        <v>46</v>
      </c>
      <c r="K771" t="s">
        <v>3726</v>
      </c>
      <c r="L771" t="s">
        <v>49</v>
      </c>
      <c r="M771" t="s">
        <v>49</v>
      </c>
      <c r="N771" t="s">
        <v>49</v>
      </c>
      <c r="O771" t="s">
        <v>3727</v>
      </c>
      <c r="P771" t="s">
        <v>49</v>
      </c>
      <c r="Q771" t="s">
        <v>3728</v>
      </c>
      <c r="R771" t="s">
        <v>3729</v>
      </c>
      <c r="S771" t="s">
        <v>53</v>
      </c>
      <c r="T771" t="s">
        <v>603</v>
      </c>
      <c r="U771" t="s">
        <v>3730</v>
      </c>
      <c r="V771" t="s">
        <v>91</v>
      </c>
    </row>
    <row r="772" spans="1:22" x14ac:dyDescent="0.35">
      <c r="A772" t="s">
        <v>3731</v>
      </c>
      <c r="B772" t="s">
        <v>1875</v>
      </c>
      <c r="C772" t="s">
        <v>377</v>
      </c>
      <c r="D772" t="s">
        <v>44</v>
      </c>
      <c r="E772" t="s">
        <v>157</v>
      </c>
      <c r="F772" t="s">
        <v>103</v>
      </c>
      <c r="G772" t="s">
        <v>45</v>
      </c>
      <c r="H772" t="s">
        <v>45</v>
      </c>
      <c r="I772" t="s">
        <v>36</v>
      </c>
      <c r="K772" t="s">
        <v>2990</v>
      </c>
      <c r="L772" t="s">
        <v>49</v>
      </c>
      <c r="M772" t="s">
        <v>49</v>
      </c>
      <c r="N772" t="s">
        <v>49</v>
      </c>
      <c r="O772" t="s">
        <v>3732</v>
      </c>
      <c r="P772" t="s">
        <v>49</v>
      </c>
      <c r="Q772" t="s">
        <v>3733</v>
      </c>
      <c r="R772" t="s">
        <v>3734</v>
      </c>
      <c r="S772" t="s">
        <v>53</v>
      </c>
      <c r="T772" t="s">
        <v>118</v>
      </c>
      <c r="U772" t="s">
        <v>3736</v>
      </c>
      <c r="V772" t="s">
        <v>91</v>
      </c>
    </row>
    <row r="773" spans="1:22" x14ac:dyDescent="0.35">
      <c r="A773" t="s">
        <v>3737</v>
      </c>
      <c r="B773" t="s">
        <v>3648</v>
      </c>
      <c r="C773" t="s">
        <v>71</v>
      </c>
      <c r="D773" t="s">
        <v>33</v>
      </c>
      <c r="E773" t="s">
        <v>73</v>
      </c>
      <c r="F773" t="s">
        <v>34</v>
      </c>
      <c r="G773" t="s">
        <v>73</v>
      </c>
      <c r="H773" t="s">
        <v>73</v>
      </c>
      <c r="I773" t="s">
        <v>36</v>
      </c>
      <c r="K773" t="s">
        <v>3738</v>
      </c>
      <c r="L773" t="s">
        <v>48</v>
      </c>
      <c r="M773" t="s">
        <v>48</v>
      </c>
      <c r="N773" t="s">
        <v>48</v>
      </c>
      <c r="O773" t="s">
        <v>3739</v>
      </c>
      <c r="P773" t="s">
        <v>48</v>
      </c>
      <c r="Q773" t="s">
        <v>3740</v>
      </c>
      <c r="R773" t="s">
        <v>3741</v>
      </c>
      <c r="S773" t="s">
        <v>65</v>
      </c>
      <c r="T773" t="s">
        <v>603</v>
      </c>
      <c r="U773" t="s">
        <v>3742</v>
      </c>
      <c r="V773" t="s">
        <v>129</v>
      </c>
    </row>
    <row r="774" spans="1:22" x14ac:dyDescent="0.35">
      <c r="A774" t="s">
        <v>3743</v>
      </c>
      <c r="B774" t="s">
        <v>1875</v>
      </c>
      <c r="C774" t="s">
        <v>377</v>
      </c>
      <c r="D774" t="s">
        <v>44</v>
      </c>
      <c r="E774" t="s">
        <v>157</v>
      </c>
      <c r="F774" t="s">
        <v>103</v>
      </c>
      <c r="G774" t="s">
        <v>28</v>
      </c>
      <c r="H774" t="s">
        <v>368</v>
      </c>
      <c r="I774" t="s">
        <v>46</v>
      </c>
      <c r="K774" t="s">
        <v>3744</v>
      </c>
      <c r="L774" t="s">
        <v>49</v>
      </c>
      <c r="M774" t="s">
        <v>49</v>
      </c>
      <c r="N774" t="s">
        <v>49</v>
      </c>
      <c r="O774" t="s">
        <v>3745</v>
      </c>
      <c r="P774" t="s">
        <v>49</v>
      </c>
      <c r="Q774" t="s">
        <v>3746</v>
      </c>
      <c r="R774" t="s">
        <v>3747</v>
      </c>
      <c r="S774" t="s">
        <v>53</v>
      </c>
      <c r="T774" t="s">
        <v>118</v>
      </c>
      <c r="U774" t="s">
        <v>3749</v>
      </c>
      <c r="V774" t="s">
        <v>91</v>
      </c>
    </row>
    <row r="775" spans="1:22" x14ac:dyDescent="0.35">
      <c r="A775" t="s">
        <v>3750</v>
      </c>
      <c r="B775" t="s">
        <v>1192</v>
      </c>
      <c r="C775" t="s">
        <v>28</v>
      </c>
      <c r="D775" t="s">
        <v>28</v>
      </c>
      <c r="E775" t="s">
        <v>28</v>
      </c>
      <c r="F775" t="s">
        <v>28</v>
      </c>
      <c r="G775" t="s">
        <v>28</v>
      </c>
      <c r="H775" t="s">
        <v>28</v>
      </c>
      <c r="I775" t="s">
        <v>46</v>
      </c>
      <c r="K775" t="s">
        <v>3751</v>
      </c>
      <c r="L775" t="s">
        <v>49</v>
      </c>
      <c r="M775" t="s">
        <v>49</v>
      </c>
      <c r="N775" t="s">
        <v>49</v>
      </c>
      <c r="O775" t="s">
        <v>3752</v>
      </c>
      <c r="P775" t="s">
        <v>49</v>
      </c>
      <c r="Q775" t="s">
        <v>3753</v>
      </c>
      <c r="R775" t="s">
        <v>3754</v>
      </c>
      <c r="S775" t="s">
        <v>135</v>
      </c>
      <c r="T775" t="s">
        <v>603</v>
      </c>
      <c r="U775" t="s">
        <v>3755</v>
      </c>
      <c r="V775" t="s">
        <v>129</v>
      </c>
    </row>
    <row r="776" spans="1:22" x14ac:dyDescent="0.35">
      <c r="A776" t="s">
        <v>3756</v>
      </c>
      <c r="B776" t="s">
        <v>2119</v>
      </c>
      <c r="C776" t="s">
        <v>29</v>
      </c>
      <c r="D776" t="s">
        <v>196</v>
      </c>
      <c r="E776" t="s">
        <v>284</v>
      </c>
      <c r="F776" t="s">
        <v>196</v>
      </c>
      <c r="G776" t="s">
        <v>103</v>
      </c>
      <c r="H776" t="s">
        <v>61</v>
      </c>
      <c r="I776" t="s">
        <v>46</v>
      </c>
      <c r="K776" t="s">
        <v>2338</v>
      </c>
      <c r="M776" t="s">
        <v>49</v>
      </c>
      <c r="N776" t="s">
        <v>49</v>
      </c>
      <c r="O776" t="s">
        <v>3757</v>
      </c>
      <c r="S776" t="s">
        <v>53</v>
      </c>
      <c r="T776" t="s">
        <v>118</v>
      </c>
      <c r="U776" t="s">
        <v>3759</v>
      </c>
      <c r="V776" t="s">
        <v>170</v>
      </c>
    </row>
    <row r="777" spans="1:22" x14ac:dyDescent="0.35">
      <c r="A777" t="s">
        <v>3760</v>
      </c>
      <c r="B777" t="s">
        <v>1960</v>
      </c>
      <c r="C777" t="s">
        <v>377</v>
      </c>
      <c r="D777" t="s">
        <v>158</v>
      </c>
      <c r="E777" t="s">
        <v>44</v>
      </c>
      <c r="F777" t="s">
        <v>30</v>
      </c>
      <c r="G777" t="s">
        <v>45</v>
      </c>
      <c r="H777" t="s">
        <v>368</v>
      </c>
      <c r="I777" t="s">
        <v>46</v>
      </c>
      <c r="K777" t="s">
        <v>3716</v>
      </c>
      <c r="M777" t="s">
        <v>48</v>
      </c>
      <c r="N777" t="s">
        <v>48</v>
      </c>
      <c r="O777" t="s">
        <v>1885</v>
      </c>
      <c r="P777" t="s">
        <v>48</v>
      </c>
      <c r="Q777" t="s">
        <v>1962</v>
      </c>
      <c r="R777" t="s">
        <v>1887</v>
      </c>
      <c r="S777" t="s">
        <v>53</v>
      </c>
      <c r="T777" t="s">
        <v>3515</v>
      </c>
      <c r="U777" t="s">
        <v>3762</v>
      </c>
      <c r="V777" t="s">
        <v>91</v>
      </c>
    </row>
    <row r="778" spans="1:22" x14ac:dyDescent="0.35">
      <c r="A778" t="s">
        <v>3763</v>
      </c>
      <c r="B778" t="s">
        <v>2155</v>
      </c>
      <c r="C778" t="s">
        <v>71</v>
      </c>
      <c r="D778" t="s">
        <v>33</v>
      </c>
      <c r="E778" t="s">
        <v>33</v>
      </c>
      <c r="F778" t="s">
        <v>34</v>
      </c>
      <c r="G778" t="s">
        <v>34</v>
      </c>
      <c r="H778" t="s">
        <v>73</v>
      </c>
      <c r="I778" t="s">
        <v>36</v>
      </c>
      <c r="K778" t="s">
        <v>3506</v>
      </c>
      <c r="L778" t="s">
        <v>38</v>
      </c>
      <c r="M778" t="s">
        <v>49</v>
      </c>
      <c r="N778" t="s">
        <v>38</v>
      </c>
      <c r="O778" t="s">
        <v>3703</v>
      </c>
      <c r="P778" t="s">
        <v>38</v>
      </c>
      <c r="Q778" t="s">
        <v>3682</v>
      </c>
      <c r="R778" t="s">
        <v>3605</v>
      </c>
      <c r="S778" t="s">
        <v>53</v>
      </c>
      <c r="T778" t="s">
        <v>3510</v>
      </c>
      <c r="U778" t="s">
        <v>3765</v>
      </c>
      <c r="V778" t="s">
        <v>91</v>
      </c>
    </row>
    <row r="779" spans="1:22" x14ac:dyDescent="0.35">
      <c r="A779" t="s">
        <v>3766</v>
      </c>
      <c r="B779" t="s">
        <v>2431</v>
      </c>
      <c r="C779" t="s">
        <v>28</v>
      </c>
      <c r="D779" t="s">
        <v>28</v>
      </c>
      <c r="E779" t="s">
        <v>28</v>
      </c>
      <c r="F779" t="s">
        <v>28</v>
      </c>
      <c r="G779" t="s">
        <v>28</v>
      </c>
      <c r="H779" t="s">
        <v>28</v>
      </c>
      <c r="I779" t="s">
        <v>46</v>
      </c>
      <c r="K779" t="s">
        <v>3767</v>
      </c>
      <c r="L779" t="s">
        <v>49</v>
      </c>
      <c r="M779" t="s">
        <v>49</v>
      </c>
      <c r="N779" t="s">
        <v>49</v>
      </c>
      <c r="O779" t="s">
        <v>2094</v>
      </c>
      <c r="P779" t="s">
        <v>49</v>
      </c>
      <c r="Q779" t="s">
        <v>2095</v>
      </c>
      <c r="R779" t="s">
        <v>2096</v>
      </c>
      <c r="S779" t="s">
        <v>53</v>
      </c>
      <c r="T779" t="s">
        <v>127</v>
      </c>
      <c r="U779" t="s">
        <v>2889</v>
      </c>
      <c r="V779" t="s">
        <v>91</v>
      </c>
    </row>
    <row r="780" spans="1:22" x14ac:dyDescent="0.35">
      <c r="A780" t="s">
        <v>3769</v>
      </c>
      <c r="B780" t="s">
        <v>1875</v>
      </c>
      <c r="C780" t="s">
        <v>28</v>
      </c>
      <c r="D780" t="s">
        <v>44</v>
      </c>
      <c r="E780" t="s">
        <v>157</v>
      </c>
      <c r="F780" t="s">
        <v>103</v>
      </c>
      <c r="G780" t="s">
        <v>45</v>
      </c>
      <c r="H780" t="s">
        <v>45</v>
      </c>
      <c r="I780" t="s">
        <v>46</v>
      </c>
      <c r="K780" t="s">
        <v>2673</v>
      </c>
      <c r="L780" t="s">
        <v>49</v>
      </c>
      <c r="M780" t="s">
        <v>49</v>
      </c>
      <c r="N780" t="s">
        <v>49</v>
      </c>
      <c r="O780" t="s">
        <v>3770</v>
      </c>
      <c r="P780" t="s">
        <v>49</v>
      </c>
      <c r="Q780" t="s">
        <v>3771</v>
      </c>
      <c r="R780" t="s">
        <v>3772</v>
      </c>
      <c r="S780" t="s">
        <v>53</v>
      </c>
      <c r="T780" t="s">
        <v>127</v>
      </c>
      <c r="U780" t="s">
        <v>3774</v>
      </c>
      <c r="V780" t="s">
        <v>91</v>
      </c>
    </row>
    <row r="781" spans="1:22" x14ac:dyDescent="0.35">
      <c r="A781" t="s">
        <v>3775</v>
      </c>
      <c r="B781" t="s">
        <v>2431</v>
      </c>
      <c r="C781" t="s">
        <v>28</v>
      </c>
      <c r="D781" t="s">
        <v>28</v>
      </c>
      <c r="E781" t="s">
        <v>28</v>
      </c>
      <c r="F781" t="s">
        <v>28</v>
      </c>
      <c r="G781" t="s">
        <v>28</v>
      </c>
      <c r="H781" t="s">
        <v>28</v>
      </c>
      <c r="I781" t="s">
        <v>36</v>
      </c>
      <c r="K781" t="s">
        <v>3776</v>
      </c>
      <c r="L781" t="s">
        <v>49</v>
      </c>
      <c r="M781" t="s">
        <v>49</v>
      </c>
      <c r="N781" t="s">
        <v>49</v>
      </c>
      <c r="O781" t="s">
        <v>2094</v>
      </c>
      <c r="P781" t="s">
        <v>49</v>
      </c>
      <c r="Q781" t="s">
        <v>2095</v>
      </c>
      <c r="R781" t="s">
        <v>2096</v>
      </c>
      <c r="S781" t="s">
        <v>53</v>
      </c>
      <c r="T781" t="s">
        <v>127</v>
      </c>
      <c r="U781" t="s">
        <v>3778</v>
      </c>
      <c r="V781" t="s">
        <v>91</v>
      </c>
    </row>
    <row r="782" spans="1:22" x14ac:dyDescent="0.35">
      <c r="A782" t="s">
        <v>3779</v>
      </c>
      <c r="B782" t="s">
        <v>2431</v>
      </c>
      <c r="C782" t="s">
        <v>28</v>
      </c>
      <c r="D782" t="s">
        <v>28</v>
      </c>
      <c r="E782" t="s">
        <v>28</v>
      </c>
      <c r="F782" t="s">
        <v>28</v>
      </c>
      <c r="G782" t="s">
        <v>28</v>
      </c>
      <c r="H782" t="s">
        <v>28</v>
      </c>
      <c r="I782" t="s">
        <v>36</v>
      </c>
      <c r="K782" t="s">
        <v>3780</v>
      </c>
      <c r="L782" t="s">
        <v>49</v>
      </c>
      <c r="M782" t="s">
        <v>49</v>
      </c>
      <c r="N782" t="s">
        <v>38</v>
      </c>
      <c r="O782" t="s">
        <v>2094</v>
      </c>
      <c r="P782" t="s">
        <v>38</v>
      </c>
      <c r="Q782" t="s">
        <v>2095</v>
      </c>
      <c r="R782" t="s">
        <v>2096</v>
      </c>
      <c r="S782" t="s">
        <v>53</v>
      </c>
      <c r="T782" t="s">
        <v>127</v>
      </c>
      <c r="U782" t="s">
        <v>3782</v>
      </c>
      <c r="V782" t="s">
        <v>91</v>
      </c>
    </row>
    <row r="783" spans="1:22" x14ac:dyDescent="0.35">
      <c r="A783" t="s">
        <v>3783</v>
      </c>
      <c r="B783" t="s">
        <v>2431</v>
      </c>
      <c r="C783" t="s">
        <v>28</v>
      </c>
      <c r="D783" t="s">
        <v>28</v>
      </c>
      <c r="E783" t="s">
        <v>28</v>
      </c>
      <c r="F783" t="s">
        <v>28</v>
      </c>
      <c r="G783" t="s">
        <v>28</v>
      </c>
      <c r="H783" t="s">
        <v>28</v>
      </c>
      <c r="I783" t="s">
        <v>46</v>
      </c>
      <c r="K783" t="s">
        <v>3780</v>
      </c>
      <c r="L783" t="s">
        <v>49</v>
      </c>
      <c r="M783" t="s">
        <v>49</v>
      </c>
      <c r="N783" t="s">
        <v>49</v>
      </c>
      <c r="O783" t="s">
        <v>2094</v>
      </c>
      <c r="P783" t="s">
        <v>49</v>
      </c>
      <c r="Q783" t="s">
        <v>2095</v>
      </c>
      <c r="R783" t="s">
        <v>2096</v>
      </c>
      <c r="S783" t="s">
        <v>53</v>
      </c>
      <c r="T783" t="s">
        <v>127</v>
      </c>
      <c r="U783" t="s">
        <v>3785</v>
      </c>
      <c r="V783" t="s">
        <v>91</v>
      </c>
    </row>
    <row r="784" spans="1:22" x14ac:dyDescent="0.35">
      <c r="A784" t="s">
        <v>3786</v>
      </c>
      <c r="B784" t="s">
        <v>2155</v>
      </c>
      <c r="C784" t="s">
        <v>71</v>
      </c>
      <c r="D784" t="s">
        <v>33</v>
      </c>
      <c r="E784" t="s">
        <v>33</v>
      </c>
      <c r="F784" t="s">
        <v>34</v>
      </c>
      <c r="G784" t="s">
        <v>34</v>
      </c>
      <c r="H784" t="s">
        <v>28</v>
      </c>
      <c r="I784" t="s">
        <v>36</v>
      </c>
      <c r="K784" t="s">
        <v>3506</v>
      </c>
      <c r="L784" t="s">
        <v>49</v>
      </c>
      <c r="M784" t="s">
        <v>49</v>
      </c>
      <c r="N784" t="s">
        <v>38</v>
      </c>
      <c r="O784" t="s">
        <v>3703</v>
      </c>
      <c r="P784" t="s">
        <v>49</v>
      </c>
      <c r="Q784" t="s">
        <v>3682</v>
      </c>
      <c r="R784" t="s">
        <v>3605</v>
      </c>
      <c r="S784" t="s">
        <v>53</v>
      </c>
      <c r="T784" t="s">
        <v>3510</v>
      </c>
      <c r="U784" t="s">
        <v>3788</v>
      </c>
      <c r="V784" t="s">
        <v>91</v>
      </c>
    </row>
    <row r="785" spans="1:22" x14ac:dyDescent="0.35">
      <c r="A785" t="s">
        <v>3789</v>
      </c>
      <c r="B785" t="s">
        <v>2431</v>
      </c>
      <c r="C785" t="s">
        <v>28</v>
      </c>
      <c r="D785" t="s">
        <v>28</v>
      </c>
      <c r="E785" t="s">
        <v>28</v>
      </c>
      <c r="F785" t="s">
        <v>28</v>
      </c>
      <c r="G785" t="s">
        <v>28</v>
      </c>
      <c r="H785" t="s">
        <v>28</v>
      </c>
      <c r="I785" t="s">
        <v>46</v>
      </c>
      <c r="K785" t="s">
        <v>3780</v>
      </c>
      <c r="L785" t="s">
        <v>49</v>
      </c>
      <c r="M785" t="s">
        <v>49</v>
      </c>
      <c r="N785" t="s">
        <v>49</v>
      </c>
      <c r="O785" t="s">
        <v>2094</v>
      </c>
      <c r="P785" t="s">
        <v>49</v>
      </c>
      <c r="Q785" t="s">
        <v>2095</v>
      </c>
      <c r="R785" t="s">
        <v>2096</v>
      </c>
      <c r="S785" t="s">
        <v>53</v>
      </c>
      <c r="T785" t="s">
        <v>127</v>
      </c>
      <c r="U785" t="s">
        <v>3791</v>
      </c>
      <c r="V785" t="s">
        <v>91</v>
      </c>
    </row>
    <row r="786" spans="1:22" x14ac:dyDescent="0.35">
      <c r="A786" t="s">
        <v>3792</v>
      </c>
      <c r="B786" t="s">
        <v>2859</v>
      </c>
      <c r="C786" t="s">
        <v>71</v>
      </c>
      <c r="D786" t="s">
        <v>33</v>
      </c>
      <c r="E786" t="s">
        <v>33</v>
      </c>
      <c r="F786" t="s">
        <v>34</v>
      </c>
      <c r="G786" t="s">
        <v>34</v>
      </c>
      <c r="H786" t="s">
        <v>73</v>
      </c>
      <c r="I786" t="s">
        <v>36</v>
      </c>
      <c r="K786" t="s">
        <v>3506</v>
      </c>
      <c r="L786" t="s">
        <v>40</v>
      </c>
      <c r="M786" t="s">
        <v>38</v>
      </c>
      <c r="N786" t="s">
        <v>49</v>
      </c>
      <c r="O786" t="s">
        <v>3703</v>
      </c>
      <c r="P786" t="s">
        <v>40</v>
      </c>
      <c r="Q786" t="s">
        <v>3682</v>
      </c>
      <c r="R786" t="s">
        <v>3793</v>
      </c>
      <c r="S786" t="s">
        <v>53</v>
      </c>
      <c r="T786" t="s">
        <v>3510</v>
      </c>
      <c r="U786" t="s">
        <v>3795</v>
      </c>
      <c r="V786" t="s">
        <v>91</v>
      </c>
    </row>
    <row r="787" spans="1:22" x14ac:dyDescent="0.35">
      <c r="A787" t="s">
        <v>3796</v>
      </c>
      <c r="B787" t="s">
        <v>2431</v>
      </c>
      <c r="C787" t="s">
        <v>28</v>
      </c>
      <c r="D787" t="s">
        <v>28</v>
      </c>
      <c r="E787" t="s">
        <v>28</v>
      </c>
      <c r="F787" t="s">
        <v>28</v>
      </c>
      <c r="G787" t="s">
        <v>28</v>
      </c>
      <c r="H787" t="s">
        <v>28</v>
      </c>
      <c r="I787" t="s">
        <v>46</v>
      </c>
      <c r="K787" t="s">
        <v>3797</v>
      </c>
      <c r="L787" t="s">
        <v>49</v>
      </c>
      <c r="M787" t="s">
        <v>49</v>
      </c>
      <c r="N787" t="s">
        <v>49</v>
      </c>
      <c r="O787" t="s">
        <v>2094</v>
      </c>
      <c r="P787" t="s">
        <v>49</v>
      </c>
      <c r="Q787" t="s">
        <v>2095</v>
      </c>
      <c r="R787" t="s">
        <v>2096</v>
      </c>
      <c r="S787" t="s">
        <v>53</v>
      </c>
      <c r="T787" t="s">
        <v>127</v>
      </c>
      <c r="U787" t="s">
        <v>3799</v>
      </c>
      <c r="V787" t="s">
        <v>91</v>
      </c>
    </row>
    <row r="788" spans="1:22" x14ac:dyDescent="0.35">
      <c r="A788" t="s">
        <v>3800</v>
      </c>
      <c r="B788" t="s">
        <v>2859</v>
      </c>
      <c r="C788" t="s">
        <v>28</v>
      </c>
      <c r="D788" t="s">
        <v>28</v>
      </c>
      <c r="E788" t="s">
        <v>33</v>
      </c>
      <c r="F788" t="s">
        <v>34</v>
      </c>
      <c r="G788" t="s">
        <v>28</v>
      </c>
      <c r="H788" t="s">
        <v>28</v>
      </c>
      <c r="I788" t="s">
        <v>46</v>
      </c>
      <c r="K788" t="s">
        <v>3506</v>
      </c>
      <c r="L788" t="s">
        <v>49</v>
      </c>
      <c r="M788" t="s">
        <v>49</v>
      </c>
      <c r="N788" t="s">
        <v>49</v>
      </c>
      <c r="O788" t="s">
        <v>3703</v>
      </c>
      <c r="P788" t="s">
        <v>49</v>
      </c>
      <c r="Q788" t="s">
        <v>3682</v>
      </c>
      <c r="R788" t="s">
        <v>3801</v>
      </c>
      <c r="S788" t="s">
        <v>53</v>
      </c>
      <c r="T788" t="s">
        <v>3510</v>
      </c>
      <c r="U788" t="s">
        <v>3803</v>
      </c>
      <c r="V788" t="s">
        <v>91</v>
      </c>
    </row>
    <row r="789" spans="1:22" x14ac:dyDescent="0.35">
      <c r="A789" t="s">
        <v>3804</v>
      </c>
      <c r="B789" t="s">
        <v>2431</v>
      </c>
      <c r="C789" t="s">
        <v>28</v>
      </c>
      <c r="D789" t="s">
        <v>28</v>
      </c>
      <c r="E789" t="s">
        <v>28</v>
      </c>
      <c r="F789" t="s">
        <v>28</v>
      </c>
      <c r="G789" t="s">
        <v>28</v>
      </c>
      <c r="H789" t="s">
        <v>28</v>
      </c>
      <c r="I789" t="s">
        <v>46</v>
      </c>
      <c r="K789" t="s">
        <v>3805</v>
      </c>
      <c r="L789" t="s">
        <v>49</v>
      </c>
      <c r="M789" t="s">
        <v>49</v>
      </c>
      <c r="N789" t="s">
        <v>49</v>
      </c>
      <c r="O789" t="s">
        <v>2094</v>
      </c>
      <c r="P789" t="s">
        <v>49</v>
      </c>
      <c r="Q789" t="s">
        <v>2095</v>
      </c>
      <c r="R789" t="s">
        <v>2096</v>
      </c>
      <c r="S789" t="s">
        <v>53</v>
      </c>
      <c r="T789" t="s">
        <v>127</v>
      </c>
      <c r="U789" t="s">
        <v>3807</v>
      </c>
      <c r="V789" t="s">
        <v>91</v>
      </c>
    </row>
    <row r="790" spans="1:22" x14ac:dyDescent="0.35">
      <c r="A790" t="s">
        <v>3808</v>
      </c>
      <c r="B790" t="s">
        <v>2155</v>
      </c>
      <c r="C790" t="s">
        <v>33</v>
      </c>
      <c r="D790" t="s">
        <v>33</v>
      </c>
      <c r="E790" t="s">
        <v>33</v>
      </c>
      <c r="F790" t="s">
        <v>34</v>
      </c>
      <c r="G790" t="s">
        <v>34</v>
      </c>
      <c r="H790" t="s">
        <v>74</v>
      </c>
      <c r="I790" t="s">
        <v>46</v>
      </c>
      <c r="K790" t="s">
        <v>3506</v>
      </c>
      <c r="L790" t="s">
        <v>38</v>
      </c>
      <c r="M790" t="s">
        <v>38</v>
      </c>
      <c r="N790" t="s">
        <v>38</v>
      </c>
      <c r="O790" t="s">
        <v>3703</v>
      </c>
      <c r="P790" t="s">
        <v>38</v>
      </c>
      <c r="Q790" t="s">
        <v>3682</v>
      </c>
      <c r="R790" t="s">
        <v>3809</v>
      </c>
      <c r="S790" t="s">
        <v>53</v>
      </c>
      <c r="T790" t="s">
        <v>3510</v>
      </c>
      <c r="U790" t="s">
        <v>3811</v>
      </c>
      <c r="V790" t="s">
        <v>91</v>
      </c>
    </row>
    <row r="791" spans="1:22" x14ac:dyDescent="0.35">
      <c r="A791" t="s">
        <v>3812</v>
      </c>
      <c r="B791" t="s">
        <v>2431</v>
      </c>
      <c r="C791" t="s">
        <v>28</v>
      </c>
      <c r="D791" t="s">
        <v>28</v>
      </c>
      <c r="E791" t="s">
        <v>28</v>
      </c>
      <c r="F791" t="s">
        <v>28</v>
      </c>
      <c r="G791" t="s">
        <v>28</v>
      </c>
      <c r="H791" t="s">
        <v>28</v>
      </c>
      <c r="I791" t="s">
        <v>46</v>
      </c>
      <c r="K791" t="s">
        <v>3813</v>
      </c>
      <c r="L791" t="s">
        <v>49</v>
      </c>
      <c r="M791" t="s">
        <v>49</v>
      </c>
      <c r="N791" t="s">
        <v>49</v>
      </c>
      <c r="O791" t="s">
        <v>2094</v>
      </c>
      <c r="P791" t="s">
        <v>49</v>
      </c>
      <c r="Q791" t="s">
        <v>2095</v>
      </c>
      <c r="R791" t="s">
        <v>2096</v>
      </c>
      <c r="S791" t="s">
        <v>53</v>
      </c>
      <c r="T791" t="s">
        <v>127</v>
      </c>
      <c r="U791" t="s">
        <v>3815</v>
      </c>
      <c r="V791" t="s">
        <v>91</v>
      </c>
    </row>
    <row r="792" spans="1:22" x14ac:dyDescent="0.35">
      <c r="A792" t="s">
        <v>3816</v>
      </c>
      <c r="B792" t="s">
        <v>2033</v>
      </c>
      <c r="C792" t="s">
        <v>44</v>
      </c>
      <c r="D792" t="s">
        <v>44</v>
      </c>
      <c r="E792" t="s">
        <v>157</v>
      </c>
      <c r="F792" t="s">
        <v>103</v>
      </c>
      <c r="G792" t="s">
        <v>45</v>
      </c>
      <c r="H792" t="s">
        <v>368</v>
      </c>
      <c r="I792" t="s">
        <v>46</v>
      </c>
      <c r="K792" t="s">
        <v>2673</v>
      </c>
      <c r="L792" t="s">
        <v>49</v>
      </c>
      <c r="M792" t="s">
        <v>48</v>
      </c>
      <c r="N792" t="s">
        <v>49</v>
      </c>
      <c r="O792" t="s">
        <v>3817</v>
      </c>
      <c r="P792" t="s">
        <v>48</v>
      </c>
      <c r="Q792" t="s">
        <v>3818</v>
      </c>
      <c r="R792" t="s">
        <v>3819</v>
      </c>
      <c r="S792" t="s">
        <v>53</v>
      </c>
      <c r="T792" t="s">
        <v>127</v>
      </c>
      <c r="U792" t="s">
        <v>3821</v>
      </c>
      <c r="V792" t="s">
        <v>91</v>
      </c>
    </row>
    <row r="793" spans="1:22" x14ac:dyDescent="0.35">
      <c r="A793" t="s">
        <v>3822</v>
      </c>
      <c r="B793" t="s">
        <v>1875</v>
      </c>
      <c r="C793" t="s">
        <v>377</v>
      </c>
      <c r="D793" t="s">
        <v>44</v>
      </c>
      <c r="E793" t="s">
        <v>157</v>
      </c>
      <c r="F793" t="s">
        <v>103</v>
      </c>
      <c r="G793" t="s">
        <v>103</v>
      </c>
      <c r="H793" t="s">
        <v>45</v>
      </c>
      <c r="I793" t="s">
        <v>36</v>
      </c>
      <c r="K793" t="s">
        <v>3043</v>
      </c>
      <c r="L793" t="s">
        <v>49</v>
      </c>
      <c r="M793" t="s">
        <v>49</v>
      </c>
      <c r="N793" t="s">
        <v>49</v>
      </c>
      <c r="O793" t="s">
        <v>3823</v>
      </c>
      <c r="P793" t="s">
        <v>49</v>
      </c>
      <c r="Q793" t="s">
        <v>3824</v>
      </c>
      <c r="R793" t="s">
        <v>3825</v>
      </c>
      <c r="S793" t="s">
        <v>53</v>
      </c>
      <c r="T793" t="s">
        <v>1030</v>
      </c>
      <c r="U793" t="s">
        <v>3827</v>
      </c>
      <c r="V793" t="s">
        <v>91</v>
      </c>
    </row>
    <row r="794" spans="1:22" x14ac:dyDescent="0.35">
      <c r="A794" t="s">
        <v>3828</v>
      </c>
      <c r="B794" t="s">
        <v>32</v>
      </c>
      <c r="C794" t="s">
        <v>344</v>
      </c>
      <c r="D794" t="s">
        <v>44</v>
      </c>
      <c r="E794" t="s">
        <v>29</v>
      </c>
      <c r="F794" t="s">
        <v>173</v>
      </c>
      <c r="G794" t="s">
        <v>30</v>
      </c>
      <c r="H794" t="s">
        <v>73</v>
      </c>
      <c r="I794" t="s">
        <v>46</v>
      </c>
      <c r="K794" t="s">
        <v>2338</v>
      </c>
      <c r="L794" t="s">
        <v>49</v>
      </c>
      <c r="M794" t="s">
        <v>49</v>
      </c>
      <c r="N794" t="s">
        <v>48</v>
      </c>
      <c r="O794" t="s">
        <v>3829</v>
      </c>
      <c r="P794" t="s">
        <v>48</v>
      </c>
      <c r="S794" t="s">
        <v>53</v>
      </c>
      <c r="T794" t="s">
        <v>118</v>
      </c>
      <c r="U794" t="s">
        <v>3831</v>
      </c>
      <c r="V794" t="s">
        <v>170</v>
      </c>
    </row>
    <row r="795" spans="1:22" x14ac:dyDescent="0.35">
      <c r="A795" t="s">
        <v>3832</v>
      </c>
      <c r="B795" t="s">
        <v>1875</v>
      </c>
      <c r="C795" t="s">
        <v>377</v>
      </c>
      <c r="D795" t="s">
        <v>44</v>
      </c>
      <c r="E795" t="s">
        <v>157</v>
      </c>
      <c r="F795" t="s">
        <v>103</v>
      </c>
      <c r="G795" t="s">
        <v>103</v>
      </c>
      <c r="H795" t="s">
        <v>45</v>
      </c>
      <c r="I795" t="s">
        <v>36</v>
      </c>
      <c r="K795" t="s">
        <v>2592</v>
      </c>
      <c r="L795" t="s">
        <v>49</v>
      </c>
      <c r="M795" t="s">
        <v>48</v>
      </c>
      <c r="N795" t="s">
        <v>49</v>
      </c>
      <c r="O795" t="s">
        <v>3833</v>
      </c>
      <c r="P795" t="s">
        <v>49</v>
      </c>
      <c r="Q795" t="s">
        <v>3834</v>
      </c>
      <c r="R795" t="s">
        <v>3835</v>
      </c>
      <c r="S795" t="s">
        <v>53</v>
      </c>
      <c r="T795" t="s">
        <v>1030</v>
      </c>
      <c r="U795" t="s">
        <v>3837</v>
      </c>
      <c r="V795" t="s">
        <v>91</v>
      </c>
    </row>
    <row r="796" spans="1:22" x14ac:dyDescent="0.35">
      <c r="A796" t="s">
        <v>3838</v>
      </c>
      <c r="B796" t="s">
        <v>1875</v>
      </c>
      <c r="C796" t="s">
        <v>377</v>
      </c>
      <c r="D796" t="s">
        <v>44</v>
      </c>
      <c r="E796" t="s">
        <v>157</v>
      </c>
      <c r="F796" t="s">
        <v>103</v>
      </c>
      <c r="G796" t="s">
        <v>45</v>
      </c>
      <c r="H796" t="s">
        <v>45</v>
      </c>
      <c r="I796" t="s">
        <v>36</v>
      </c>
      <c r="K796" t="s">
        <v>2592</v>
      </c>
      <c r="L796" t="s">
        <v>49</v>
      </c>
      <c r="M796" t="s">
        <v>48</v>
      </c>
      <c r="N796" t="s">
        <v>49</v>
      </c>
      <c r="O796" t="s">
        <v>3839</v>
      </c>
      <c r="P796" t="s">
        <v>49</v>
      </c>
      <c r="Q796" t="s">
        <v>3840</v>
      </c>
      <c r="R796" t="s">
        <v>3841</v>
      </c>
      <c r="S796" t="s">
        <v>53</v>
      </c>
      <c r="T796" t="s">
        <v>1030</v>
      </c>
      <c r="U796" t="s">
        <v>3843</v>
      </c>
      <c r="V796" t="s">
        <v>91</v>
      </c>
    </row>
    <row r="797" spans="1:22" x14ac:dyDescent="0.35">
      <c r="A797" t="s">
        <v>3004</v>
      </c>
      <c r="B797" t="s">
        <v>32</v>
      </c>
      <c r="C797" t="s">
        <v>71</v>
      </c>
      <c r="D797" t="s">
        <v>44</v>
      </c>
      <c r="E797" t="s">
        <v>157</v>
      </c>
      <c r="F797" t="s">
        <v>28</v>
      </c>
      <c r="G797" t="s">
        <v>73</v>
      </c>
      <c r="H797" t="s">
        <v>94</v>
      </c>
      <c r="I797" t="s">
        <v>36</v>
      </c>
      <c r="K797" t="s">
        <v>2525</v>
      </c>
      <c r="L797" t="s">
        <v>48</v>
      </c>
      <c r="N797" t="s">
        <v>38</v>
      </c>
      <c r="O797" t="s">
        <v>3844</v>
      </c>
      <c r="S797" t="s">
        <v>53</v>
      </c>
      <c r="T797" t="s">
        <v>118</v>
      </c>
      <c r="U797" t="s">
        <v>3846</v>
      </c>
      <c r="V797" t="s">
        <v>91</v>
      </c>
    </row>
    <row r="798" spans="1:22" x14ac:dyDescent="0.35">
      <c r="A798" t="s">
        <v>3847</v>
      </c>
      <c r="B798" t="s">
        <v>1875</v>
      </c>
      <c r="C798" t="s">
        <v>28</v>
      </c>
      <c r="D798" t="s">
        <v>44</v>
      </c>
      <c r="E798" t="s">
        <v>157</v>
      </c>
      <c r="F798" t="s">
        <v>158</v>
      </c>
      <c r="G798" t="s">
        <v>45</v>
      </c>
      <c r="H798" t="s">
        <v>45</v>
      </c>
      <c r="I798" t="s">
        <v>46</v>
      </c>
      <c r="K798" t="s">
        <v>2592</v>
      </c>
      <c r="L798" t="s">
        <v>48</v>
      </c>
      <c r="M798" t="s">
        <v>48</v>
      </c>
      <c r="N798" t="s">
        <v>48</v>
      </c>
      <c r="O798" t="s">
        <v>3848</v>
      </c>
      <c r="P798" t="s">
        <v>48</v>
      </c>
      <c r="Q798" t="s">
        <v>3849</v>
      </c>
      <c r="R798" t="s">
        <v>3850</v>
      </c>
      <c r="S798" t="s">
        <v>53</v>
      </c>
      <c r="T798" t="s">
        <v>1030</v>
      </c>
      <c r="U798" t="s">
        <v>3852</v>
      </c>
      <c r="V798" t="s">
        <v>91</v>
      </c>
    </row>
    <row r="799" spans="1:22" x14ac:dyDescent="0.35">
      <c r="A799" t="s">
        <v>3853</v>
      </c>
      <c r="B799" t="s">
        <v>3483</v>
      </c>
      <c r="C799" t="s">
        <v>344</v>
      </c>
      <c r="D799" t="s">
        <v>44</v>
      </c>
      <c r="E799" t="s">
        <v>284</v>
      </c>
      <c r="F799" t="s">
        <v>28</v>
      </c>
      <c r="G799" t="s">
        <v>73</v>
      </c>
      <c r="H799" t="s">
        <v>94</v>
      </c>
      <c r="I799" t="s">
        <v>46</v>
      </c>
      <c r="K799" t="s">
        <v>2525</v>
      </c>
      <c r="L799" t="s">
        <v>48</v>
      </c>
      <c r="N799" t="s">
        <v>49</v>
      </c>
      <c r="O799" t="s">
        <v>3854</v>
      </c>
      <c r="P799" t="s">
        <v>48</v>
      </c>
      <c r="S799" t="s">
        <v>53</v>
      </c>
      <c r="T799" t="s">
        <v>118</v>
      </c>
      <c r="U799" t="s">
        <v>3856</v>
      </c>
      <c r="V799" t="s">
        <v>91</v>
      </c>
    </row>
    <row r="800" spans="1:22" x14ac:dyDescent="0.35">
      <c r="A800" t="s">
        <v>3857</v>
      </c>
      <c r="B800" t="s">
        <v>1875</v>
      </c>
      <c r="C800" t="s">
        <v>28</v>
      </c>
      <c r="D800" t="s">
        <v>44</v>
      </c>
      <c r="E800" t="s">
        <v>157</v>
      </c>
      <c r="F800" t="s">
        <v>103</v>
      </c>
      <c r="G800" t="s">
        <v>45</v>
      </c>
      <c r="H800" t="s">
        <v>45</v>
      </c>
      <c r="I800" t="s">
        <v>46</v>
      </c>
      <c r="K800" t="s">
        <v>3087</v>
      </c>
      <c r="L800" t="s">
        <v>49</v>
      </c>
      <c r="M800" t="s">
        <v>48</v>
      </c>
      <c r="N800" t="s">
        <v>49</v>
      </c>
      <c r="O800" t="s">
        <v>3858</v>
      </c>
      <c r="P800" t="s">
        <v>49</v>
      </c>
      <c r="Q800" t="s">
        <v>3859</v>
      </c>
      <c r="R800" t="s">
        <v>3860</v>
      </c>
      <c r="S800" t="s">
        <v>53</v>
      </c>
      <c r="T800" t="s">
        <v>1030</v>
      </c>
      <c r="U800" t="s">
        <v>3862</v>
      </c>
      <c r="V800" t="s">
        <v>91</v>
      </c>
    </row>
    <row r="801" spans="1:22" x14ac:dyDescent="0.35">
      <c r="A801" t="s">
        <v>3863</v>
      </c>
      <c r="B801" t="s">
        <v>32</v>
      </c>
      <c r="C801" t="s">
        <v>377</v>
      </c>
      <c r="D801" t="s">
        <v>44</v>
      </c>
      <c r="E801" t="s">
        <v>73</v>
      </c>
      <c r="F801" t="s">
        <v>30</v>
      </c>
      <c r="G801" t="s">
        <v>173</v>
      </c>
      <c r="H801" t="s">
        <v>45</v>
      </c>
      <c r="I801" t="s">
        <v>46</v>
      </c>
      <c r="K801" t="s">
        <v>2525</v>
      </c>
      <c r="L801" t="s">
        <v>48</v>
      </c>
      <c r="M801" t="s">
        <v>48</v>
      </c>
      <c r="N801" t="s">
        <v>38</v>
      </c>
      <c r="O801" t="s">
        <v>3864</v>
      </c>
      <c r="P801" t="s">
        <v>48</v>
      </c>
      <c r="S801" t="s">
        <v>53</v>
      </c>
      <c r="T801" t="s">
        <v>118</v>
      </c>
      <c r="U801" t="s">
        <v>3866</v>
      </c>
      <c r="V801" t="s">
        <v>91</v>
      </c>
    </row>
    <row r="802" spans="1:22" x14ac:dyDescent="0.35">
      <c r="A802" t="s">
        <v>3867</v>
      </c>
      <c r="B802" t="s">
        <v>32</v>
      </c>
      <c r="C802" t="s">
        <v>377</v>
      </c>
      <c r="D802" t="s">
        <v>196</v>
      </c>
      <c r="E802" t="s">
        <v>44</v>
      </c>
      <c r="F802" t="s">
        <v>34</v>
      </c>
      <c r="G802" t="s">
        <v>368</v>
      </c>
      <c r="H802" t="s">
        <v>35</v>
      </c>
      <c r="I802" t="s">
        <v>36</v>
      </c>
      <c r="K802" t="s">
        <v>2553</v>
      </c>
      <c r="L802" t="s">
        <v>48</v>
      </c>
      <c r="M802" t="s">
        <v>48</v>
      </c>
      <c r="N802" t="s">
        <v>48</v>
      </c>
      <c r="O802" t="s">
        <v>3868</v>
      </c>
      <c r="P802" t="s">
        <v>48</v>
      </c>
      <c r="S802" t="s">
        <v>53</v>
      </c>
      <c r="T802" t="s">
        <v>118</v>
      </c>
      <c r="U802" t="s">
        <v>3266</v>
      </c>
      <c r="V802" t="s">
        <v>91</v>
      </c>
    </row>
    <row r="803" spans="1:22" x14ac:dyDescent="0.35">
      <c r="A803" t="s">
        <v>3870</v>
      </c>
      <c r="B803" t="s">
        <v>1875</v>
      </c>
      <c r="C803" t="s">
        <v>377</v>
      </c>
      <c r="D803" t="s">
        <v>44</v>
      </c>
      <c r="E803" t="s">
        <v>44</v>
      </c>
      <c r="F803" t="s">
        <v>103</v>
      </c>
      <c r="G803" t="s">
        <v>45</v>
      </c>
      <c r="H803" t="s">
        <v>45</v>
      </c>
      <c r="I803" t="s">
        <v>46</v>
      </c>
      <c r="K803" t="s">
        <v>2577</v>
      </c>
      <c r="L803" t="s">
        <v>49</v>
      </c>
      <c r="M803" t="s">
        <v>49</v>
      </c>
      <c r="N803" t="s">
        <v>49</v>
      </c>
      <c r="O803" t="s">
        <v>3871</v>
      </c>
      <c r="P803" t="s">
        <v>49</v>
      </c>
      <c r="Q803" t="s">
        <v>3872</v>
      </c>
      <c r="R803" t="s">
        <v>3873</v>
      </c>
      <c r="S803" t="s">
        <v>53</v>
      </c>
      <c r="T803" t="s">
        <v>1030</v>
      </c>
      <c r="U803" t="s">
        <v>3875</v>
      </c>
      <c r="V803" t="s">
        <v>91</v>
      </c>
    </row>
    <row r="804" spans="1:22" x14ac:dyDescent="0.35">
      <c r="A804" t="s">
        <v>3876</v>
      </c>
      <c r="B804" t="s">
        <v>1960</v>
      </c>
      <c r="C804" t="s">
        <v>44</v>
      </c>
      <c r="D804" t="s">
        <v>44</v>
      </c>
      <c r="E804" t="s">
        <v>44</v>
      </c>
      <c r="F804" t="s">
        <v>103</v>
      </c>
      <c r="G804" t="s">
        <v>45</v>
      </c>
      <c r="H804" t="s">
        <v>35</v>
      </c>
      <c r="I804" t="s">
        <v>46</v>
      </c>
      <c r="K804" t="s">
        <v>3716</v>
      </c>
      <c r="L804" t="s">
        <v>48</v>
      </c>
      <c r="M804" t="s">
        <v>48</v>
      </c>
      <c r="N804" t="s">
        <v>48</v>
      </c>
      <c r="O804" t="s">
        <v>3877</v>
      </c>
      <c r="P804" t="s">
        <v>49</v>
      </c>
      <c r="Q804" t="s">
        <v>3878</v>
      </c>
      <c r="R804" t="s">
        <v>3879</v>
      </c>
      <c r="S804" t="s">
        <v>53</v>
      </c>
      <c r="T804" t="s">
        <v>3515</v>
      </c>
      <c r="U804" t="s">
        <v>2013</v>
      </c>
      <c r="V804" t="s">
        <v>91</v>
      </c>
    </row>
    <row r="805" spans="1:22" x14ac:dyDescent="0.35">
      <c r="A805" t="s">
        <v>3881</v>
      </c>
      <c r="B805" t="s">
        <v>1875</v>
      </c>
      <c r="C805" t="s">
        <v>44</v>
      </c>
      <c r="D805" t="s">
        <v>44</v>
      </c>
      <c r="E805" t="s">
        <v>157</v>
      </c>
      <c r="F805" t="s">
        <v>103</v>
      </c>
      <c r="G805" t="s">
        <v>103</v>
      </c>
      <c r="H805" t="s">
        <v>45</v>
      </c>
      <c r="I805" t="s">
        <v>36</v>
      </c>
      <c r="K805" t="s">
        <v>2577</v>
      </c>
      <c r="L805" t="s">
        <v>48</v>
      </c>
      <c r="M805" t="s">
        <v>49</v>
      </c>
      <c r="N805" t="s">
        <v>49</v>
      </c>
      <c r="O805" t="s">
        <v>3882</v>
      </c>
      <c r="P805" t="s">
        <v>49</v>
      </c>
      <c r="Q805" t="s">
        <v>3883</v>
      </c>
      <c r="R805" t="s">
        <v>3884</v>
      </c>
      <c r="S805" t="s">
        <v>53</v>
      </c>
      <c r="T805" t="s">
        <v>1030</v>
      </c>
      <c r="U805" t="s">
        <v>56</v>
      </c>
      <c r="V805" t="s">
        <v>91</v>
      </c>
    </row>
    <row r="806" spans="1:22" x14ac:dyDescent="0.35">
      <c r="A806" t="s">
        <v>3886</v>
      </c>
      <c r="B806" t="s">
        <v>1960</v>
      </c>
      <c r="C806" t="s">
        <v>28</v>
      </c>
      <c r="D806" t="s">
        <v>44</v>
      </c>
      <c r="E806" t="s">
        <v>60</v>
      </c>
      <c r="F806" t="s">
        <v>103</v>
      </c>
      <c r="G806" t="s">
        <v>30</v>
      </c>
      <c r="H806" t="s">
        <v>61</v>
      </c>
      <c r="I806" t="s">
        <v>46</v>
      </c>
      <c r="K806" t="s">
        <v>3887</v>
      </c>
      <c r="L806" t="s">
        <v>48</v>
      </c>
      <c r="M806" t="s">
        <v>48</v>
      </c>
      <c r="N806" t="s">
        <v>38</v>
      </c>
      <c r="O806" t="s">
        <v>3877</v>
      </c>
      <c r="P806" t="s">
        <v>38</v>
      </c>
      <c r="Q806" t="s">
        <v>3878</v>
      </c>
      <c r="R806" t="s">
        <v>3879</v>
      </c>
      <c r="S806" t="s">
        <v>53</v>
      </c>
      <c r="T806" t="s">
        <v>2485</v>
      </c>
      <c r="U806" t="s">
        <v>3889</v>
      </c>
      <c r="V806" t="s">
        <v>91</v>
      </c>
    </row>
    <row r="807" spans="1:22" x14ac:dyDescent="0.35">
      <c r="A807" t="s">
        <v>3886</v>
      </c>
      <c r="B807" t="s">
        <v>1960</v>
      </c>
      <c r="C807" t="s">
        <v>44</v>
      </c>
      <c r="D807" t="s">
        <v>60</v>
      </c>
      <c r="E807" t="s">
        <v>60</v>
      </c>
      <c r="F807" t="s">
        <v>173</v>
      </c>
      <c r="G807" t="s">
        <v>103</v>
      </c>
      <c r="H807" t="s">
        <v>45</v>
      </c>
      <c r="I807" t="s">
        <v>46</v>
      </c>
      <c r="K807" t="s">
        <v>3887</v>
      </c>
      <c r="L807" t="s">
        <v>48</v>
      </c>
      <c r="M807" t="s">
        <v>48</v>
      </c>
      <c r="N807" t="s">
        <v>38</v>
      </c>
      <c r="O807" t="s">
        <v>3877</v>
      </c>
      <c r="P807" t="s">
        <v>48</v>
      </c>
      <c r="Q807" t="s">
        <v>3878</v>
      </c>
      <c r="R807" t="s">
        <v>3879</v>
      </c>
      <c r="S807" t="s">
        <v>53</v>
      </c>
      <c r="T807" t="s">
        <v>2485</v>
      </c>
      <c r="U807" t="s">
        <v>3889</v>
      </c>
      <c r="V807" t="s">
        <v>91</v>
      </c>
    </row>
    <row r="808" spans="1:22" x14ac:dyDescent="0.35">
      <c r="A808" t="s">
        <v>3886</v>
      </c>
      <c r="B808" t="s">
        <v>2431</v>
      </c>
      <c r="C808" t="s">
        <v>28</v>
      </c>
      <c r="D808" t="s">
        <v>28</v>
      </c>
      <c r="E808" t="s">
        <v>28</v>
      </c>
      <c r="F808" t="s">
        <v>28</v>
      </c>
      <c r="G808" t="s">
        <v>28</v>
      </c>
      <c r="H808" t="s">
        <v>28</v>
      </c>
      <c r="I808" t="s">
        <v>46</v>
      </c>
      <c r="K808" t="s">
        <v>3813</v>
      </c>
      <c r="L808" t="s">
        <v>49</v>
      </c>
      <c r="M808" t="s">
        <v>38</v>
      </c>
      <c r="N808" t="s">
        <v>49</v>
      </c>
      <c r="O808" t="s">
        <v>2094</v>
      </c>
      <c r="P808" t="s">
        <v>49</v>
      </c>
      <c r="Q808" t="s">
        <v>2095</v>
      </c>
      <c r="R808" t="s">
        <v>2282</v>
      </c>
      <c r="S808" t="s">
        <v>53</v>
      </c>
      <c r="T808" t="s">
        <v>127</v>
      </c>
      <c r="U808" t="s">
        <v>3890</v>
      </c>
      <c r="V808" t="s">
        <v>91</v>
      </c>
    </row>
    <row r="809" spans="1:22" x14ac:dyDescent="0.35">
      <c r="A809" t="s">
        <v>3891</v>
      </c>
      <c r="B809" t="s">
        <v>1960</v>
      </c>
      <c r="C809" t="s">
        <v>44</v>
      </c>
      <c r="D809" t="s">
        <v>44</v>
      </c>
      <c r="E809" t="s">
        <v>284</v>
      </c>
      <c r="F809" t="s">
        <v>103</v>
      </c>
      <c r="G809" t="s">
        <v>103</v>
      </c>
      <c r="H809" t="s">
        <v>45</v>
      </c>
      <c r="I809" t="s">
        <v>36</v>
      </c>
      <c r="K809" t="s">
        <v>2391</v>
      </c>
      <c r="L809" t="s">
        <v>38</v>
      </c>
      <c r="M809" t="s">
        <v>49</v>
      </c>
      <c r="N809" t="s">
        <v>38</v>
      </c>
      <c r="O809" t="s">
        <v>3877</v>
      </c>
      <c r="P809" t="s">
        <v>49</v>
      </c>
      <c r="Q809" t="s">
        <v>3878</v>
      </c>
      <c r="R809" t="s">
        <v>3879</v>
      </c>
      <c r="S809" t="s">
        <v>53</v>
      </c>
      <c r="T809" t="s">
        <v>1030</v>
      </c>
      <c r="U809" t="s">
        <v>3893</v>
      </c>
      <c r="V809" t="s">
        <v>91</v>
      </c>
    </row>
    <row r="810" spans="1:22" x14ac:dyDescent="0.35">
      <c r="A810" t="s">
        <v>3894</v>
      </c>
      <c r="B810" t="s">
        <v>2431</v>
      </c>
      <c r="C810" t="s">
        <v>28</v>
      </c>
      <c r="D810" t="s">
        <v>28</v>
      </c>
      <c r="E810" t="s">
        <v>28</v>
      </c>
      <c r="F810" t="s">
        <v>28</v>
      </c>
      <c r="G810" t="s">
        <v>28</v>
      </c>
      <c r="H810" t="s">
        <v>28</v>
      </c>
      <c r="I810" t="s">
        <v>36</v>
      </c>
      <c r="K810" t="s">
        <v>3813</v>
      </c>
      <c r="L810" t="s">
        <v>49</v>
      </c>
      <c r="M810" t="s">
        <v>49</v>
      </c>
      <c r="N810" t="s">
        <v>49</v>
      </c>
      <c r="O810" t="s">
        <v>2094</v>
      </c>
      <c r="P810" t="s">
        <v>49</v>
      </c>
      <c r="Q810" t="s">
        <v>3425</v>
      </c>
      <c r="R810" t="s">
        <v>3895</v>
      </c>
      <c r="S810" t="s">
        <v>53</v>
      </c>
      <c r="T810" t="s">
        <v>127</v>
      </c>
      <c r="U810" t="s">
        <v>3897</v>
      </c>
      <c r="V810" t="s">
        <v>91</v>
      </c>
    </row>
    <row r="811" spans="1:22" x14ac:dyDescent="0.35">
      <c r="A811" t="s">
        <v>3898</v>
      </c>
      <c r="B811" t="s">
        <v>1960</v>
      </c>
      <c r="C811" t="s">
        <v>60</v>
      </c>
      <c r="D811" t="s">
        <v>60</v>
      </c>
      <c r="E811" t="s">
        <v>28</v>
      </c>
      <c r="F811" t="s">
        <v>173</v>
      </c>
      <c r="G811" t="s">
        <v>30</v>
      </c>
      <c r="H811" t="s">
        <v>35</v>
      </c>
      <c r="I811" t="s">
        <v>46</v>
      </c>
      <c r="K811" t="s">
        <v>3899</v>
      </c>
      <c r="L811" t="s">
        <v>48</v>
      </c>
      <c r="M811" t="s">
        <v>48</v>
      </c>
      <c r="N811" t="s">
        <v>38</v>
      </c>
      <c r="O811" t="s">
        <v>3877</v>
      </c>
      <c r="P811" t="s">
        <v>49</v>
      </c>
      <c r="Q811" t="s">
        <v>3878</v>
      </c>
      <c r="R811" t="s">
        <v>3879</v>
      </c>
      <c r="S811" t="s">
        <v>53</v>
      </c>
      <c r="T811" t="s">
        <v>3515</v>
      </c>
      <c r="U811" t="s">
        <v>3901</v>
      </c>
      <c r="V811" t="s">
        <v>91</v>
      </c>
    </row>
    <row r="812" spans="1:22" x14ac:dyDescent="0.35">
      <c r="A812" t="s">
        <v>3902</v>
      </c>
      <c r="B812" t="s">
        <v>32</v>
      </c>
      <c r="C812" t="s">
        <v>344</v>
      </c>
      <c r="D812" t="s">
        <v>60</v>
      </c>
      <c r="E812" t="s">
        <v>44</v>
      </c>
      <c r="F812" t="s">
        <v>196</v>
      </c>
      <c r="G812" t="s">
        <v>368</v>
      </c>
      <c r="H812" t="s">
        <v>45</v>
      </c>
      <c r="I812" t="s">
        <v>36</v>
      </c>
      <c r="K812" t="s">
        <v>2540</v>
      </c>
      <c r="N812" t="s">
        <v>38</v>
      </c>
      <c r="O812" t="s">
        <v>3903</v>
      </c>
      <c r="P812" t="s">
        <v>48</v>
      </c>
      <c r="S812" t="s">
        <v>53</v>
      </c>
      <c r="T812" t="s">
        <v>1030</v>
      </c>
      <c r="U812" t="s">
        <v>2939</v>
      </c>
      <c r="V812" t="s">
        <v>91</v>
      </c>
    </row>
    <row r="813" spans="1:22" x14ac:dyDescent="0.35">
      <c r="A813" t="s">
        <v>3904</v>
      </c>
      <c r="B813" t="s">
        <v>1960</v>
      </c>
      <c r="C813" t="s">
        <v>44</v>
      </c>
      <c r="D813" t="s">
        <v>44</v>
      </c>
      <c r="E813" t="s">
        <v>44</v>
      </c>
      <c r="F813" t="s">
        <v>28</v>
      </c>
      <c r="G813" t="s">
        <v>103</v>
      </c>
      <c r="H813" t="s">
        <v>45</v>
      </c>
      <c r="I813" t="s">
        <v>46</v>
      </c>
      <c r="K813" t="s">
        <v>3899</v>
      </c>
      <c r="L813" t="s">
        <v>48</v>
      </c>
      <c r="M813" t="s">
        <v>48</v>
      </c>
      <c r="N813" t="s">
        <v>48</v>
      </c>
      <c r="O813" t="s">
        <v>3877</v>
      </c>
      <c r="P813" t="s">
        <v>49</v>
      </c>
      <c r="Q813" t="s">
        <v>3878</v>
      </c>
      <c r="R813" t="s">
        <v>3879</v>
      </c>
      <c r="S813" t="s">
        <v>79</v>
      </c>
      <c r="T813" t="s">
        <v>3515</v>
      </c>
      <c r="U813" t="s">
        <v>3906</v>
      </c>
      <c r="V813" t="s">
        <v>91</v>
      </c>
    </row>
    <row r="814" spans="1:22" x14ac:dyDescent="0.35">
      <c r="A814" t="s">
        <v>3907</v>
      </c>
      <c r="B814" t="s">
        <v>32</v>
      </c>
      <c r="C814" t="s">
        <v>33</v>
      </c>
      <c r="D814" t="s">
        <v>29</v>
      </c>
      <c r="E814" t="s">
        <v>33</v>
      </c>
      <c r="F814" t="s">
        <v>30</v>
      </c>
      <c r="G814" t="s">
        <v>173</v>
      </c>
      <c r="H814" t="s">
        <v>73</v>
      </c>
      <c r="I814" t="s">
        <v>46</v>
      </c>
      <c r="K814" t="s">
        <v>2577</v>
      </c>
      <c r="L814" t="s">
        <v>48</v>
      </c>
      <c r="M814" t="s">
        <v>38</v>
      </c>
      <c r="N814" t="s">
        <v>49</v>
      </c>
      <c r="O814" t="s">
        <v>3908</v>
      </c>
      <c r="P814" t="s">
        <v>48</v>
      </c>
      <c r="S814" t="s">
        <v>53</v>
      </c>
      <c r="T814" t="s">
        <v>1030</v>
      </c>
      <c r="U814" t="s">
        <v>3910</v>
      </c>
      <c r="V814" t="s">
        <v>91</v>
      </c>
    </row>
    <row r="815" spans="1:22" x14ac:dyDescent="0.35">
      <c r="A815" t="s">
        <v>3911</v>
      </c>
      <c r="B815" t="s">
        <v>1875</v>
      </c>
      <c r="C815" t="s">
        <v>28</v>
      </c>
      <c r="D815" t="s">
        <v>44</v>
      </c>
      <c r="E815" t="s">
        <v>157</v>
      </c>
      <c r="F815" t="s">
        <v>103</v>
      </c>
      <c r="G815" t="s">
        <v>45</v>
      </c>
      <c r="H815" t="s">
        <v>45</v>
      </c>
      <c r="I815" t="s">
        <v>46</v>
      </c>
      <c r="K815" t="s">
        <v>2540</v>
      </c>
      <c r="L815" t="s">
        <v>49</v>
      </c>
      <c r="M815" t="s">
        <v>48</v>
      </c>
      <c r="N815" t="s">
        <v>49</v>
      </c>
      <c r="O815" t="s">
        <v>3912</v>
      </c>
      <c r="P815" t="s">
        <v>48</v>
      </c>
      <c r="Q815" t="s">
        <v>3913</v>
      </c>
      <c r="R815" t="s">
        <v>3914</v>
      </c>
      <c r="S815" t="s">
        <v>53</v>
      </c>
      <c r="T815" t="s">
        <v>1030</v>
      </c>
      <c r="U815" t="s">
        <v>3901</v>
      </c>
      <c r="V815" t="s">
        <v>91</v>
      </c>
    </row>
    <row r="816" spans="1:22" x14ac:dyDescent="0.35">
      <c r="A816" t="s">
        <v>3916</v>
      </c>
      <c r="B816" t="s">
        <v>493</v>
      </c>
      <c r="C816" t="s">
        <v>449</v>
      </c>
      <c r="D816" t="s">
        <v>72</v>
      </c>
      <c r="E816" t="s">
        <v>28</v>
      </c>
      <c r="F816" t="s">
        <v>196</v>
      </c>
      <c r="G816" t="s">
        <v>94</v>
      </c>
      <c r="H816" t="s">
        <v>368</v>
      </c>
      <c r="I816" t="s">
        <v>36</v>
      </c>
      <c r="K816" t="s">
        <v>3917</v>
      </c>
      <c r="L816" t="s">
        <v>48</v>
      </c>
      <c r="M816" t="s">
        <v>48</v>
      </c>
      <c r="N816" t="s">
        <v>48</v>
      </c>
      <c r="O816" t="s">
        <v>3918</v>
      </c>
      <c r="P816" t="s">
        <v>48</v>
      </c>
      <c r="S816" t="s">
        <v>53</v>
      </c>
      <c r="T816" t="s">
        <v>1030</v>
      </c>
      <c r="U816" t="s">
        <v>3920</v>
      </c>
      <c r="V816" t="s">
        <v>129</v>
      </c>
    </row>
    <row r="817" spans="1:22" x14ac:dyDescent="0.35">
      <c r="A817" t="s">
        <v>3921</v>
      </c>
      <c r="B817" t="s">
        <v>1875</v>
      </c>
      <c r="C817" t="s">
        <v>44</v>
      </c>
      <c r="D817" t="s">
        <v>44</v>
      </c>
      <c r="E817" t="s">
        <v>157</v>
      </c>
      <c r="F817" t="s">
        <v>103</v>
      </c>
      <c r="G817" t="s">
        <v>45</v>
      </c>
      <c r="H817" t="s">
        <v>45</v>
      </c>
      <c r="I817" t="s">
        <v>46</v>
      </c>
      <c r="K817" t="s">
        <v>2391</v>
      </c>
      <c r="L817" t="s">
        <v>49</v>
      </c>
      <c r="M817" t="s">
        <v>49</v>
      </c>
      <c r="N817" t="s">
        <v>49</v>
      </c>
      <c r="O817" t="s">
        <v>3922</v>
      </c>
      <c r="P817" t="s">
        <v>49</v>
      </c>
      <c r="Q817" t="s">
        <v>3923</v>
      </c>
      <c r="R817" t="s">
        <v>3924</v>
      </c>
      <c r="S817" t="s">
        <v>53</v>
      </c>
      <c r="T817" t="s">
        <v>1030</v>
      </c>
      <c r="U817" t="s">
        <v>3926</v>
      </c>
      <c r="V817" t="s">
        <v>91</v>
      </c>
    </row>
    <row r="818" spans="1:22" x14ac:dyDescent="0.35">
      <c r="A818" t="s">
        <v>3927</v>
      </c>
      <c r="B818" t="s">
        <v>1875</v>
      </c>
      <c r="C818" t="s">
        <v>28</v>
      </c>
      <c r="D818" t="s">
        <v>44</v>
      </c>
      <c r="E818" t="s">
        <v>157</v>
      </c>
      <c r="F818" t="s">
        <v>103</v>
      </c>
      <c r="G818" t="s">
        <v>28</v>
      </c>
      <c r="H818" t="s">
        <v>45</v>
      </c>
      <c r="I818" t="s">
        <v>46</v>
      </c>
      <c r="K818" t="s">
        <v>2391</v>
      </c>
      <c r="L818" t="s">
        <v>49</v>
      </c>
      <c r="M818" t="s">
        <v>48</v>
      </c>
      <c r="N818" t="s">
        <v>49</v>
      </c>
      <c r="O818" t="s">
        <v>3928</v>
      </c>
      <c r="P818" t="s">
        <v>49</v>
      </c>
      <c r="Q818" t="s">
        <v>3929</v>
      </c>
      <c r="R818" t="s">
        <v>3930</v>
      </c>
      <c r="S818" t="s">
        <v>53</v>
      </c>
      <c r="T818" t="s">
        <v>1030</v>
      </c>
      <c r="U818" t="s">
        <v>3932</v>
      </c>
      <c r="V818" t="s">
        <v>91</v>
      </c>
    </row>
    <row r="819" spans="1:22" x14ac:dyDescent="0.35">
      <c r="A819" t="s">
        <v>3933</v>
      </c>
      <c r="B819" t="s">
        <v>2119</v>
      </c>
      <c r="C819" t="s">
        <v>449</v>
      </c>
      <c r="D819" t="s">
        <v>196</v>
      </c>
      <c r="E819" t="s">
        <v>44</v>
      </c>
      <c r="F819" t="s">
        <v>197</v>
      </c>
      <c r="G819" t="s">
        <v>34</v>
      </c>
      <c r="H819" t="s">
        <v>368</v>
      </c>
      <c r="I819" t="s">
        <v>36</v>
      </c>
      <c r="K819" t="s">
        <v>2592</v>
      </c>
      <c r="M819" t="s">
        <v>49</v>
      </c>
      <c r="O819" t="s">
        <v>3934</v>
      </c>
      <c r="P819" t="s">
        <v>38</v>
      </c>
      <c r="S819" t="s">
        <v>53</v>
      </c>
      <c r="T819" t="s">
        <v>1030</v>
      </c>
      <c r="U819" t="s">
        <v>3936</v>
      </c>
      <c r="V819" t="s">
        <v>170</v>
      </c>
    </row>
    <row r="820" spans="1:22" x14ac:dyDescent="0.35">
      <c r="A820" t="s">
        <v>3937</v>
      </c>
      <c r="B820" t="s">
        <v>1875</v>
      </c>
      <c r="C820" t="s">
        <v>28</v>
      </c>
      <c r="D820" t="s">
        <v>44</v>
      </c>
      <c r="E820" t="s">
        <v>157</v>
      </c>
      <c r="F820" t="s">
        <v>103</v>
      </c>
      <c r="G820" t="s">
        <v>45</v>
      </c>
      <c r="H820" t="s">
        <v>45</v>
      </c>
      <c r="I820" t="s">
        <v>36</v>
      </c>
      <c r="K820" t="s">
        <v>2391</v>
      </c>
      <c r="L820" t="s">
        <v>49</v>
      </c>
      <c r="M820" t="s">
        <v>48</v>
      </c>
      <c r="N820" t="s">
        <v>49</v>
      </c>
      <c r="O820" t="s">
        <v>3938</v>
      </c>
      <c r="P820" t="s">
        <v>49</v>
      </c>
      <c r="Q820" t="s">
        <v>3939</v>
      </c>
      <c r="R820" t="s">
        <v>3940</v>
      </c>
      <c r="S820" t="s">
        <v>53</v>
      </c>
      <c r="T820" t="s">
        <v>1030</v>
      </c>
      <c r="U820" t="s">
        <v>3942</v>
      </c>
      <c r="V820" t="s">
        <v>91</v>
      </c>
    </row>
    <row r="821" spans="1:22" x14ac:dyDescent="0.35">
      <c r="A821" t="s">
        <v>3943</v>
      </c>
      <c r="B821" t="s">
        <v>2119</v>
      </c>
      <c r="C821" t="s">
        <v>344</v>
      </c>
      <c r="D821" t="s">
        <v>158</v>
      </c>
      <c r="E821" t="s">
        <v>29</v>
      </c>
      <c r="F821" t="s">
        <v>173</v>
      </c>
      <c r="G821" t="s">
        <v>368</v>
      </c>
      <c r="H821" t="s">
        <v>35</v>
      </c>
      <c r="I821" t="s">
        <v>36</v>
      </c>
      <c r="K821" t="s">
        <v>2592</v>
      </c>
      <c r="L821" t="s">
        <v>48</v>
      </c>
      <c r="M821" t="s">
        <v>49</v>
      </c>
      <c r="N821" t="s">
        <v>48</v>
      </c>
      <c r="O821" t="s">
        <v>3944</v>
      </c>
      <c r="P821" t="s">
        <v>48</v>
      </c>
      <c r="S821" t="s">
        <v>53</v>
      </c>
      <c r="T821" t="s">
        <v>1030</v>
      </c>
      <c r="U821" t="s">
        <v>3946</v>
      </c>
      <c r="V821" t="s">
        <v>91</v>
      </c>
    </row>
    <row r="822" spans="1:22" x14ac:dyDescent="0.35">
      <c r="A822" t="s">
        <v>3947</v>
      </c>
      <c r="B822" t="s">
        <v>1875</v>
      </c>
      <c r="C822" t="s">
        <v>28</v>
      </c>
      <c r="D822" t="s">
        <v>44</v>
      </c>
      <c r="E822" t="s">
        <v>28</v>
      </c>
      <c r="F822" t="s">
        <v>103</v>
      </c>
      <c r="G822" t="s">
        <v>28</v>
      </c>
      <c r="H822" t="s">
        <v>45</v>
      </c>
      <c r="I822" t="s">
        <v>46</v>
      </c>
      <c r="K822" t="s">
        <v>2391</v>
      </c>
      <c r="L822" t="s">
        <v>49</v>
      </c>
      <c r="M822" t="s">
        <v>48</v>
      </c>
      <c r="N822" t="s">
        <v>49</v>
      </c>
      <c r="O822" t="s">
        <v>3948</v>
      </c>
      <c r="P822" t="s">
        <v>48</v>
      </c>
      <c r="Q822" t="s">
        <v>3949</v>
      </c>
      <c r="R822" t="s">
        <v>3950</v>
      </c>
      <c r="S822" t="s">
        <v>53</v>
      </c>
      <c r="T822" t="s">
        <v>1030</v>
      </c>
      <c r="U822" t="s">
        <v>3952</v>
      </c>
      <c r="V822" t="s">
        <v>91</v>
      </c>
    </row>
    <row r="823" spans="1:22" x14ac:dyDescent="0.35">
      <c r="A823" t="s">
        <v>3953</v>
      </c>
      <c r="B823" t="s">
        <v>1875</v>
      </c>
      <c r="C823" t="s">
        <v>28</v>
      </c>
      <c r="D823" t="s">
        <v>44</v>
      </c>
      <c r="E823" t="s">
        <v>28</v>
      </c>
      <c r="F823" t="s">
        <v>103</v>
      </c>
      <c r="G823" t="s">
        <v>28</v>
      </c>
      <c r="H823" t="s">
        <v>45</v>
      </c>
      <c r="I823" t="s">
        <v>46</v>
      </c>
      <c r="K823" t="s">
        <v>2391</v>
      </c>
      <c r="L823" t="s">
        <v>49</v>
      </c>
      <c r="M823" t="s">
        <v>48</v>
      </c>
      <c r="N823" t="s">
        <v>48</v>
      </c>
      <c r="O823" t="s">
        <v>3954</v>
      </c>
      <c r="P823" t="s">
        <v>49</v>
      </c>
      <c r="Q823" t="s">
        <v>3955</v>
      </c>
      <c r="R823" t="s">
        <v>3956</v>
      </c>
      <c r="S823" t="s">
        <v>53</v>
      </c>
      <c r="T823" t="s">
        <v>1030</v>
      </c>
      <c r="U823" t="s">
        <v>3958</v>
      </c>
      <c r="V823" t="s">
        <v>91</v>
      </c>
    </row>
    <row r="824" spans="1:22" x14ac:dyDescent="0.35">
      <c r="A824" t="s">
        <v>3959</v>
      </c>
      <c r="B824" t="s">
        <v>2119</v>
      </c>
      <c r="C824" t="s">
        <v>29</v>
      </c>
      <c r="D824" t="s">
        <v>44</v>
      </c>
      <c r="E824" t="s">
        <v>206</v>
      </c>
      <c r="F824" t="s">
        <v>103</v>
      </c>
      <c r="G824" t="s">
        <v>73</v>
      </c>
      <c r="H824" t="s">
        <v>28</v>
      </c>
      <c r="I824" t="s">
        <v>36</v>
      </c>
      <c r="K824" t="s">
        <v>2592</v>
      </c>
      <c r="L824" t="s">
        <v>48</v>
      </c>
      <c r="N824" t="s">
        <v>48</v>
      </c>
      <c r="O824" t="s">
        <v>3960</v>
      </c>
      <c r="P824" t="s">
        <v>48</v>
      </c>
      <c r="S824" t="s">
        <v>53</v>
      </c>
      <c r="T824" t="s">
        <v>1030</v>
      </c>
      <c r="U824" t="s">
        <v>2594</v>
      </c>
      <c r="V824" t="s">
        <v>170</v>
      </c>
    </row>
    <row r="825" spans="1:22" x14ac:dyDescent="0.35">
      <c r="A825" t="s">
        <v>3962</v>
      </c>
      <c r="B825" t="s">
        <v>2119</v>
      </c>
      <c r="C825" t="s">
        <v>28</v>
      </c>
      <c r="D825" t="s">
        <v>28</v>
      </c>
      <c r="E825" t="s">
        <v>206</v>
      </c>
      <c r="F825" t="s">
        <v>72</v>
      </c>
      <c r="G825" t="s">
        <v>94</v>
      </c>
      <c r="H825" t="s">
        <v>45</v>
      </c>
      <c r="I825" t="s">
        <v>46</v>
      </c>
      <c r="K825" t="s">
        <v>2640</v>
      </c>
      <c r="M825" t="s">
        <v>38</v>
      </c>
      <c r="N825" t="s">
        <v>40</v>
      </c>
      <c r="O825" t="s">
        <v>3963</v>
      </c>
      <c r="P825" t="s">
        <v>49</v>
      </c>
      <c r="S825" t="s">
        <v>53</v>
      </c>
      <c r="T825" t="s">
        <v>1030</v>
      </c>
      <c r="U825" t="s">
        <v>3965</v>
      </c>
      <c r="V825" t="s">
        <v>91</v>
      </c>
    </row>
    <row r="826" spans="1:22" x14ac:dyDescent="0.35">
      <c r="A826" t="s">
        <v>3966</v>
      </c>
      <c r="B826" t="s">
        <v>1875</v>
      </c>
      <c r="C826" t="s">
        <v>28</v>
      </c>
      <c r="D826" t="s">
        <v>44</v>
      </c>
      <c r="E826" t="s">
        <v>28</v>
      </c>
      <c r="F826" t="s">
        <v>103</v>
      </c>
      <c r="G826" t="s">
        <v>28</v>
      </c>
      <c r="H826" t="s">
        <v>45</v>
      </c>
      <c r="I826" t="s">
        <v>36</v>
      </c>
      <c r="K826" t="s">
        <v>3967</v>
      </c>
      <c r="L826" t="s">
        <v>49</v>
      </c>
      <c r="M826" t="s">
        <v>48</v>
      </c>
      <c r="N826" t="s">
        <v>49</v>
      </c>
      <c r="O826" t="s">
        <v>3968</v>
      </c>
      <c r="P826" t="s">
        <v>49</v>
      </c>
      <c r="Q826" t="s">
        <v>3969</v>
      </c>
      <c r="R826" t="s">
        <v>3970</v>
      </c>
      <c r="S826" t="s">
        <v>53</v>
      </c>
      <c r="T826" t="s">
        <v>1030</v>
      </c>
      <c r="U826" t="s">
        <v>3972</v>
      </c>
      <c r="V826" t="s">
        <v>91</v>
      </c>
    </row>
    <row r="827" spans="1:22" x14ac:dyDescent="0.35">
      <c r="A827" t="s">
        <v>3973</v>
      </c>
      <c r="B827" t="s">
        <v>1875</v>
      </c>
      <c r="C827" t="s">
        <v>28</v>
      </c>
      <c r="D827" t="s">
        <v>44</v>
      </c>
      <c r="E827" t="s">
        <v>28</v>
      </c>
      <c r="F827" t="s">
        <v>103</v>
      </c>
      <c r="G827" t="s">
        <v>28</v>
      </c>
      <c r="H827" t="s">
        <v>45</v>
      </c>
      <c r="I827" t="s">
        <v>36</v>
      </c>
      <c r="K827" t="s">
        <v>2379</v>
      </c>
      <c r="L827" t="s">
        <v>49</v>
      </c>
      <c r="M827" t="s">
        <v>49</v>
      </c>
      <c r="N827" t="s">
        <v>48</v>
      </c>
      <c r="O827" t="s">
        <v>3974</v>
      </c>
      <c r="P827" t="s">
        <v>49</v>
      </c>
      <c r="Q827" t="s">
        <v>3975</v>
      </c>
      <c r="R827" t="s">
        <v>3976</v>
      </c>
      <c r="S827" t="s">
        <v>53</v>
      </c>
      <c r="T827" t="s">
        <v>1030</v>
      </c>
      <c r="U827" t="s">
        <v>3978</v>
      </c>
      <c r="V827" t="s">
        <v>91</v>
      </c>
    </row>
    <row r="828" spans="1:22" x14ac:dyDescent="0.35">
      <c r="A828" t="s">
        <v>3979</v>
      </c>
      <c r="B828" t="s">
        <v>2119</v>
      </c>
      <c r="C828" t="s">
        <v>44</v>
      </c>
      <c r="D828" t="s">
        <v>196</v>
      </c>
      <c r="E828" t="s">
        <v>73</v>
      </c>
      <c r="F828" t="s">
        <v>196</v>
      </c>
      <c r="G828" t="s">
        <v>34</v>
      </c>
      <c r="H828" t="s">
        <v>74</v>
      </c>
      <c r="I828" t="s">
        <v>46</v>
      </c>
      <c r="K828" t="s">
        <v>2673</v>
      </c>
      <c r="L828" t="s">
        <v>48</v>
      </c>
      <c r="M828" t="s">
        <v>48</v>
      </c>
      <c r="N828" t="s">
        <v>49</v>
      </c>
      <c r="O828" t="s">
        <v>3980</v>
      </c>
      <c r="S828" t="s">
        <v>53</v>
      </c>
      <c r="T828" t="s">
        <v>118</v>
      </c>
      <c r="U828" t="s">
        <v>3982</v>
      </c>
      <c r="V828" t="s">
        <v>91</v>
      </c>
    </row>
    <row r="829" spans="1:22" x14ac:dyDescent="0.35">
      <c r="A829" t="s">
        <v>3983</v>
      </c>
      <c r="B829" t="s">
        <v>1960</v>
      </c>
      <c r="C829" t="s">
        <v>44</v>
      </c>
      <c r="D829" t="s">
        <v>60</v>
      </c>
      <c r="E829" t="s">
        <v>157</v>
      </c>
      <c r="F829" t="s">
        <v>28</v>
      </c>
      <c r="G829" t="s">
        <v>45</v>
      </c>
      <c r="H829" t="s">
        <v>368</v>
      </c>
      <c r="I829" t="s">
        <v>46</v>
      </c>
      <c r="K829" t="s">
        <v>3899</v>
      </c>
      <c r="L829" t="s">
        <v>48</v>
      </c>
      <c r="M829" t="s">
        <v>48</v>
      </c>
      <c r="N829" t="s">
        <v>38</v>
      </c>
      <c r="O829" t="s">
        <v>3877</v>
      </c>
      <c r="P829" t="s">
        <v>38</v>
      </c>
      <c r="Q829" t="s">
        <v>3878</v>
      </c>
      <c r="R829" t="s">
        <v>3879</v>
      </c>
      <c r="S829" t="s">
        <v>53</v>
      </c>
      <c r="T829" t="s">
        <v>3515</v>
      </c>
      <c r="U829" t="s">
        <v>3985</v>
      </c>
      <c r="V829" t="s">
        <v>91</v>
      </c>
    </row>
    <row r="830" spans="1:22" x14ac:dyDescent="0.35">
      <c r="A830" t="s">
        <v>3986</v>
      </c>
      <c r="B830" t="s">
        <v>1875</v>
      </c>
      <c r="C830" t="s">
        <v>44</v>
      </c>
      <c r="D830" t="s">
        <v>60</v>
      </c>
      <c r="E830" t="s">
        <v>157</v>
      </c>
      <c r="F830" t="s">
        <v>173</v>
      </c>
      <c r="G830" t="s">
        <v>45</v>
      </c>
      <c r="H830" t="s">
        <v>368</v>
      </c>
      <c r="I830" t="s">
        <v>36</v>
      </c>
      <c r="K830" t="s">
        <v>2369</v>
      </c>
      <c r="L830" t="s">
        <v>49</v>
      </c>
      <c r="M830" t="s">
        <v>48</v>
      </c>
      <c r="N830" t="s">
        <v>49</v>
      </c>
      <c r="O830" t="s">
        <v>3987</v>
      </c>
      <c r="P830" t="s">
        <v>48</v>
      </c>
      <c r="Q830" t="s">
        <v>3988</v>
      </c>
      <c r="R830" t="s">
        <v>3989</v>
      </c>
      <c r="S830" t="s">
        <v>53</v>
      </c>
      <c r="T830" t="s">
        <v>1030</v>
      </c>
      <c r="U830" t="s">
        <v>3991</v>
      </c>
      <c r="V830" t="s">
        <v>91</v>
      </c>
    </row>
    <row r="831" spans="1:22" x14ac:dyDescent="0.35">
      <c r="A831" t="s">
        <v>3992</v>
      </c>
      <c r="B831" t="s">
        <v>1883</v>
      </c>
      <c r="C831" t="s">
        <v>29</v>
      </c>
      <c r="D831" t="s">
        <v>29</v>
      </c>
      <c r="E831" t="s">
        <v>29</v>
      </c>
      <c r="F831" t="s">
        <v>30</v>
      </c>
      <c r="G831" t="s">
        <v>30</v>
      </c>
      <c r="H831" t="s">
        <v>61</v>
      </c>
      <c r="I831" t="s">
        <v>46</v>
      </c>
      <c r="K831" t="s">
        <v>3993</v>
      </c>
      <c r="L831" t="s">
        <v>49</v>
      </c>
      <c r="M831" t="s">
        <v>49</v>
      </c>
      <c r="N831" t="s">
        <v>49</v>
      </c>
      <c r="O831" t="s">
        <v>3877</v>
      </c>
      <c r="P831" t="s">
        <v>49</v>
      </c>
      <c r="Q831" t="s">
        <v>3878</v>
      </c>
      <c r="R831" t="s">
        <v>3879</v>
      </c>
      <c r="S831" t="s">
        <v>53</v>
      </c>
      <c r="T831" t="s">
        <v>3995</v>
      </c>
      <c r="U831" t="s">
        <v>3996</v>
      </c>
      <c r="V831" t="s">
        <v>91</v>
      </c>
    </row>
    <row r="832" spans="1:22" x14ac:dyDescent="0.35">
      <c r="A832" t="s">
        <v>3997</v>
      </c>
      <c r="B832" t="s">
        <v>2119</v>
      </c>
      <c r="C832" t="s">
        <v>449</v>
      </c>
      <c r="D832" t="s">
        <v>158</v>
      </c>
      <c r="E832" t="s">
        <v>60</v>
      </c>
      <c r="F832" t="s">
        <v>196</v>
      </c>
      <c r="G832" t="s">
        <v>173</v>
      </c>
      <c r="H832" t="s">
        <v>28</v>
      </c>
      <c r="I832" t="s">
        <v>46</v>
      </c>
      <c r="K832" t="s">
        <v>2673</v>
      </c>
      <c r="L832" t="s">
        <v>48</v>
      </c>
      <c r="M832" t="s">
        <v>48</v>
      </c>
      <c r="N832" t="s">
        <v>48</v>
      </c>
      <c r="O832" t="s">
        <v>3998</v>
      </c>
      <c r="P832" t="s">
        <v>48</v>
      </c>
      <c r="S832" t="s">
        <v>53</v>
      </c>
      <c r="T832" t="s">
        <v>118</v>
      </c>
      <c r="U832" t="s">
        <v>4000</v>
      </c>
      <c r="V832" t="s">
        <v>91</v>
      </c>
    </row>
    <row r="833" spans="1:22" x14ac:dyDescent="0.35">
      <c r="A833" t="s">
        <v>3986</v>
      </c>
      <c r="B833" t="s">
        <v>1875</v>
      </c>
      <c r="C833" t="s">
        <v>28</v>
      </c>
      <c r="D833" t="s">
        <v>44</v>
      </c>
      <c r="E833" t="s">
        <v>157</v>
      </c>
      <c r="F833" t="s">
        <v>103</v>
      </c>
      <c r="G833" t="s">
        <v>28</v>
      </c>
      <c r="H833" t="s">
        <v>45</v>
      </c>
      <c r="I833" t="s">
        <v>36</v>
      </c>
      <c r="K833" t="s">
        <v>2369</v>
      </c>
      <c r="L833" t="s">
        <v>49</v>
      </c>
      <c r="M833" t="s">
        <v>48</v>
      </c>
      <c r="N833" t="s">
        <v>49</v>
      </c>
      <c r="O833" t="s">
        <v>4001</v>
      </c>
      <c r="P833" t="s">
        <v>49</v>
      </c>
      <c r="Q833" t="s">
        <v>4002</v>
      </c>
      <c r="R833" t="s">
        <v>4003</v>
      </c>
      <c r="S833" t="s">
        <v>53</v>
      </c>
      <c r="T833" t="s">
        <v>1030</v>
      </c>
      <c r="U833" t="s">
        <v>4004</v>
      </c>
      <c r="V833" t="s">
        <v>91</v>
      </c>
    </row>
    <row r="834" spans="1:22" x14ac:dyDescent="0.35">
      <c r="A834" t="s">
        <v>4005</v>
      </c>
      <c r="B834" t="s">
        <v>1960</v>
      </c>
      <c r="C834" t="s">
        <v>44</v>
      </c>
      <c r="D834" t="s">
        <v>44</v>
      </c>
      <c r="E834" t="s">
        <v>44</v>
      </c>
      <c r="F834" t="s">
        <v>103</v>
      </c>
      <c r="G834" t="s">
        <v>103</v>
      </c>
      <c r="H834" t="s">
        <v>35</v>
      </c>
      <c r="I834" t="s">
        <v>46</v>
      </c>
      <c r="K834" t="s">
        <v>4006</v>
      </c>
      <c r="L834" t="s">
        <v>48</v>
      </c>
      <c r="M834" t="s">
        <v>48</v>
      </c>
      <c r="N834" t="s">
        <v>48</v>
      </c>
      <c r="O834" t="s">
        <v>3877</v>
      </c>
      <c r="P834" t="s">
        <v>48</v>
      </c>
      <c r="Q834" t="s">
        <v>3878</v>
      </c>
      <c r="R834" t="s">
        <v>3879</v>
      </c>
      <c r="S834" t="s">
        <v>53</v>
      </c>
      <c r="T834" t="s">
        <v>3515</v>
      </c>
      <c r="U834" t="s">
        <v>4008</v>
      </c>
      <c r="V834" t="s">
        <v>91</v>
      </c>
    </row>
    <row r="835" spans="1:22" x14ac:dyDescent="0.35">
      <c r="A835" t="s">
        <v>4009</v>
      </c>
      <c r="B835" t="s">
        <v>1875</v>
      </c>
      <c r="C835" t="s">
        <v>377</v>
      </c>
      <c r="D835" t="s">
        <v>44</v>
      </c>
      <c r="E835" t="s">
        <v>157</v>
      </c>
      <c r="F835" t="s">
        <v>103</v>
      </c>
      <c r="G835" t="s">
        <v>103</v>
      </c>
      <c r="H835" t="s">
        <v>368</v>
      </c>
      <c r="I835" t="s">
        <v>36</v>
      </c>
      <c r="K835" t="s">
        <v>2369</v>
      </c>
      <c r="L835" t="s">
        <v>49</v>
      </c>
      <c r="M835" t="s">
        <v>48</v>
      </c>
      <c r="N835" t="s">
        <v>49</v>
      </c>
      <c r="O835" t="s">
        <v>4010</v>
      </c>
      <c r="P835" t="s">
        <v>48</v>
      </c>
      <c r="Q835" t="s">
        <v>4011</v>
      </c>
      <c r="R835" t="s">
        <v>4012</v>
      </c>
      <c r="S835" t="s">
        <v>53</v>
      </c>
      <c r="T835" t="s">
        <v>1030</v>
      </c>
      <c r="U835" t="s">
        <v>4014</v>
      </c>
      <c r="V835" t="s">
        <v>91</v>
      </c>
    </row>
    <row r="836" spans="1:22" x14ac:dyDescent="0.35">
      <c r="A836" t="s">
        <v>4015</v>
      </c>
      <c r="B836" t="s">
        <v>1875</v>
      </c>
      <c r="C836" t="s">
        <v>377</v>
      </c>
      <c r="D836" t="s">
        <v>44</v>
      </c>
      <c r="E836" t="s">
        <v>44</v>
      </c>
      <c r="F836" t="s">
        <v>103</v>
      </c>
      <c r="G836" t="s">
        <v>173</v>
      </c>
      <c r="H836" t="s">
        <v>368</v>
      </c>
      <c r="I836" t="s">
        <v>36</v>
      </c>
      <c r="K836" t="s">
        <v>2356</v>
      </c>
      <c r="L836" t="s">
        <v>49</v>
      </c>
      <c r="M836" t="s">
        <v>48</v>
      </c>
      <c r="N836" t="s">
        <v>49</v>
      </c>
      <c r="O836" t="s">
        <v>4016</v>
      </c>
      <c r="P836" t="s">
        <v>49</v>
      </c>
      <c r="Q836" t="s">
        <v>4017</v>
      </c>
      <c r="R836" t="s">
        <v>4018</v>
      </c>
      <c r="S836" t="s">
        <v>53</v>
      </c>
      <c r="T836" t="s">
        <v>1030</v>
      </c>
      <c r="U836" t="s">
        <v>56</v>
      </c>
      <c r="V836" t="s">
        <v>91</v>
      </c>
    </row>
    <row r="837" spans="1:22" x14ac:dyDescent="0.35">
      <c r="A837" t="s">
        <v>4020</v>
      </c>
      <c r="B837" t="s">
        <v>1960</v>
      </c>
      <c r="C837" t="s">
        <v>44</v>
      </c>
      <c r="D837" t="s">
        <v>44</v>
      </c>
      <c r="E837" t="s">
        <v>44</v>
      </c>
      <c r="F837" t="s">
        <v>103</v>
      </c>
      <c r="G837" t="s">
        <v>103</v>
      </c>
      <c r="H837" t="s">
        <v>28</v>
      </c>
      <c r="I837" t="s">
        <v>46</v>
      </c>
      <c r="K837" t="s">
        <v>2592</v>
      </c>
      <c r="L837" t="s">
        <v>48</v>
      </c>
      <c r="M837" t="s">
        <v>48</v>
      </c>
      <c r="N837" t="s">
        <v>49</v>
      </c>
      <c r="O837" t="s">
        <v>3877</v>
      </c>
      <c r="P837" t="s">
        <v>38</v>
      </c>
      <c r="Q837" t="s">
        <v>3878</v>
      </c>
      <c r="R837" t="s">
        <v>3879</v>
      </c>
      <c r="S837" t="s">
        <v>53</v>
      </c>
      <c r="T837" t="s">
        <v>3515</v>
      </c>
      <c r="U837" t="s">
        <v>4022</v>
      </c>
      <c r="V837" t="s">
        <v>91</v>
      </c>
    </row>
    <row r="838" spans="1:22" x14ac:dyDescent="0.35">
      <c r="A838" t="s">
        <v>4023</v>
      </c>
      <c r="B838" t="s">
        <v>4024</v>
      </c>
      <c r="C838" t="s">
        <v>29</v>
      </c>
      <c r="D838" t="s">
        <v>29</v>
      </c>
      <c r="E838" t="s">
        <v>29</v>
      </c>
      <c r="F838" t="s">
        <v>30</v>
      </c>
      <c r="G838" t="s">
        <v>30</v>
      </c>
      <c r="H838" t="s">
        <v>61</v>
      </c>
      <c r="I838" t="s">
        <v>36</v>
      </c>
      <c r="K838" t="s">
        <v>4006</v>
      </c>
      <c r="L838" t="s">
        <v>49</v>
      </c>
      <c r="M838" t="s">
        <v>49</v>
      </c>
      <c r="N838" t="s">
        <v>49</v>
      </c>
      <c r="O838" t="s">
        <v>3877</v>
      </c>
      <c r="P838" t="s">
        <v>49</v>
      </c>
      <c r="Q838" t="s">
        <v>3878</v>
      </c>
      <c r="R838" t="s">
        <v>3879</v>
      </c>
      <c r="S838" t="s">
        <v>53</v>
      </c>
      <c r="T838" t="s">
        <v>3995</v>
      </c>
      <c r="U838" t="s">
        <v>4026</v>
      </c>
      <c r="V838" t="s">
        <v>91</v>
      </c>
    </row>
    <row r="839" spans="1:22" x14ac:dyDescent="0.35">
      <c r="A839" t="s">
        <v>4027</v>
      </c>
      <c r="B839" t="s">
        <v>1960</v>
      </c>
      <c r="C839" t="s">
        <v>44</v>
      </c>
      <c r="D839" t="s">
        <v>60</v>
      </c>
      <c r="E839" t="s">
        <v>60</v>
      </c>
      <c r="F839" t="s">
        <v>30</v>
      </c>
      <c r="G839" t="s">
        <v>30</v>
      </c>
      <c r="H839" t="s">
        <v>292</v>
      </c>
      <c r="I839" t="s">
        <v>46</v>
      </c>
      <c r="K839" t="s">
        <v>2792</v>
      </c>
      <c r="L839" t="s">
        <v>48</v>
      </c>
      <c r="M839" t="s">
        <v>48</v>
      </c>
      <c r="N839" t="s">
        <v>49</v>
      </c>
      <c r="O839" t="s">
        <v>3877</v>
      </c>
      <c r="P839" t="s">
        <v>38</v>
      </c>
      <c r="Q839" t="s">
        <v>3878</v>
      </c>
      <c r="R839" t="s">
        <v>3879</v>
      </c>
      <c r="S839" t="s">
        <v>53</v>
      </c>
      <c r="T839" t="s">
        <v>118</v>
      </c>
      <c r="U839" t="s">
        <v>4029</v>
      </c>
      <c r="V839" t="s">
        <v>91</v>
      </c>
    </row>
    <row r="840" spans="1:22" x14ac:dyDescent="0.35">
      <c r="A840" t="s">
        <v>4030</v>
      </c>
      <c r="B840" t="s">
        <v>1960</v>
      </c>
      <c r="C840" t="s">
        <v>44</v>
      </c>
      <c r="D840" t="s">
        <v>44</v>
      </c>
      <c r="E840" t="s">
        <v>60</v>
      </c>
      <c r="F840" t="s">
        <v>30</v>
      </c>
      <c r="G840" t="s">
        <v>103</v>
      </c>
      <c r="H840" t="s">
        <v>292</v>
      </c>
      <c r="I840" t="s">
        <v>46</v>
      </c>
      <c r="K840" t="s">
        <v>4031</v>
      </c>
      <c r="L840" t="s">
        <v>48</v>
      </c>
      <c r="M840" t="s">
        <v>48</v>
      </c>
      <c r="N840" t="s">
        <v>38</v>
      </c>
      <c r="O840" t="s">
        <v>3877</v>
      </c>
      <c r="P840" t="s">
        <v>49</v>
      </c>
      <c r="Q840" t="s">
        <v>3878</v>
      </c>
      <c r="R840" t="s">
        <v>3879</v>
      </c>
      <c r="S840" t="s">
        <v>53</v>
      </c>
      <c r="T840" t="s">
        <v>2485</v>
      </c>
      <c r="U840" t="s">
        <v>4033</v>
      </c>
      <c r="V840" t="s">
        <v>91</v>
      </c>
    </row>
    <row r="841" spans="1:22" x14ac:dyDescent="0.35">
      <c r="A841" t="s">
        <v>4034</v>
      </c>
      <c r="B841" t="s">
        <v>1960</v>
      </c>
      <c r="C841" t="s">
        <v>44</v>
      </c>
      <c r="D841" t="s">
        <v>44</v>
      </c>
      <c r="E841" t="s">
        <v>44</v>
      </c>
      <c r="F841" t="s">
        <v>103</v>
      </c>
      <c r="G841" t="s">
        <v>103</v>
      </c>
      <c r="H841" t="s">
        <v>94</v>
      </c>
      <c r="I841" t="s">
        <v>46</v>
      </c>
      <c r="K841" t="s">
        <v>4035</v>
      </c>
      <c r="L841" t="s">
        <v>48</v>
      </c>
      <c r="M841" t="s">
        <v>49</v>
      </c>
      <c r="N841" t="s">
        <v>49</v>
      </c>
      <c r="O841" t="s">
        <v>3877</v>
      </c>
      <c r="P841" t="s">
        <v>48</v>
      </c>
      <c r="Q841" t="s">
        <v>3878</v>
      </c>
      <c r="R841" t="s">
        <v>3879</v>
      </c>
      <c r="S841" t="s">
        <v>53</v>
      </c>
      <c r="T841" t="s">
        <v>2485</v>
      </c>
      <c r="U841" t="s">
        <v>4037</v>
      </c>
      <c r="V841" t="s">
        <v>91</v>
      </c>
    </row>
    <row r="842" spans="1:22" x14ac:dyDescent="0.35">
      <c r="A842" t="s">
        <v>4038</v>
      </c>
      <c r="B842" t="s">
        <v>2119</v>
      </c>
      <c r="C842" t="s">
        <v>44</v>
      </c>
      <c r="D842" t="s">
        <v>72</v>
      </c>
      <c r="E842" t="s">
        <v>29</v>
      </c>
      <c r="F842" t="s">
        <v>158</v>
      </c>
      <c r="G842" t="s">
        <v>30</v>
      </c>
      <c r="H842" t="s">
        <v>94</v>
      </c>
      <c r="I842" t="s">
        <v>36</v>
      </c>
      <c r="K842" t="s">
        <v>2897</v>
      </c>
      <c r="M842" t="s">
        <v>48</v>
      </c>
      <c r="O842" t="s">
        <v>4039</v>
      </c>
      <c r="P842" t="s">
        <v>48</v>
      </c>
      <c r="S842" t="s">
        <v>53</v>
      </c>
      <c r="T842" t="s">
        <v>118</v>
      </c>
      <c r="U842" t="s">
        <v>4041</v>
      </c>
      <c r="V842" t="s">
        <v>170</v>
      </c>
    </row>
    <row r="843" spans="1:22" x14ac:dyDescent="0.35">
      <c r="A843" t="s">
        <v>4042</v>
      </c>
      <c r="B843" t="s">
        <v>4043</v>
      </c>
      <c r="C843" t="s">
        <v>44</v>
      </c>
      <c r="D843" t="s">
        <v>44</v>
      </c>
      <c r="E843" t="s">
        <v>44</v>
      </c>
      <c r="F843" t="s">
        <v>103</v>
      </c>
      <c r="G843" t="s">
        <v>28</v>
      </c>
      <c r="H843" t="s">
        <v>45</v>
      </c>
      <c r="I843" t="s">
        <v>46</v>
      </c>
      <c r="K843" t="s">
        <v>4044</v>
      </c>
      <c r="L843" t="s">
        <v>48</v>
      </c>
      <c r="M843" t="s">
        <v>48</v>
      </c>
      <c r="N843" t="s">
        <v>48</v>
      </c>
      <c r="O843" t="s">
        <v>3877</v>
      </c>
      <c r="P843" t="s">
        <v>49</v>
      </c>
      <c r="Q843" t="s">
        <v>3878</v>
      </c>
      <c r="R843" t="s">
        <v>3879</v>
      </c>
      <c r="S843" t="s">
        <v>53</v>
      </c>
      <c r="T843" t="s">
        <v>2485</v>
      </c>
      <c r="U843" t="s">
        <v>3821</v>
      </c>
      <c r="V843" t="s">
        <v>91</v>
      </c>
    </row>
    <row r="844" spans="1:22" x14ac:dyDescent="0.35">
      <c r="A844" t="s">
        <v>4045</v>
      </c>
      <c r="B844" t="s">
        <v>1883</v>
      </c>
      <c r="C844" t="s">
        <v>29</v>
      </c>
      <c r="D844" t="s">
        <v>29</v>
      </c>
      <c r="E844" t="s">
        <v>29</v>
      </c>
      <c r="F844" t="s">
        <v>30</v>
      </c>
      <c r="G844" t="s">
        <v>30</v>
      </c>
      <c r="H844" t="s">
        <v>61</v>
      </c>
      <c r="I844" t="s">
        <v>46</v>
      </c>
      <c r="K844" t="s">
        <v>4044</v>
      </c>
      <c r="L844" t="s">
        <v>49</v>
      </c>
      <c r="M844" t="s">
        <v>49</v>
      </c>
      <c r="N844" t="s">
        <v>49</v>
      </c>
      <c r="O844" t="s">
        <v>3877</v>
      </c>
      <c r="P844" t="s">
        <v>49</v>
      </c>
      <c r="Q844" t="s">
        <v>3878</v>
      </c>
      <c r="R844" t="s">
        <v>3879</v>
      </c>
      <c r="S844" t="s">
        <v>53</v>
      </c>
      <c r="T844" t="s">
        <v>4047</v>
      </c>
      <c r="U844" t="s">
        <v>4048</v>
      </c>
      <c r="V844" t="s">
        <v>91</v>
      </c>
    </row>
    <row r="845" spans="1:22" x14ac:dyDescent="0.35">
      <c r="A845" t="s">
        <v>4049</v>
      </c>
      <c r="B845" t="s">
        <v>2119</v>
      </c>
      <c r="C845" t="s">
        <v>44</v>
      </c>
      <c r="D845" t="s">
        <v>28</v>
      </c>
      <c r="E845" t="s">
        <v>157</v>
      </c>
      <c r="F845" t="s">
        <v>103</v>
      </c>
      <c r="G845" t="s">
        <v>94</v>
      </c>
      <c r="H845" t="s">
        <v>73</v>
      </c>
      <c r="I845" t="s">
        <v>46</v>
      </c>
      <c r="K845" t="s">
        <v>2897</v>
      </c>
      <c r="M845" t="s">
        <v>48</v>
      </c>
      <c r="O845" t="s">
        <v>4050</v>
      </c>
      <c r="P845" t="s">
        <v>38</v>
      </c>
      <c r="S845" t="s">
        <v>53</v>
      </c>
      <c r="T845" t="s">
        <v>118</v>
      </c>
      <c r="U845" t="s">
        <v>4052</v>
      </c>
      <c r="V845" t="s">
        <v>170</v>
      </c>
    </row>
    <row r="846" spans="1:22" x14ac:dyDescent="0.35">
      <c r="A846" t="s">
        <v>4053</v>
      </c>
      <c r="B846" t="s">
        <v>1960</v>
      </c>
      <c r="C846" t="s">
        <v>44</v>
      </c>
      <c r="D846" t="s">
        <v>60</v>
      </c>
      <c r="E846" t="s">
        <v>44</v>
      </c>
      <c r="F846" t="s">
        <v>103</v>
      </c>
      <c r="G846" t="s">
        <v>173</v>
      </c>
      <c r="H846" t="s">
        <v>45</v>
      </c>
      <c r="I846" t="s">
        <v>36</v>
      </c>
      <c r="K846" t="s">
        <v>2640</v>
      </c>
      <c r="L846" t="s">
        <v>48</v>
      </c>
      <c r="M846" t="s">
        <v>48</v>
      </c>
      <c r="N846" t="s">
        <v>49</v>
      </c>
      <c r="O846" t="s">
        <v>3877</v>
      </c>
      <c r="P846" t="s">
        <v>49</v>
      </c>
      <c r="Q846" t="s">
        <v>3878</v>
      </c>
      <c r="R846" t="s">
        <v>3879</v>
      </c>
      <c r="S846" t="s">
        <v>53</v>
      </c>
      <c r="T846" t="s">
        <v>3515</v>
      </c>
      <c r="U846" t="s">
        <v>4055</v>
      </c>
      <c r="V846" t="s">
        <v>91</v>
      </c>
    </row>
    <row r="847" spans="1:22" x14ac:dyDescent="0.35">
      <c r="A847" t="s">
        <v>4056</v>
      </c>
      <c r="B847" t="s">
        <v>2119</v>
      </c>
      <c r="C847" t="s">
        <v>377</v>
      </c>
      <c r="D847" t="s">
        <v>158</v>
      </c>
      <c r="E847" t="s">
        <v>157</v>
      </c>
      <c r="F847" t="s">
        <v>103</v>
      </c>
      <c r="G847" t="s">
        <v>28</v>
      </c>
      <c r="H847" t="s">
        <v>45</v>
      </c>
      <c r="I847" t="s">
        <v>46</v>
      </c>
      <c r="K847" t="s">
        <v>2897</v>
      </c>
      <c r="L847" t="s">
        <v>39</v>
      </c>
      <c r="M847" t="s">
        <v>48</v>
      </c>
      <c r="N847" t="s">
        <v>49</v>
      </c>
      <c r="O847" t="s">
        <v>4057</v>
      </c>
      <c r="P847" t="s">
        <v>48</v>
      </c>
      <c r="S847" t="s">
        <v>53</v>
      </c>
      <c r="T847" t="s">
        <v>118</v>
      </c>
      <c r="U847" t="s">
        <v>4059</v>
      </c>
      <c r="V847" t="s">
        <v>170</v>
      </c>
    </row>
    <row r="848" spans="1:22" x14ac:dyDescent="0.35">
      <c r="A848" t="s">
        <v>4060</v>
      </c>
      <c r="B848" t="s">
        <v>2119</v>
      </c>
      <c r="C848" t="s">
        <v>44</v>
      </c>
      <c r="D848" t="s">
        <v>28</v>
      </c>
      <c r="E848" t="s">
        <v>206</v>
      </c>
      <c r="F848" t="s">
        <v>173</v>
      </c>
      <c r="G848" t="s">
        <v>28</v>
      </c>
      <c r="H848" t="s">
        <v>45</v>
      </c>
      <c r="I848" t="s">
        <v>36</v>
      </c>
      <c r="K848" t="s">
        <v>2924</v>
      </c>
      <c r="L848" t="s">
        <v>49</v>
      </c>
      <c r="M848" t="s">
        <v>48</v>
      </c>
      <c r="N848" t="s">
        <v>38</v>
      </c>
      <c r="O848" t="s">
        <v>4061</v>
      </c>
      <c r="P848" t="s">
        <v>49</v>
      </c>
      <c r="S848" t="s">
        <v>53</v>
      </c>
      <c r="T848" t="s">
        <v>118</v>
      </c>
      <c r="U848" t="s">
        <v>4063</v>
      </c>
      <c r="V848" t="s">
        <v>91</v>
      </c>
    </row>
    <row r="849" spans="1:22" x14ac:dyDescent="0.35">
      <c r="A849" t="s">
        <v>4064</v>
      </c>
      <c r="B849" t="s">
        <v>2119</v>
      </c>
      <c r="C849" t="s">
        <v>71</v>
      </c>
      <c r="D849" t="s">
        <v>44</v>
      </c>
      <c r="E849" t="s">
        <v>44</v>
      </c>
      <c r="F849" t="s">
        <v>72</v>
      </c>
      <c r="G849" t="s">
        <v>30</v>
      </c>
      <c r="H849" t="s">
        <v>292</v>
      </c>
      <c r="I849" t="s">
        <v>36</v>
      </c>
      <c r="K849" t="s">
        <v>2901</v>
      </c>
      <c r="M849" t="s">
        <v>38</v>
      </c>
      <c r="O849" t="s">
        <v>4065</v>
      </c>
      <c r="P849" t="s">
        <v>48</v>
      </c>
      <c r="S849" t="s">
        <v>53</v>
      </c>
      <c r="T849" t="s">
        <v>118</v>
      </c>
      <c r="U849" t="s">
        <v>4067</v>
      </c>
      <c r="V849" t="s">
        <v>170</v>
      </c>
    </row>
    <row r="850" spans="1:22" x14ac:dyDescent="0.35">
      <c r="A850" t="s">
        <v>4068</v>
      </c>
      <c r="B850" t="s">
        <v>2119</v>
      </c>
      <c r="C850" t="s">
        <v>71</v>
      </c>
      <c r="D850" t="s">
        <v>29</v>
      </c>
      <c r="E850" t="s">
        <v>33</v>
      </c>
      <c r="F850" t="s">
        <v>72</v>
      </c>
      <c r="G850" t="s">
        <v>73</v>
      </c>
      <c r="H850" t="s">
        <v>94</v>
      </c>
      <c r="I850" t="s">
        <v>46</v>
      </c>
      <c r="K850" t="s">
        <v>2828</v>
      </c>
      <c r="L850" t="s">
        <v>38</v>
      </c>
      <c r="M850" t="s">
        <v>38</v>
      </c>
      <c r="N850" t="s">
        <v>49</v>
      </c>
      <c r="O850" t="s">
        <v>4069</v>
      </c>
      <c r="P850" t="s">
        <v>48</v>
      </c>
      <c r="S850" t="s">
        <v>53</v>
      </c>
      <c r="T850" t="s">
        <v>118</v>
      </c>
      <c r="U850" t="s">
        <v>4071</v>
      </c>
      <c r="V850" t="s">
        <v>91</v>
      </c>
    </row>
    <row r="851" spans="1:22" x14ac:dyDescent="0.35">
      <c r="A851" t="s">
        <v>4072</v>
      </c>
      <c r="B851" t="s">
        <v>2119</v>
      </c>
      <c r="C851" t="s">
        <v>44</v>
      </c>
      <c r="D851" t="s">
        <v>72</v>
      </c>
      <c r="E851" t="s">
        <v>33</v>
      </c>
      <c r="F851" t="s">
        <v>30</v>
      </c>
      <c r="G851" t="s">
        <v>173</v>
      </c>
      <c r="H851" t="s">
        <v>45</v>
      </c>
      <c r="I851" t="s">
        <v>36</v>
      </c>
      <c r="K851" t="s">
        <v>2553</v>
      </c>
      <c r="L851" t="s">
        <v>48</v>
      </c>
      <c r="O851" t="s">
        <v>4073</v>
      </c>
      <c r="P851" t="s">
        <v>49</v>
      </c>
      <c r="S851" t="s">
        <v>53</v>
      </c>
      <c r="T851" t="s">
        <v>118</v>
      </c>
      <c r="U851" t="s">
        <v>4075</v>
      </c>
      <c r="V851" t="s">
        <v>170</v>
      </c>
    </row>
    <row r="852" spans="1:22" x14ac:dyDescent="0.35">
      <c r="A852" t="s">
        <v>4076</v>
      </c>
      <c r="B852" t="s">
        <v>2119</v>
      </c>
      <c r="C852" t="s">
        <v>44</v>
      </c>
      <c r="D852" t="s">
        <v>158</v>
      </c>
      <c r="E852" t="s">
        <v>73</v>
      </c>
      <c r="F852" t="s">
        <v>30</v>
      </c>
      <c r="G852" t="s">
        <v>173</v>
      </c>
      <c r="H852" t="s">
        <v>45</v>
      </c>
      <c r="I852" t="s">
        <v>36</v>
      </c>
      <c r="K852" t="s">
        <v>4077</v>
      </c>
      <c r="L852" t="s">
        <v>49</v>
      </c>
      <c r="N852" t="s">
        <v>49</v>
      </c>
      <c r="O852" t="s">
        <v>4078</v>
      </c>
      <c r="S852" t="s">
        <v>53</v>
      </c>
      <c r="T852" t="s">
        <v>118</v>
      </c>
      <c r="U852" t="s">
        <v>4080</v>
      </c>
      <c r="V852" t="s">
        <v>91</v>
      </c>
    </row>
    <row r="853" spans="1:22" x14ac:dyDescent="0.35">
      <c r="A853" t="s">
        <v>4081</v>
      </c>
      <c r="B853" t="s">
        <v>4082</v>
      </c>
      <c r="C853" t="s">
        <v>44</v>
      </c>
      <c r="D853" t="s">
        <v>60</v>
      </c>
      <c r="E853" t="s">
        <v>157</v>
      </c>
      <c r="F853" t="s">
        <v>196</v>
      </c>
      <c r="G853" t="s">
        <v>173</v>
      </c>
      <c r="H853" t="s">
        <v>35</v>
      </c>
      <c r="I853" t="s">
        <v>46</v>
      </c>
      <c r="K853" t="s">
        <v>2599</v>
      </c>
      <c r="L853" t="s">
        <v>40</v>
      </c>
      <c r="M853" t="s">
        <v>38</v>
      </c>
      <c r="N853" t="s">
        <v>49</v>
      </c>
      <c r="O853" t="s">
        <v>4083</v>
      </c>
      <c r="P853" t="s">
        <v>38</v>
      </c>
      <c r="S853" t="s">
        <v>53</v>
      </c>
      <c r="T853" t="s">
        <v>118</v>
      </c>
      <c r="U853" t="s">
        <v>4085</v>
      </c>
      <c r="V853" t="s">
        <v>170</v>
      </c>
    </row>
    <row r="854" spans="1:22" x14ac:dyDescent="0.35">
      <c r="A854" t="s">
        <v>4086</v>
      </c>
      <c r="B854" t="s">
        <v>2119</v>
      </c>
      <c r="C854" t="s">
        <v>60</v>
      </c>
      <c r="D854" t="s">
        <v>197</v>
      </c>
      <c r="E854" t="s">
        <v>206</v>
      </c>
      <c r="F854" t="s">
        <v>103</v>
      </c>
      <c r="G854" t="s">
        <v>28</v>
      </c>
      <c r="H854" t="s">
        <v>292</v>
      </c>
      <c r="I854" t="s">
        <v>36</v>
      </c>
      <c r="K854" t="s">
        <v>2635</v>
      </c>
      <c r="L854" t="s">
        <v>49</v>
      </c>
      <c r="N854" t="s">
        <v>48</v>
      </c>
      <c r="O854" t="s">
        <v>4087</v>
      </c>
      <c r="S854" t="s">
        <v>53</v>
      </c>
      <c r="T854" t="s">
        <v>118</v>
      </c>
      <c r="U854" t="s">
        <v>4089</v>
      </c>
      <c r="V854" t="s">
        <v>91</v>
      </c>
    </row>
    <row r="855" spans="1:22" x14ac:dyDescent="0.35">
      <c r="A855" t="s">
        <v>4090</v>
      </c>
      <c r="B855" t="s">
        <v>2119</v>
      </c>
      <c r="C855" t="s">
        <v>60</v>
      </c>
      <c r="D855" t="s">
        <v>60</v>
      </c>
      <c r="E855" t="s">
        <v>73</v>
      </c>
      <c r="F855" t="s">
        <v>72</v>
      </c>
      <c r="G855" t="s">
        <v>73</v>
      </c>
      <c r="H855" t="s">
        <v>45</v>
      </c>
      <c r="I855" t="s">
        <v>46</v>
      </c>
      <c r="K855" t="s">
        <v>2635</v>
      </c>
      <c r="L855" t="s">
        <v>48</v>
      </c>
      <c r="M855" t="s">
        <v>49</v>
      </c>
      <c r="N855" t="s">
        <v>48</v>
      </c>
      <c r="O855" t="s">
        <v>4091</v>
      </c>
      <c r="P855" t="s">
        <v>48</v>
      </c>
      <c r="S855" t="s">
        <v>53</v>
      </c>
      <c r="T855" t="s">
        <v>118</v>
      </c>
      <c r="U855" t="s">
        <v>4093</v>
      </c>
      <c r="V855" t="s">
        <v>170</v>
      </c>
    </row>
    <row r="856" spans="1:22" x14ac:dyDescent="0.35">
      <c r="A856" t="s">
        <v>4094</v>
      </c>
      <c r="B856" t="s">
        <v>2119</v>
      </c>
      <c r="C856" t="s">
        <v>377</v>
      </c>
      <c r="D856" t="s">
        <v>72</v>
      </c>
      <c r="E856" t="s">
        <v>73</v>
      </c>
      <c r="F856" t="s">
        <v>173</v>
      </c>
      <c r="G856" t="s">
        <v>30</v>
      </c>
      <c r="H856" t="s">
        <v>28</v>
      </c>
      <c r="I856" t="s">
        <v>36</v>
      </c>
      <c r="K856" t="s">
        <v>2635</v>
      </c>
      <c r="M856" t="s">
        <v>48</v>
      </c>
      <c r="N856" t="s">
        <v>48</v>
      </c>
      <c r="O856" t="s">
        <v>4095</v>
      </c>
      <c r="S856" t="s">
        <v>53</v>
      </c>
      <c r="T856" t="s">
        <v>118</v>
      </c>
      <c r="U856" t="s">
        <v>4097</v>
      </c>
      <c r="V856" t="s">
        <v>91</v>
      </c>
    </row>
    <row r="857" spans="1:22" x14ac:dyDescent="0.35">
      <c r="A857" t="s">
        <v>4098</v>
      </c>
      <c r="B857" t="s">
        <v>2740</v>
      </c>
      <c r="C857" t="s">
        <v>29</v>
      </c>
      <c r="D857" t="s">
        <v>29</v>
      </c>
      <c r="E857" t="s">
        <v>284</v>
      </c>
      <c r="F857" t="s">
        <v>28</v>
      </c>
      <c r="G857" t="s">
        <v>173</v>
      </c>
      <c r="H857" t="s">
        <v>368</v>
      </c>
      <c r="I857" t="s">
        <v>46</v>
      </c>
      <c r="K857" t="s">
        <v>2828</v>
      </c>
      <c r="L857" t="s">
        <v>49</v>
      </c>
      <c r="M857" t="s">
        <v>49</v>
      </c>
      <c r="N857" t="s">
        <v>49</v>
      </c>
      <c r="O857" t="s">
        <v>4099</v>
      </c>
      <c r="P857" t="s">
        <v>49</v>
      </c>
      <c r="S857" t="s">
        <v>53</v>
      </c>
      <c r="T857" t="s">
        <v>127</v>
      </c>
      <c r="U857" t="s">
        <v>4101</v>
      </c>
      <c r="V857" t="s">
        <v>170</v>
      </c>
    </row>
    <row r="858" spans="1:22" x14ac:dyDescent="0.35">
      <c r="A858" t="s">
        <v>4102</v>
      </c>
      <c r="B858" t="s">
        <v>2740</v>
      </c>
      <c r="C858" t="s">
        <v>33</v>
      </c>
      <c r="D858" t="s">
        <v>197</v>
      </c>
      <c r="E858" t="s">
        <v>44</v>
      </c>
      <c r="F858" t="s">
        <v>30</v>
      </c>
      <c r="G858" t="s">
        <v>45</v>
      </c>
      <c r="H858" t="s">
        <v>292</v>
      </c>
      <c r="I858" t="s">
        <v>46</v>
      </c>
      <c r="K858" t="s">
        <v>2828</v>
      </c>
      <c r="L858" t="s">
        <v>48</v>
      </c>
      <c r="M858" t="s">
        <v>48</v>
      </c>
      <c r="N858" t="s">
        <v>48</v>
      </c>
      <c r="O858" t="s">
        <v>4103</v>
      </c>
      <c r="P858" t="s">
        <v>48</v>
      </c>
      <c r="S858" t="s">
        <v>53</v>
      </c>
      <c r="T858" t="s">
        <v>127</v>
      </c>
      <c r="U858" t="s">
        <v>4105</v>
      </c>
      <c r="V858" t="s">
        <v>91</v>
      </c>
    </row>
    <row r="859" spans="1:22" x14ac:dyDescent="0.35">
      <c r="A859" t="s">
        <v>4106</v>
      </c>
      <c r="B859" t="s">
        <v>2740</v>
      </c>
      <c r="C859" t="s">
        <v>71</v>
      </c>
      <c r="D859" t="s">
        <v>197</v>
      </c>
      <c r="E859" t="s">
        <v>28</v>
      </c>
      <c r="F859" t="s">
        <v>103</v>
      </c>
      <c r="G859" t="s">
        <v>28</v>
      </c>
      <c r="H859" t="s">
        <v>45</v>
      </c>
      <c r="I859" t="s">
        <v>46</v>
      </c>
      <c r="K859" t="s">
        <v>2828</v>
      </c>
      <c r="L859" t="s">
        <v>48</v>
      </c>
      <c r="M859" t="s">
        <v>49</v>
      </c>
      <c r="N859" t="s">
        <v>49</v>
      </c>
      <c r="O859" t="s">
        <v>4107</v>
      </c>
      <c r="P859" t="s">
        <v>49</v>
      </c>
      <c r="S859" t="s">
        <v>53</v>
      </c>
      <c r="T859" t="s">
        <v>118</v>
      </c>
      <c r="U859" t="s">
        <v>4108</v>
      </c>
      <c r="V859" t="s">
        <v>170</v>
      </c>
    </row>
    <row r="860" spans="1:22" x14ac:dyDescent="0.35">
      <c r="A860" t="s">
        <v>4109</v>
      </c>
      <c r="B860" t="s">
        <v>2740</v>
      </c>
      <c r="C860" t="s">
        <v>44</v>
      </c>
      <c r="D860" t="s">
        <v>29</v>
      </c>
      <c r="E860" t="s">
        <v>44</v>
      </c>
      <c r="F860" t="s">
        <v>28</v>
      </c>
      <c r="G860" t="s">
        <v>30</v>
      </c>
      <c r="H860" t="s">
        <v>61</v>
      </c>
      <c r="I860" t="s">
        <v>36</v>
      </c>
      <c r="K860" t="s">
        <v>2756</v>
      </c>
      <c r="L860" t="s">
        <v>48</v>
      </c>
      <c r="M860" t="s">
        <v>38</v>
      </c>
      <c r="N860" t="s">
        <v>48</v>
      </c>
      <c r="O860" t="s">
        <v>4110</v>
      </c>
      <c r="P860" t="s">
        <v>49</v>
      </c>
      <c r="S860" t="s">
        <v>53</v>
      </c>
      <c r="T860" t="s">
        <v>118</v>
      </c>
      <c r="U860" t="s">
        <v>4112</v>
      </c>
      <c r="V860" t="s">
        <v>170</v>
      </c>
    </row>
    <row r="861" spans="1:22" x14ac:dyDescent="0.35">
      <c r="A861" t="s">
        <v>4113</v>
      </c>
      <c r="B861" t="s">
        <v>2740</v>
      </c>
      <c r="C861" t="s">
        <v>44</v>
      </c>
      <c r="D861" t="s">
        <v>44</v>
      </c>
      <c r="E861" t="s">
        <v>60</v>
      </c>
      <c r="F861" t="s">
        <v>173</v>
      </c>
      <c r="G861" t="s">
        <v>30</v>
      </c>
      <c r="H861" t="s">
        <v>45</v>
      </c>
      <c r="I861" t="s">
        <v>36</v>
      </c>
      <c r="K861" t="s">
        <v>2756</v>
      </c>
      <c r="L861" t="s">
        <v>38</v>
      </c>
      <c r="M861" t="s">
        <v>49</v>
      </c>
      <c r="N861" t="s">
        <v>48</v>
      </c>
      <c r="O861" t="s">
        <v>4114</v>
      </c>
      <c r="P861" t="s">
        <v>48</v>
      </c>
      <c r="S861" t="s">
        <v>53</v>
      </c>
      <c r="T861" t="s">
        <v>118</v>
      </c>
      <c r="U861" t="s">
        <v>4116</v>
      </c>
      <c r="V861" t="s">
        <v>91</v>
      </c>
    </row>
    <row r="862" spans="1:22" x14ac:dyDescent="0.35">
      <c r="A862" t="s">
        <v>4117</v>
      </c>
      <c r="B862" t="s">
        <v>2740</v>
      </c>
      <c r="C862" t="s">
        <v>60</v>
      </c>
      <c r="D862" t="s">
        <v>60</v>
      </c>
      <c r="E862" t="s">
        <v>73</v>
      </c>
      <c r="F862" t="s">
        <v>30</v>
      </c>
      <c r="G862" t="s">
        <v>30</v>
      </c>
      <c r="H862" t="s">
        <v>73</v>
      </c>
      <c r="I862" t="s">
        <v>36</v>
      </c>
      <c r="K862" t="s">
        <v>2756</v>
      </c>
      <c r="L862" t="s">
        <v>48</v>
      </c>
      <c r="M862" t="s">
        <v>48</v>
      </c>
      <c r="N862" t="s">
        <v>48</v>
      </c>
      <c r="O862" t="s">
        <v>4118</v>
      </c>
      <c r="P862" t="s">
        <v>48</v>
      </c>
      <c r="S862" t="s">
        <v>53</v>
      </c>
      <c r="T862" t="s">
        <v>127</v>
      </c>
      <c r="U862" t="s">
        <v>4120</v>
      </c>
      <c r="V862" t="s">
        <v>91</v>
      </c>
    </row>
    <row r="863" spans="1:22" x14ac:dyDescent="0.35">
      <c r="A863" t="s">
        <v>4121</v>
      </c>
      <c r="B863" t="s">
        <v>2740</v>
      </c>
      <c r="C863" t="s">
        <v>449</v>
      </c>
      <c r="D863" t="s">
        <v>33</v>
      </c>
      <c r="E863" t="s">
        <v>60</v>
      </c>
      <c r="F863" t="s">
        <v>173</v>
      </c>
      <c r="G863" t="s">
        <v>45</v>
      </c>
      <c r="H863" t="s">
        <v>45</v>
      </c>
      <c r="I863" t="s">
        <v>36</v>
      </c>
      <c r="K863" t="s">
        <v>2756</v>
      </c>
      <c r="L863" t="s">
        <v>49</v>
      </c>
      <c r="M863" t="s">
        <v>49</v>
      </c>
      <c r="N863" t="s">
        <v>48</v>
      </c>
      <c r="O863" t="s">
        <v>4122</v>
      </c>
      <c r="P863" t="s">
        <v>48</v>
      </c>
      <c r="S863" t="s">
        <v>53</v>
      </c>
      <c r="T863" t="s">
        <v>127</v>
      </c>
      <c r="U863" t="s">
        <v>4124</v>
      </c>
      <c r="V863" t="s">
        <v>91</v>
      </c>
    </row>
    <row r="864" spans="1:22" x14ac:dyDescent="0.35">
      <c r="A864" t="s">
        <v>4125</v>
      </c>
      <c r="B864" t="s">
        <v>2740</v>
      </c>
      <c r="C864" t="s">
        <v>44</v>
      </c>
      <c r="D864" t="s">
        <v>60</v>
      </c>
      <c r="E864" t="s">
        <v>60</v>
      </c>
      <c r="F864" t="s">
        <v>28</v>
      </c>
      <c r="G864" t="s">
        <v>173</v>
      </c>
      <c r="H864" t="s">
        <v>61</v>
      </c>
      <c r="I864" t="s">
        <v>36</v>
      </c>
      <c r="K864" t="s">
        <v>2635</v>
      </c>
      <c r="L864" t="s">
        <v>48</v>
      </c>
      <c r="M864" t="s">
        <v>49</v>
      </c>
      <c r="N864" t="s">
        <v>48</v>
      </c>
      <c r="O864" t="s">
        <v>4126</v>
      </c>
      <c r="P864" t="s">
        <v>48</v>
      </c>
      <c r="S864" t="s">
        <v>53</v>
      </c>
      <c r="T864" t="s">
        <v>127</v>
      </c>
      <c r="U864" t="s">
        <v>4128</v>
      </c>
      <c r="V864" t="s">
        <v>91</v>
      </c>
    </row>
    <row r="865" spans="1:22" x14ac:dyDescent="0.35">
      <c r="A865" t="s">
        <v>4129</v>
      </c>
      <c r="B865" t="s">
        <v>2740</v>
      </c>
      <c r="C865" t="s">
        <v>71</v>
      </c>
      <c r="D865" t="s">
        <v>60</v>
      </c>
      <c r="E865" t="s">
        <v>60</v>
      </c>
      <c r="F865" t="s">
        <v>103</v>
      </c>
      <c r="G865" t="s">
        <v>30</v>
      </c>
      <c r="H865" t="s">
        <v>292</v>
      </c>
      <c r="I865" t="s">
        <v>36</v>
      </c>
      <c r="K865" t="s">
        <v>4130</v>
      </c>
      <c r="L865" t="s">
        <v>48</v>
      </c>
      <c r="M865" t="s">
        <v>48</v>
      </c>
      <c r="N865" t="s">
        <v>49</v>
      </c>
      <c r="O865" t="s">
        <v>4131</v>
      </c>
      <c r="P865" t="s">
        <v>48</v>
      </c>
      <c r="S865" t="s">
        <v>53</v>
      </c>
      <c r="T865" t="s">
        <v>127</v>
      </c>
      <c r="U865" t="s">
        <v>4133</v>
      </c>
      <c r="V865" t="s">
        <v>91</v>
      </c>
    </row>
    <row r="866" spans="1:22" x14ac:dyDescent="0.35">
      <c r="A866" t="s">
        <v>4134</v>
      </c>
      <c r="B866" t="s">
        <v>1883</v>
      </c>
      <c r="C866" t="s">
        <v>33</v>
      </c>
      <c r="D866" t="s">
        <v>33</v>
      </c>
      <c r="E866" t="s">
        <v>28</v>
      </c>
      <c r="F866" t="s">
        <v>28</v>
      </c>
      <c r="G866" t="s">
        <v>28</v>
      </c>
      <c r="H866" t="s">
        <v>74</v>
      </c>
      <c r="I866" t="s">
        <v>46</v>
      </c>
      <c r="K866" t="s">
        <v>4135</v>
      </c>
      <c r="L866" t="s">
        <v>49</v>
      </c>
      <c r="M866" t="s">
        <v>38</v>
      </c>
      <c r="N866" t="s">
        <v>49</v>
      </c>
      <c r="O866" t="s">
        <v>3703</v>
      </c>
      <c r="P866" t="s">
        <v>38</v>
      </c>
      <c r="Q866" t="s">
        <v>3682</v>
      </c>
      <c r="R866" t="s">
        <v>3793</v>
      </c>
      <c r="S866" t="s">
        <v>53</v>
      </c>
      <c r="T866" t="s">
        <v>1788</v>
      </c>
      <c r="U866" t="s">
        <v>4137</v>
      </c>
      <c r="V866" t="s">
        <v>91</v>
      </c>
    </row>
    <row r="867" spans="1:22" x14ac:dyDescent="0.35">
      <c r="A867" t="s">
        <v>4138</v>
      </c>
      <c r="B867" t="s">
        <v>2155</v>
      </c>
      <c r="C867" t="s">
        <v>28</v>
      </c>
      <c r="D867" t="s">
        <v>33</v>
      </c>
      <c r="E867" t="s">
        <v>73</v>
      </c>
      <c r="F867" t="s">
        <v>34</v>
      </c>
      <c r="G867" t="s">
        <v>73</v>
      </c>
      <c r="H867" t="s">
        <v>28</v>
      </c>
      <c r="I867" t="s">
        <v>46</v>
      </c>
      <c r="K867" t="s">
        <v>4135</v>
      </c>
      <c r="L867" t="s">
        <v>38</v>
      </c>
      <c r="M867" t="s">
        <v>49</v>
      </c>
      <c r="N867" t="s">
        <v>38</v>
      </c>
      <c r="O867" t="s">
        <v>3703</v>
      </c>
      <c r="P867" t="s">
        <v>38</v>
      </c>
      <c r="Q867" t="s">
        <v>3682</v>
      </c>
      <c r="R867" t="s">
        <v>3793</v>
      </c>
      <c r="S867" t="s">
        <v>53</v>
      </c>
      <c r="T867" t="s">
        <v>1788</v>
      </c>
      <c r="U867" t="s">
        <v>4140</v>
      </c>
      <c r="V867" t="s">
        <v>91</v>
      </c>
    </row>
    <row r="868" spans="1:22" x14ac:dyDescent="0.35">
      <c r="A868" t="s">
        <v>4141</v>
      </c>
      <c r="B868" t="s">
        <v>4142</v>
      </c>
      <c r="C868" t="s">
        <v>29</v>
      </c>
      <c r="D868" t="s">
        <v>29</v>
      </c>
      <c r="E868" t="s">
        <v>29</v>
      </c>
      <c r="F868" t="s">
        <v>30</v>
      </c>
      <c r="G868" t="s">
        <v>30</v>
      </c>
      <c r="H868" t="s">
        <v>94</v>
      </c>
      <c r="I868" t="s">
        <v>36</v>
      </c>
      <c r="K868" t="s">
        <v>4143</v>
      </c>
      <c r="L868" t="s">
        <v>49</v>
      </c>
      <c r="M868" t="s">
        <v>49</v>
      </c>
      <c r="N868" t="s">
        <v>49</v>
      </c>
      <c r="O868" t="s">
        <v>4144</v>
      </c>
      <c r="P868" t="s">
        <v>49</v>
      </c>
      <c r="Q868" t="s">
        <v>4145</v>
      </c>
      <c r="R868" t="s">
        <v>4146</v>
      </c>
      <c r="S868" t="s">
        <v>87</v>
      </c>
      <c r="T868" t="s">
        <v>4148</v>
      </c>
      <c r="U868" t="s">
        <v>4149</v>
      </c>
      <c r="V868" t="s">
        <v>91</v>
      </c>
    </row>
    <row r="869" spans="1:22" x14ac:dyDescent="0.35">
      <c r="A869" t="s">
        <v>4150</v>
      </c>
      <c r="B869" t="s">
        <v>4151</v>
      </c>
      <c r="C869" t="s">
        <v>71</v>
      </c>
      <c r="D869" t="s">
        <v>33</v>
      </c>
      <c r="E869" t="s">
        <v>33</v>
      </c>
      <c r="F869" t="s">
        <v>34</v>
      </c>
      <c r="G869" t="s">
        <v>34</v>
      </c>
      <c r="H869" t="s">
        <v>73</v>
      </c>
      <c r="I869" t="s">
        <v>46</v>
      </c>
      <c r="K869" t="s">
        <v>4152</v>
      </c>
      <c r="L869" t="s">
        <v>48</v>
      </c>
      <c r="M869" t="s">
        <v>48</v>
      </c>
      <c r="N869" t="s">
        <v>48</v>
      </c>
      <c r="O869" t="s">
        <v>4153</v>
      </c>
      <c r="P869" t="s">
        <v>48</v>
      </c>
      <c r="Q869" t="s">
        <v>4153</v>
      </c>
      <c r="R869" t="s">
        <v>4154</v>
      </c>
      <c r="S869" t="s">
        <v>65</v>
      </c>
      <c r="T869" t="s">
        <v>4148</v>
      </c>
      <c r="U869" t="s">
        <v>4156</v>
      </c>
      <c r="V869" t="s">
        <v>91</v>
      </c>
    </row>
    <row r="870" spans="1:22" x14ac:dyDescent="0.35">
      <c r="A870" t="s">
        <v>4157</v>
      </c>
      <c r="B870" t="s">
        <v>2155</v>
      </c>
      <c r="C870" t="s">
        <v>71</v>
      </c>
      <c r="D870" t="s">
        <v>33</v>
      </c>
      <c r="E870" t="s">
        <v>28</v>
      </c>
      <c r="F870" t="s">
        <v>34</v>
      </c>
      <c r="G870" t="s">
        <v>34</v>
      </c>
      <c r="H870" t="s">
        <v>28</v>
      </c>
      <c r="I870" t="s">
        <v>46</v>
      </c>
      <c r="K870" t="s">
        <v>4135</v>
      </c>
      <c r="L870" t="s">
        <v>38</v>
      </c>
      <c r="M870" t="s">
        <v>38</v>
      </c>
      <c r="N870" t="s">
        <v>49</v>
      </c>
      <c r="O870" t="s">
        <v>3703</v>
      </c>
      <c r="P870" t="s">
        <v>38</v>
      </c>
      <c r="Q870" t="s">
        <v>3682</v>
      </c>
      <c r="R870" t="s">
        <v>4158</v>
      </c>
      <c r="S870" t="s">
        <v>53</v>
      </c>
      <c r="T870" t="s">
        <v>1788</v>
      </c>
      <c r="U870" t="s">
        <v>4160</v>
      </c>
      <c r="V870" t="s">
        <v>91</v>
      </c>
    </row>
    <row r="871" spans="1:22" x14ac:dyDescent="0.35">
      <c r="A871" t="s">
        <v>4161</v>
      </c>
      <c r="B871" t="s">
        <v>4162</v>
      </c>
      <c r="C871" t="s">
        <v>29</v>
      </c>
      <c r="D871" t="s">
        <v>29</v>
      </c>
      <c r="E871" t="s">
        <v>206</v>
      </c>
      <c r="F871" t="s">
        <v>30</v>
      </c>
      <c r="G871" t="s">
        <v>94</v>
      </c>
      <c r="H871" t="s">
        <v>94</v>
      </c>
      <c r="I871" t="s">
        <v>46</v>
      </c>
      <c r="K871" t="s">
        <v>4163</v>
      </c>
      <c r="L871" t="s">
        <v>38</v>
      </c>
      <c r="M871" t="s">
        <v>38</v>
      </c>
      <c r="N871" t="s">
        <v>38</v>
      </c>
      <c r="O871" t="s">
        <v>4164</v>
      </c>
      <c r="P871" t="s">
        <v>38</v>
      </c>
      <c r="Q871" t="s">
        <v>4165</v>
      </c>
      <c r="R871" t="s">
        <v>4166</v>
      </c>
      <c r="S871" t="s">
        <v>87</v>
      </c>
      <c r="T871" t="s">
        <v>4148</v>
      </c>
      <c r="U871" t="s">
        <v>4167</v>
      </c>
      <c r="V871" t="s">
        <v>129</v>
      </c>
    </row>
    <row r="872" spans="1:22" x14ac:dyDescent="0.35">
      <c r="A872" t="s">
        <v>4168</v>
      </c>
      <c r="B872" t="s">
        <v>4169</v>
      </c>
      <c r="C872" t="s">
        <v>28</v>
      </c>
      <c r="D872" t="s">
        <v>28</v>
      </c>
      <c r="E872" t="s">
        <v>28</v>
      </c>
      <c r="F872" t="s">
        <v>28</v>
      </c>
      <c r="G872" t="s">
        <v>28</v>
      </c>
      <c r="H872" t="s">
        <v>28</v>
      </c>
      <c r="I872" t="s">
        <v>46</v>
      </c>
      <c r="K872" t="s">
        <v>4170</v>
      </c>
      <c r="L872" t="s">
        <v>49</v>
      </c>
      <c r="M872" t="s">
        <v>49</v>
      </c>
      <c r="N872" t="s">
        <v>49</v>
      </c>
      <c r="O872" t="s">
        <v>4171</v>
      </c>
      <c r="P872" t="s">
        <v>49</v>
      </c>
      <c r="Q872" t="s">
        <v>4172</v>
      </c>
      <c r="R872" t="s">
        <v>4173</v>
      </c>
      <c r="S872" t="s">
        <v>79</v>
      </c>
      <c r="T872" t="s">
        <v>4148</v>
      </c>
      <c r="U872" t="s">
        <v>4175</v>
      </c>
      <c r="V872" t="s">
        <v>91</v>
      </c>
    </row>
    <row r="873" spans="1:22" x14ac:dyDescent="0.35">
      <c r="A873" t="s">
        <v>4176</v>
      </c>
      <c r="B873" t="s">
        <v>2155</v>
      </c>
      <c r="C873" t="s">
        <v>29</v>
      </c>
      <c r="D873" t="s">
        <v>28</v>
      </c>
      <c r="E873" t="s">
        <v>29</v>
      </c>
      <c r="F873" t="s">
        <v>30</v>
      </c>
      <c r="G873" t="s">
        <v>34</v>
      </c>
      <c r="H873" t="s">
        <v>61</v>
      </c>
      <c r="I873" t="s">
        <v>46</v>
      </c>
      <c r="K873" t="s">
        <v>4135</v>
      </c>
      <c r="L873" t="s">
        <v>38</v>
      </c>
      <c r="M873" t="s">
        <v>38</v>
      </c>
      <c r="N873" t="s">
        <v>38</v>
      </c>
      <c r="O873" t="s">
        <v>3703</v>
      </c>
      <c r="P873" t="s">
        <v>38</v>
      </c>
      <c r="Q873" t="s">
        <v>3682</v>
      </c>
      <c r="R873" t="s">
        <v>3793</v>
      </c>
      <c r="S873" t="s">
        <v>53</v>
      </c>
      <c r="T873" t="s">
        <v>1788</v>
      </c>
      <c r="U873" t="s">
        <v>4178</v>
      </c>
      <c r="V873" t="s">
        <v>91</v>
      </c>
    </row>
    <row r="874" spans="1:22" x14ac:dyDescent="0.35">
      <c r="A874" t="s">
        <v>4179</v>
      </c>
      <c r="B874" t="s">
        <v>1320</v>
      </c>
      <c r="C874" t="s">
        <v>344</v>
      </c>
      <c r="D874" t="s">
        <v>29</v>
      </c>
      <c r="E874" t="s">
        <v>206</v>
      </c>
      <c r="F874" t="s">
        <v>30</v>
      </c>
      <c r="G874" t="s">
        <v>30</v>
      </c>
      <c r="H874" t="s">
        <v>61</v>
      </c>
      <c r="I874" t="s">
        <v>46</v>
      </c>
      <c r="K874" t="s">
        <v>4180</v>
      </c>
      <c r="L874" t="s">
        <v>49</v>
      </c>
      <c r="M874" t="s">
        <v>49</v>
      </c>
      <c r="N874" t="s">
        <v>49</v>
      </c>
      <c r="O874" t="s">
        <v>4181</v>
      </c>
      <c r="P874" t="s">
        <v>49</v>
      </c>
      <c r="Q874" t="s">
        <v>4182</v>
      </c>
      <c r="R874" t="s">
        <v>4183</v>
      </c>
      <c r="S874" t="s">
        <v>87</v>
      </c>
      <c r="T874" t="s">
        <v>4148</v>
      </c>
      <c r="U874" t="s">
        <v>1532</v>
      </c>
      <c r="V874" t="s">
        <v>91</v>
      </c>
    </row>
    <row r="875" spans="1:22" x14ac:dyDescent="0.35">
      <c r="A875" t="s">
        <v>4185</v>
      </c>
      <c r="B875" t="s">
        <v>2155</v>
      </c>
      <c r="C875" t="s">
        <v>60</v>
      </c>
      <c r="D875" t="s">
        <v>29</v>
      </c>
      <c r="E875" t="s">
        <v>44</v>
      </c>
      <c r="F875" t="s">
        <v>34</v>
      </c>
      <c r="G875" t="s">
        <v>34</v>
      </c>
      <c r="H875" t="s">
        <v>94</v>
      </c>
      <c r="I875" t="s">
        <v>46</v>
      </c>
      <c r="K875" t="s">
        <v>4135</v>
      </c>
      <c r="L875" t="s">
        <v>38</v>
      </c>
      <c r="M875" t="s">
        <v>38</v>
      </c>
      <c r="N875" t="s">
        <v>38</v>
      </c>
      <c r="O875" t="s">
        <v>3703</v>
      </c>
      <c r="P875" t="s">
        <v>38</v>
      </c>
      <c r="Q875" t="s">
        <v>3682</v>
      </c>
      <c r="R875" t="s">
        <v>3793</v>
      </c>
      <c r="S875" t="s">
        <v>53</v>
      </c>
      <c r="T875" t="s">
        <v>1788</v>
      </c>
      <c r="U875" t="s">
        <v>4187</v>
      </c>
      <c r="V875" t="s">
        <v>91</v>
      </c>
    </row>
    <row r="876" spans="1:22" x14ac:dyDescent="0.35">
      <c r="A876" t="s">
        <v>4188</v>
      </c>
      <c r="B876" t="s">
        <v>4189</v>
      </c>
      <c r="C876" t="s">
        <v>28</v>
      </c>
      <c r="D876" t="s">
        <v>28</v>
      </c>
      <c r="E876" t="s">
        <v>28</v>
      </c>
      <c r="F876" t="s">
        <v>28</v>
      </c>
      <c r="G876" t="s">
        <v>28</v>
      </c>
      <c r="H876" t="s">
        <v>28</v>
      </c>
      <c r="I876" t="s">
        <v>46</v>
      </c>
      <c r="K876" t="s">
        <v>4190</v>
      </c>
      <c r="L876" t="s">
        <v>49</v>
      </c>
      <c r="M876" t="s">
        <v>48</v>
      </c>
      <c r="N876" t="s">
        <v>48</v>
      </c>
      <c r="O876" t="s">
        <v>4191</v>
      </c>
      <c r="P876" t="s">
        <v>48</v>
      </c>
      <c r="Q876" t="s">
        <v>4192</v>
      </c>
      <c r="R876" t="s">
        <v>4193</v>
      </c>
      <c r="S876" t="s">
        <v>79</v>
      </c>
      <c r="T876" t="s">
        <v>4148</v>
      </c>
      <c r="U876" t="s">
        <v>4195</v>
      </c>
      <c r="V876" t="s">
        <v>57</v>
      </c>
    </row>
    <row r="877" spans="1:22" x14ac:dyDescent="0.35">
      <c r="A877" t="s">
        <v>4196</v>
      </c>
      <c r="B877" t="s">
        <v>2155</v>
      </c>
      <c r="C877" t="s">
        <v>29</v>
      </c>
      <c r="D877" t="s">
        <v>28</v>
      </c>
      <c r="E877" t="s">
        <v>29</v>
      </c>
      <c r="F877" t="s">
        <v>30</v>
      </c>
      <c r="G877" t="s">
        <v>30</v>
      </c>
      <c r="H877" t="s">
        <v>28</v>
      </c>
      <c r="I877" t="s">
        <v>46</v>
      </c>
      <c r="K877" t="s">
        <v>4135</v>
      </c>
      <c r="L877" t="s">
        <v>38</v>
      </c>
      <c r="M877" t="s">
        <v>49</v>
      </c>
      <c r="N877" t="s">
        <v>38</v>
      </c>
      <c r="O877" t="s">
        <v>3703</v>
      </c>
      <c r="P877" t="s">
        <v>49</v>
      </c>
      <c r="Q877" t="s">
        <v>3682</v>
      </c>
      <c r="R877" t="s">
        <v>3801</v>
      </c>
      <c r="S877" t="s">
        <v>53</v>
      </c>
      <c r="T877" t="s">
        <v>1788</v>
      </c>
      <c r="U877" t="s">
        <v>4198</v>
      </c>
      <c r="V877" t="s">
        <v>91</v>
      </c>
    </row>
    <row r="878" spans="1:22" x14ac:dyDescent="0.35">
      <c r="A878" t="s">
        <v>4199</v>
      </c>
      <c r="B878" t="s">
        <v>2155</v>
      </c>
      <c r="C878" t="s">
        <v>29</v>
      </c>
      <c r="D878" t="s">
        <v>44</v>
      </c>
      <c r="E878" t="s">
        <v>33</v>
      </c>
      <c r="F878" t="s">
        <v>34</v>
      </c>
      <c r="G878" t="s">
        <v>34</v>
      </c>
      <c r="H878" t="s">
        <v>28</v>
      </c>
      <c r="I878" t="s">
        <v>46</v>
      </c>
      <c r="K878" t="s">
        <v>4135</v>
      </c>
      <c r="L878" t="s">
        <v>38</v>
      </c>
      <c r="M878" t="s">
        <v>49</v>
      </c>
      <c r="N878" t="s">
        <v>49</v>
      </c>
      <c r="O878" t="s">
        <v>3703</v>
      </c>
      <c r="P878" t="s">
        <v>48</v>
      </c>
      <c r="Q878" t="s">
        <v>3682</v>
      </c>
      <c r="R878" t="s">
        <v>3793</v>
      </c>
      <c r="S878" t="s">
        <v>53</v>
      </c>
      <c r="T878" t="s">
        <v>4201</v>
      </c>
      <c r="U878" t="s">
        <v>4202</v>
      </c>
      <c r="V878" t="s">
        <v>91</v>
      </c>
    </row>
    <row r="879" spans="1:22" x14ac:dyDescent="0.35">
      <c r="A879" t="s">
        <v>4203</v>
      </c>
      <c r="B879" t="s">
        <v>2155</v>
      </c>
      <c r="C879" t="s">
        <v>33</v>
      </c>
      <c r="D879" t="s">
        <v>33</v>
      </c>
      <c r="E879" t="s">
        <v>28</v>
      </c>
      <c r="F879" t="s">
        <v>34</v>
      </c>
      <c r="G879" t="s">
        <v>34</v>
      </c>
      <c r="H879" t="s">
        <v>28</v>
      </c>
      <c r="I879" t="s">
        <v>36</v>
      </c>
      <c r="K879" t="s">
        <v>4135</v>
      </c>
      <c r="L879" t="s">
        <v>49</v>
      </c>
      <c r="M879" t="s">
        <v>38</v>
      </c>
      <c r="N879" t="s">
        <v>49</v>
      </c>
      <c r="O879" t="s">
        <v>3703</v>
      </c>
      <c r="P879" t="s">
        <v>38</v>
      </c>
      <c r="Q879" t="s">
        <v>3682</v>
      </c>
      <c r="R879" t="s">
        <v>3793</v>
      </c>
      <c r="S879" t="s">
        <v>53</v>
      </c>
      <c r="T879" t="s">
        <v>4201</v>
      </c>
      <c r="U879" t="s">
        <v>4205</v>
      </c>
      <c r="V879" t="s">
        <v>91</v>
      </c>
    </row>
    <row r="880" spans="1:22" x14ac:dyDescent="0.35">
      <c r="A880" t="s">
        <v>4206</v>
      </c>
      <c r="B880" t="s">
        <v>2155</v>
      </c>
      <c r="C880" t="s">
        <v>33</v>
      </c>
      <c r="D880" t="s">
        <v>33</v>
      </c>
      <c r="E880" t="s">
        <v>33</v>
      </c>
      <c r="F880" t="s">
        <v>34</v>
      </c>
      <c r="G880" t="s">
        <v>34</v>
      </c>
      <c r="H880" t="s">
        <v>74</v>
      </c>
      <c r="I880" t="s">
        <v>36</v>
      </c>
      <c r="K880" t="s">
        <v>4135</v>
      </c>
      <c r="L880" t="s">
        <v>38</v>
      </c>
      <c r="M880" t="s">
        <v>38</v>
      </c>
      <c r="N880" t="s">
        <v>38</v>
      </c>
      <c r="O880" t="s">
        <v>3703</v>
      </c>
      <c r="P880" t="s">
        <v>38</v>
      </c>
      <c r="Q880" t="s">
        <v>3682</v>
      </c>
      <c r="R880" t="s">
        <v>3793</v>
      </c>
      <c r="S880" t="s">
        <v>79</v>
      </c>
      <c r="T880" t="s">
        <v>4201</v>
      </c>
      <c r="U880" t="s">
        <v>4208</v>
      </c>
      <c r="V880" t="s">
        <v>91</v>
      </c>
    </row>
    <row r="881" spans="1:22" x14ac:dyDescent="0.35">
      <c r="A881" t="s">
        <v>4209</v>
      </c>
      <c r="B881" t="s">
        <v>4210</v>
      </c>
      <c r="C881" t="s">
        <v>29</v>
      </c>
      <c r="D881" t="s">
        <v>29</v>
      </c>
      <c r="E881" t="s">
        <v>29</v>
      </c>
      <c r="F881" t="s">
        <v>30</v>
      </c>
      <c r="G881" t="s">
        <v>30</v>
      </c>
      <c r="H881" t="s">
        <v>94</v>
      </c>
      <c r="I881" t="s">
        <v>36</v>
      </c>
      <c r="K881" t="s">
        <v>4211</v>
      </c>
      <c r="L881" t="s">
        <v>49</v>
      </c>
      <c r="M881" t="s">
        <v>49</v>
      </c>
      <c r="N881" t="s">
        <v>49</v>
      </c>
      <c r="O881" t="s">
        <v>4212</v>
      </c>
      <c r="P881" t="s">
        <v>49</v>
      </c>
      <c r="Q881" t="s">
        <v>4213</v>
      </c>
      <c r="R881" t="s">
        <v>4214</v>
      </c>
      <c r="S881" t="s">
        <v>135</v>
      </c>
      <c r="T881" t="s">
        <v>4216</v>
      </c>
      <c r="U881" t="s">
        <v>1440</v>
      </c>
      <c r="V881" t="s">
        <v>91</v>
      </c>
    </row>
    <row r="882" spans="1:22" x14ac:dyDescent="0.35">
      <c r="A882" t="s">
        <v>4217</v>
      </c>
      <c r="B882" t="s">
        <v>4218</v>
      </c>
      <c r="C882" t="s">
        <v>28</v>
      </c>
      <c r="D882" t="s">
        <v>28</v>
      </c>
      <c r="E882" t="s">
        <v>28</v>
      </c>
      <c r="F882" t="s">
        <v>28</v>
      </c>
      <c r="G882" t="s">
        <v>28</v>
      </c>
      <c r="H882" t="s">
        <v>28</v>
      </c>
      <c r="I882" t="s">
        <v>46</v>
      </c>
      <c r="K882" t="s">
        <v>4219</v>
      </c>
      <c r="L882" t="s">
        <v>49</v>
      </c>
      <c r="M882" t="s">
        <v>48</v>
      </c>
      <c r="N882" t="s">
        <v>48</v>
      </c>
      <c r="O882" t="s">
        <v>4220</v>
      </c>
      <c r="P882" t="s">
        <v>49</v>
      </c>
      <c r="Q882" t="s">
        <v>4221</v>
      </c>
      <c r="R882" t="s">
        <v>4222</v>
      </c>
      <c r="S882" t="s">
        <v>135</v>
      </c>
      <c r="T882" t="s">
        <v>2042</v>
      </c>
      <c r="U882" t="s">
        <v>1235</v>
      </c>
      <c r="V882" t="s">
        <v>170</v>
      </c>
    </row>
    <row r="883" spans="1:22" x14ac:dyDescent="0.35">
      <c r="A883" t="s">
        <v>4224</v>
      </c>
      <c r="B883" t="s">
        <v>4225</v>
      </c>
      <c r="C883" t="s">
        <v>344</v>
      </c>
      <c r="D883" t="s">
        <v>196</v>
      </c>
      <c r="E883" t="s">
        <v>29</v>
      </c>
      <c r="F883" t="s">
        <v>196</v>
      </c>
      <c r="G883" t="s">
        <v>94</v>
      </c>
      <c r="H883" t="s">
        <v>61</v>
      </c>
      <c r="I883" t="s">
        <v>36</v>
      </c>
      <c r="K883" t="s">
        <v>4226</v>
      </c>
      <c r="L883" t="s">
        <v>49</v>
      </c>
      <c r="M883" t="s">
        <v>49</v>
      </c>
      <c r="N883" t="s">
        <v>48</v>
      </c>
      <c r="O883" t="s">
        <v>4227</v>
      </c>
      <c r="P883" t="s">
        <v>48</v>
      </c>
      <c r="Q883" t="s">
        <v>4228</v>
      </c>
      <c r="R883" t="s">
        <v>4229</v>
      </c>
      <c r="S883" t="s">
        <v>87</v>
      </c>
      <c r="T883" t="s">
        <v>2042</v>
      </c>
      <c r="U883" t="s">
        <v>647</v>
      </c>
      <c r="V883" t="s">
        <v>129</v>
      </c>
    </row>
    <row r="884" spans="1:22" x14ac:dyDescent="0.35">
      <c r="A884" t="s">
        <v>4231</v>
      </c>
      <c r="B884" t="s">
        <v>1112</v>
      </c>
      <c r="C884" t="s">
        <v>28</v>
      </c>
      <c r="D884" t="s">
        <v>28</v>
      </c>
      <c r="E884" t="s">
        <v>28</v>
      </c>
      <c r="F884" t="s">
        <v>28</v>
      </c>
      <c r="G884" t="s">
        <v>28</v>
      </c>
      <c r="H884" t="s">
        <v>28</v>
      </c>
      <c r="I884" t="s">
        <v>46</v>
      </c>
      <c r="K884" t="s">
        <v>4232</v>
      </c>
      <c r="L884" t="s">
        <v>49</v>
      </c>
      <c r="M884" t="s">
        <v>49</v>
      </c>
      <c r="N884" t="s">
        <v>49</v>
      </c>
      <c r="O884" t="s">
        <v>4233</v>
      </c>
      <c r="P884" t="s">
        <v>49</v>
      </c>
      <c r="Q884" t="s">
        <v>4234</v>
      </c>
      <c r="R884" t="s">
        <v>4235</v>
      </c>
      <c r="S884" t="s">
        <v>87</v>
      </c>
      <c r="T884" t="s">
        <v>2042</v>
      </c>
      <c r="U884" t="s">
        <v>1235</v>
      </c>
      <c r="V884" t="s">
        <v>129</v>
      </c>
    </row>
    <row r="885" spans="1:22" x14ac:dyDescent="0.35">
      <c r="A885" t="s">
        <v>4237</v>
      </c>
      <c r="B885" t="s">
        <v>4238</v>
      </c>
      <c r="C885" t="s">
        <v>71</v>
      </c>
      <c r="D885" t="s">
        <v>72</v>
      </c>
      <c r="E885" t="s">
        <v>33</v>
      </c>
      <c r="F885" t="s">
        <v>72</v>
      </c>
      <c r="G885" t="s">
        <v>73</v>
      </c>
      <c r="H885" t="s">
        <v>74</v>
      </c>
      <c r="I885" t="s">
        <v>36</v>
      </c>
      <c r="K885" t="s">
        <v>4239</v>
      </c>
      <c r="L885" t="s">
        <v>48</v>
      </c>
      <c r="M885" t="s">
        <v>48</v>
      </c>
      <c r="N885" t="s">
        <v>48</v>
      </c>
      <c r="O885" t="s">
        <v>4240</v>
      </c>
      <c r="P885" t="s">
        <v>48</v>
      </c>
      <c r="Q885" t="s">
        <v>4241</v>
      </c>
      <c r="R885" t="s">
        <v>4242</v>
      </c>
      <c r="S885" t="s">
        <v>53</v>
      </c>
      <c r="T885" t="s">
        <v>2042</v>
      </c>
      <c r="U885" t="s">
        <v>759</v>
      </c>
      <c r="V885" t="s">
        <v>91</v>
      </c>
    </row>
    <row r="886" spans="1:22" x14ac:dyDescent="0.35">
      <c r="A886" t="s">
        <v>4244</v>
      </c>
      <c r="B886" t="s">
        <v>4245</v>
      </c>
      <c r="C886" t="s">
        <v>71</v>
      </c>
      <c r="D886" t="s">
        <v>72</v>
      </c>
      <c r="E886" t="s">
        <v>73</v>
      </c>
      <c r="F886" t="s">
        <v>72</v>
      </c>
      <c r="G886" t="s">
        <v>73</v>
      </c>
      <c r="H886" t="s">
        <v>73</v>
      </c>
      <c r="I886" t="s">
        <v>46</v>
      </c>
      <c r="K886" t="s">
        <v>2093</v>
      </c>
      <c r="L886" t="s">
        <v>48</v>
      </c>
      <c r="M886" t="s">
        <v>48</v>
      </c>
      <c r="N886" t="s">
        <v>48</v>
      </c>
      <c r="O886" t="s">
        <v>4246</v>
      </c>
      <c r="P886" t="s">
        <v>48</v>
      </c>
      <c r="Q886" t="s">
        <v>4247</v>
      </c>
      <c r="R886" t="s">
        <v>4248</v>
      </c>
      <c r="S886" t="s">
        <v>53</v>
      </c>
      <c r="T886" t="s">
        <v>2042</v>
      </c>
      <c r="U886" t="s">
        <v>4250</v>
      </c>
      <c r="V886" t="s">
        <v>91</v>
      </c>
    </row>
    <row r="887" spans="1:22" x14ac:dyDescent="0.35">
      <c r="A887" t="s">
        <v>4251</v>
      </c>
      <c r="B887" t="s">
        <v>4252</v>
      </c>
      <c r="C887" t="s">
        <v>28</v>
      </c>
      <c r="D887" t="s">
        <v>28</v>
      </c>
      <c r="E887" t="s">
        <v>28</v>
      </c>
      <c r="F887" t="s">
        <v>28</v>
      </c>
      <c r="G887" t="s">
        <v>28</v>
      </c>
      <c r="H887" t="s">
        <v>28</v>
      </c>
      <c r="I887" t="s">
        <v>36</v>
      </c>
      <c r="K887" t="s">
        <v>4219</v>
      </c>
      <c r="L887" t="s">
        <v>49</v>
      </c>
      <c r="M887" t="s">
        <v>49</v>
      </c>
      <c r="N887" t="s">
        <v>49</v>
      </c>
      <c r="O887" t="s">
        <v>4253</v>
      </c>
      <c r="P887" t="s">
        <v>49</v>
      </c>
      <c r="Q887" t="s">
        <v>4254</v>
      </c>
      <c r="R887" t="s">
        <v>4255</v>
      </c>
      <c r="S887" t="s">
        <v>53</v>
      </c>
      <c r="T887" t="s">
        <v>2042</v>
      </c>
      <c r="U887" t="s">
        <v>1235</v>
      </c>
      <c r="V887" t="s">
        <v>170</v>
      </c>
    </row>
    <row r="888" spans="1:22" x14ac:dyDescent="0.35">
      <c r="A888" t="s">
        <v>4257</v>
      </c>
      <c r="B888" t="s">
        <v>4258</v>
      </c>
      <c r="C888" t="s">
        <v>29</v>
      </c>
      <c r="D888" t="s">
        <v>29</v>
      </c>
      <c r="E888" t="s">
        <v>206</v>
      </c>
      <c r="F888" t="s">
        <v>30</v>
      </c>
      <c r="G888" t="s">
        <v>94</v>
      </c>
      <c r="H888" t="s">
        <v>94</v>
      </c>
      <c r="I888" t="s">
        <v>46</v>
      </c>
      <c r="K888" t="s">
        <v>4259</v>
      </c>
      <c r="L888" t="s">
        <v>49</v>
      </c>
      <c r="M888" t="s">
        <v>48</v>
      </c>
      <c r="N888" t="s">
        <v>49</v>
      </c>
      <c r="O888" t="s">
        <v>4260</v>
      </c>
      <c r="P888" t="s">
        <v>48</v>
      </c>
      <c r="Q888" t="s">
        <v>4261</v>
      </c>
      <c r="R888" t="s">
        <v>4262</v>
      </c>
      <c r="S888" t="s">
        <v>53</v>
      </c>
      <c r="T888" t="s">
        <v>2042</v>
      </c>
      <c r="U888" t="s">
        <v>694</v>
      </c>
      <c r="V888" t="s">
        <v>129</v>
      </c>
    </row>
    <row r="889" spans="1:22" x14ac:dyDescent="0.35">
      <c r="A889" t="s">
        <v>4264</v>
      </c>
      <c r="B889" t="s">
        <v>4265</v>
      </c>
      <c r="C889" t="s">
        <v>28</v>
      </c>
      <c r="D889" t="s">
        <v>28</v>
      </c>
      <c r="E889" t="s">
        <v>28</v>
      </c>
      <c r="F889" t="s">
        <v>28</v>
      </c>
      <c r="G889" t="s">
        <v>28</v>
      </c>
      <c r="H889" t="s">
        <v>28</v>
      </c>
      <c r="I889" t="s">
        <v>36</v>
      </c>
      <c r="K889" t="s">
        <v>4226</v>
      </c>
      <c r="L889" t="s">
        <v>49</v>
      </c>
      <c r="M889" t="s">
        <v>49</v>
      </c>
      <c r="N889" t="s">
        <v>49</v>
      </c>
      <c r="O889" t="s">
        <v>4266</v>
      </c>
      <c r="P889" t="s">
        <v>49</v>
      </c>
      <c r="Q889" t="s">
        <v>4267</v>
      </c>
      <c r="R889" t="s">
        <v>4268</v>
      </c>
      <c r="S889" t="s">
        <v>79</v>
      </c>
      <c r="T889" t="s">
        <v>2042</v>
      </c>
      <c r="U889" t="s">
        <v>1235</v>
      </c>
      <c r="V889" t="s">
        <v>91</v>
      </c>
    </row>
    <row r="890" spans="1:22" x14ac:dyDescent="0.35">
      <c r="A890" t="s">
        <v>4270</v>
      </c>
      <c r="B890" t="s">
        <v>1041</v>
      </c>
      <c r="C890" t="s">
        <v>344</v>
      </c>
      <c r="D890" t="s">
        <v>29</v>
      </c>
      <c r="E890" t="s">
        <v>206</v>
      </c>
      <c r="F890" t="s">
        <v>30</v>
      </c>
      <c r="G890" t="s">
        <v>94</v>
      </c>
      <c r="H890" t="s">
        <v>61</v>
      </c>
      <c r="I890" t="s">
        <v>46</v>
      </c>
      <c r="K890" t="s">
        <v>4211</v>
      </c>
      <c r="L890" t="s">
        <v>49</v>
      </c>
      <c r="M890" t="s">
        <v>48</v>
      </c>
      <c r="N890" t="s">
        <v>48</v>
      </c>
      <c r="O890" t="s">
        <v>4271</v>
      </c>
      <c r="P890" t="s">
        <v>49</v>
      </c>
      <c r="Q890" t="s">
        <v>4272</v>
      </c>
      <c r="R890" t="s">
        <v>4273</v>
      </c>
      <c r="S890" t="s">
        <v>79</v>
      </c>
      <c r="T890" t="s">
        <v>2042</v>
      </c>
      <c r="U890" t="s">
        <v>4275</v>
      </c>
      <c r="V890" t="s">
        <v>91</v>
      </c>
    </row>
    <row r="891" spans="1:22" x14ac:dyDescent="0.35">
      <c r="A891" t="s">
        <v>4276</v>
      </c>
      <c r="B891" t="s">
        <v>4277</v>
      </c>
      <c r="C891" t="s">
        <v>29</v>
      </c>
      <c r="D891" t="s">
        <v>196</v>
      </c>
      <c r="E891" t="s">
        <v>29</v>
      </c>
      <c r="F891" t="s">
        <v>196</v>
      </c>
      <c r="G891" t="s">
        <v>30</v>
      </c>
      <c r="H891" t="s">
        <v>94</v>
      </c>
      <c r="I891" t="s">
        <v>36</v>
      </c>
      <c r="K891" t="s">
        <v>4232</v>
      </c>
      <c r="L891" t="s">
        <v>49</v>
      </c>
      <c r="M891" t="s">
        <v>49</v>
      </c>
      <c r="N891" t="s">
        <v>48</v>
      </c>
      <c r="O891" t="s">
        <v>4278</v>
      </c>
      <c r="P891" t="s">
        <v>48</v>
      </c>
      <c r="Q891" t="s">
        <v>4279</v>
      </c>
      <c r="R891" t="s">
        <v>4280</v>
      </c>
      <c r="S891" t="s">
        <v>79</v>
      </c>
      <c r="T891" t="s">
        <v>2042</v>
      </c>
      <c r="U891" t="s">
        <v>1235</v>
      </c>
      <c r="V891" t="s">
        <v>129</v>
      </c>
    </row>
    <row r="892" spans="1:22" x14ac:dyDescent="0.35">
      <c r="A892" t="s">
        <v>4282</v>
      </c>
      <c r="B892" t="s">
        <v>4283</v>
      </c>
      <c r="C892" t="s">
        <v>28</v>
      </c>
      <c r="D892" t="s">
        <v>28</v>
      </c>
      <c r="E892" t="s">
        <v>28</v>
      </c>
      <c r="F892" t="s">
        <v>28</v>
      </c>
      <c r="G892" t="s">
        <v>28</v>
      </c>
      <c r="H892" t="s">
        <v>28</v>
      </c>
      <c r="I892" t="s">
        <v>46</v>
      </c>
      <c r="K892" t="s">
        <v>2093</v>
      </c>
      <c r="L892" t="s">
        <v>48</v>
      </c>
      <c r="M892" t="s">
        <v>48</v>
      </c>
      <c r="N892" t="s">
        <v>48</v>
      </c>
      <c r="O892" t="s">
        <v>4284</v>
      </c>
      <c r="P892" t="s">
        <v>48</v>
      </c>
      <c r="Q892" t="s">
        <v>4285</v>
      </c>
      <c r="R892" t="s">
        <v>4286</v>
      </c>
      <c r="S892" t="s">
        <v>79</v>
      </c>
      <c r="T892" t="s">
        <v>2042</v>
      </c>
      <c r="U892" t="s">
        <v>4288</v>
      </c>
      <c r="V892" t="s">
        <v>91</v>
      </c>
    </row>
    <row r="893" spans="1:22" x14ac:dyDescent="0.35">
      <c r="A893" t="s">
        <v>4289</v>
      </c>
      <c r="B893" t="s">
        <v>4290</v>
      </c>
      <c r="C893" t="s">
        <v>28</v>
      </c>
      <c r="D893" t="s">
        <v>28</v>
      </c>
      <c r="E893" t="s">
        <v>28</v>
      </c>
      <c r="F893" t="s">
        <v>28</v>
      </c>
      <c r="G893" t="s">
        <v>28</v>
      </c>
      <c r="H893" t="s">
        <v>28</v>
      </c>
      <c r="I893" t="s">
        <v>36</v>
      </c>
      <c r="K893" t="s">
        <v>4219</v>
      </c>
      <c r="L893" t="s">
        <v>49</v>
      </c>
      <c r="M893" t="s">
        <v>49</v>
      </c>
      <c r="N893" t="s">
        <v>48</v>
      </c>
      <c r="O893" t="s">
        <v>4291</v>
      </c>
      <c r="P893" t="s">
        <v>48</v>
      </c>
      <c r="Q893" t="s">
        <v>4292</v>
      </c>
      <c r="R893" t="s">
        <v>4293</v>
      </c>
      <c r="S893" t="s">
        <v>79</v>
      </c>
      <c r="T893" t="s">
        <v>2042</v>
      </c>
      <c r="U893" t="s">
        <v>1235</v>
      </c>
      <c r="V893" t="s">
        <v>91</v>
      </c>
    </row>
    <row r="894" spans="1:22" x14ac:dyDescent="0.35">
      <c r="A894" t="s">
        <v>4295</v>
      </c>
      <c r="B894" t="s">
        <v>4296</v>
      </c>
      <c r="C894" t="s">
        <v>71</v>
      </c>
      <c r="D894" t="s">
        <v>33</v>
      </c>
      <c r="E894" t="s">
        <v>73</v>
      </c>
      <c r="F894" t="s">
        <v>34</v>
      </c>
      <c r="G894" t="s">
        <v>34</v>
      </c>
      <c r="H894" t="s">
        <v>73</v>
      </c>
      <c r="I894" t="s">
        <v>46</v>
      </c>
      <c r="K894" t="s">
        <v>4226</v>
      </c>
      <c r="L894" t="s">
        <v>48</v>
      </c>
      <c r="M894" t="s">
        <v>48</v>
      </c>
      <c r="N894" t="s">
        <v>48</v>
      </c>
      <c r="O894" t="s">
        <v>4297</v>
      </c>
      <c r="P894" t="s">
        <v>48</v>
      </c>
      <c r="Q894" t="s">
        <v>4297</v>
      </c>
      <c r="R894" t="s">
        <v>4298</v>
      </c>
      <c r="S894" t="s">
        <v>65</v>
      </c>
      <c r="T894" t="s">
        <v>2042</v>
      </c>
      <c r="U894" t="s">
        <v>1235</v>
      </c>
      <c r="V894" t="s">
        <v>170</v>
      </c>
    </row>
    <row r="895" spans="1:22" x14ac:dyDescent="0.35">
      <c r="A895" t="s">
        <v>4300</v>
      </c>
      <c r="B895" t="s">
        <v>1320</v>
      </c>
      <c r="C895" t="s">
        <v>71</v>
      </c>
      <c r="D895" t="s">
        <v>33</v>
      </c>
      <c r="E895" t="s">
        <v>73</v>
      </c>
      <c r="F895" t="s">
        <v>34</v>
      </c>
      <c r="G895" t="s">
        <v>34</v>
      </c>
      <c r="H895" t="s">
        <v>73</v>
      </c>
      <c r="I895" t="s">
        <v>36</v>
      </c>
      <c r="K895" t="s">
        <v>4259</v>
      </c>
      <c r="L895" t="s">
        <v>49</v>
      </c>
      <c r="M895" t="s">
        <v>48</v>
      </c>
      <c r="N895" t="s">
        <v>49</v>
      </c>
      <c r="O895" t="s">
        <v>4301</v>
      </c>
      <c r="P895" t="s">
        <v>48</v>
      </c>
      <c r="Q895" t="s">
        <v>4302</v>
      </c>
      <c r="R895" t="s">
        <v>4303</v>
      </c>
      <c r="S895" t="s">
        <v>65</v>
      </c>
      <c r="T895" t="s">
        <v>109</v>
      </c>
      <c r="U895" t="s">
        <v>1235</v>
      </c>
      <c r="V895" t="s">
        <v>57</v>
      </c>
    </row>
    <row r="896" spans="1:22" x14ac:dyDescent="0.35">
      <c r="A896" t="s">
        <v>4305</v>
      </c>
      <c r="B896" t="s">
        <v>4189</v>
      </c>
      <c r="C896" t="s">
        <v>28</v>
      </c>
      <c r="D896" t="s">
        <v>28</v>
      </c>
      <c r="E896" t="s">
        <v>28</v>
      </c>
      <c r="F896" t="s">
        <v>28</v>
      </c>
      <c r="G896" t="s">
        <v>28</v>
      </c>
      <c r="H896" t="s">
        <v>28</v>
      </c>
      <c r="I896" t="s">
        <v>46</v>
      </c>
      <c r="K896" t="s">
        <v>4211</v>
      </c>
      <c r="L896" t="s">
        <v>38</v>
      </c>
      <c r="M896" t="s">
        <v>38</v>
      </c>
      <c r="N896" t="s">
        <v>38</v>
      </c>
      <c r="O896" t="s">
        <v>4306</v>
      </c>
      <c r="P896" t="s">
        <v>38</v>
      </c>
      <c r="Q896" t="s">
        <v>4307</v>
      </c>
      <c r="R896" t="s">
        <v>4308</v>
      </c>
      <c r="S896" t="s">
        <v>65</v>
      </c>
      <c r="T896" t="s">
        <v>2042</v>
      </c>
      <c r="U896" t="s">
        <v>4310</v>
      </c>
      <c r="V896" t="s">
        <v>91</v>
      </c>
    </row>
    <row r="897" spans="1:22" x14ac:dyDescent="0.35">
      <c r="A897" t="s">
        <v>4311</v>
      </c>
      <c r="B897" t="s">
        <v>4312</v>
      </c>
      <c r="C897" t="s">
        <v>344</v>
      </c>
      <c r="D897" t="s">
        <v>29</v>
      </c>
      <c r="E897" t="s">
        <v>206</v>
      </c>
      <c r="F897" t="s">
        <v>30</v>
      </c>
      <c r="G897" t="s">
        <v>173</v>
      </c>
      <c r="H897" t="s">
        <v>94</v>
      </c>
      <c r="I897" t="s">
        <v>36</v>
      </c>
      <c r="K897" t="s">
        <v>4313</v>
      </c>
      <c r="L897" t="s">
        <v>49</v>
      </c>
      <c r="M897" t="s">
        <v>49</v>
      </c>
      <c r="N897" t="s">
        <v>49</v>
      </c>
      <c r="O897" t="s">
        <v>4314</v>
      </c>
      <c r="P897" t="s">
        <v>49</v>
      </c>
      <c r="Q897" t="s">
        <v>4315</v>
      </c>
      <c r="R897" t="s">
        <v>4316</v>
      </c>
      <c r="S897" t="s">
        <v>65</v>
      </c>
      <c r="T897" t="s">
        <v>2042</v>
      </c>
      <c r="U897" t="s">
        <v>4318</v>
      </c>
      <c r="V897" t="s">
        <v>91</v>
      </c>
    </row>
    <row r="898" spans="1:22" x14ac:dyDescent="0.35">
      <c r="A898" t="s">
        <v>4319</v>
      </c>
      <c r="B898" t="s">
        <v>1520</v>
      </c>
      <c r="C898" t="s">
        <v>28</v>
      </c>
      <c r="D898" t="s">
        <v>28</v>
      </c>
      <c r="E898" t="s">
        <v>28</v>
      </c>
      <c r="F898" t="s">
        <v>28</v>
      </c>
      <c r="G898" t="s">
        <v>28</v>
      </c>
      <c r="H898" t="s">
        <v>28</v>
      </c>
      <c r="I898" t="s">
        <v>46</v>
      </c>
      <c r="K898" t="s">
        <v>4226</v>
      </c>
      <c r="L898" t="s">
        <v>49</v>
      </c>
      <c r="M898" t="s">
        <v>49</v>
      </c>
      <c r="N898" t="s">
        <v>49</v>
      </c>
      <c r="O898" t="s">
        <v>4320</v>
      </c>
      <c r="P898" t="s">
        <v>49</v>
      </c>
      <c r="Q898" t="s">
        <v>4321</v>
      </c>
      <c r="R898" t="s">
        <v>4322</v>
      </c>
      <c r="S898" t="s">
        <v>65</v>
      </c>
      <c r="T898" t="s">
        <v>2042</v>
      </c>
      <c r="U898" t="s">
        <v>1235</v>
      </c>
      <c r="V898" t="s">
        <v>170</v>
      </c>
    </row>
    <row r="899" spans="1:22" x14ac:dyDescent="0.35">
      <c r="A899" t="s">
        <v>4324</v>
      </c>
      <c r="B899" t="s">
        <v>4325</v>
      </c>
      <c r="C899" t="s">
        <v>28</v>
      </c>
      <c r="D899" t="s">
        <v>28</v>
      </c>
      <c r="E899" t="s">
        <v>28</v>
      </c>
      <c r="F899" t="s">
        <v>28</v>
      </c>
      <c r="G899" t="s">
        <v>28</v>
      </c>
      <c r="H899" t="s">
        <v>28</v>
      </c>
      <c r="I899" t="s">
        <v>36</v>
      </c>
      <c r="K899" t="s">
        <v>4219</v>
      </c>
      <c r="L899" t="s">
        <v>49</v>
      </c>
      <c r="M899" t="s">
        <v>49</v>
      </c>
      <c r="N899" t="s">
        <v>49</v>
      </c>
      <c r="O899" t="s">
        <v>4326</v>
      </c>
      <c r="P899" t="s">
        <v>49</v>
      </c>
      <c r="Q899" t="s">
        <v>4326</v>
      </c>
      <c r="R899" t="s">
        <v>4327</v>
      </c>
      <c r="S899" t="s">
        <v>65</v>
      </c>
      <c r="T899" t="s">
        <v>2042</v>
      </c>
      <c r="U899" t="s">
        <v>4329</v>
      </c>
      <c r="V899" t="s">
        <v>129</v>
      </c>
    </row>
    <row r="900" spans="1:22" x14ac:dyDescent="0.35">
      <c r="A900" t="s">
        <v>4330</v>
      </c>
      <c r="B900" t="s">
        <v>4331</v>
      </c>
      <c r="C900" t="s">
        <v>71</v>
      </c>
      <c r="D900" t="s">
        <v>33</v>
      </c>
      <c r="E900" t="s">
        <v>73</v>
      </c>
      <c r="F900" t="s">
        <v>34</v>
      </c>
      <c r="G900" t="s">
        <v>73</v>
      </c>
      <c r="H900" t="s">
        <v>73</v>
      </c>
      <c r="I900" t="s">
        <v>46</v>
      </c>
      <c r="K900" t="s">
        <v>4211</v>
      </c>
      <c r="L900" t="s">
        <v>48</v>
      </c>
      <c r="M900" t="s">
        <v>48</v>
      </c>
      <c r="N900" t="s">
        <v>48</v>
      </c>
      <c r="O900" t="s">
        <v>4332</v>
      </c>
      <c r="P900" t="s">
        <v>48</v>
      </c>
      <c r="Q900" t="s">
        <v>4333</v>
      </c>
      <c r="R900" t="s">
        <v>4334</v>
      </c>
      <c r="S900" t="s">
        <v>65</v>
      </c>
      <c r="T900" t="s">
        <v>2042</v>
      </c>
      <c r="U900" t="s">
        <v>1235</v>
      </c>
      <c r="V900" t="s">
        <v>129</v>
      </c>
    </row>
    <row r="901" spans="1:22" x14ac:dyDescent="0.35">
      <c r="A901" t="s">
        <v>4336</v>
      </c>
      <c r="B901" t="s">
        <v>4337</v>
      </c>
      <c r="C901" t="s">
        <v>28</v>
      </c>
      <c r="D901" t="s">
        <v>197</v>
      </c>
      <c r="E901" t="s">
        <v>28</v>
      </c>
      <c r="F901" t="s">
        <v>28</v>
      </c>
      <c r="G901" t="s">
        <v>28</v>
      </c>
      <c r="H901" t="s">
        <v>28</v>
      </c>
      <c r="I901" t="s">
        <v>36</v>
      </c>
      <c r="K901" t="s">
        <v>4338</v>
      </c>
      <c r="L901" t="s">
        <v>49</v>
      </c>
      <c r="M901" t="s">
        <v>49</v>
      </c>
      <c r="N901" t="s">
        <v>38</v>
      </c>
      <c r="O901" t="s">
        <v>4339</v>
      </c>
      <c r="P901" t="s">
        <v>49</v>
      </c>
      <c r="Q901" t="s">
        <v>4340</v>
      </c>
      <c r="R901" t="s">
        <v>4341</v>
      </c>
      <c r="S901" t="s">
        <v>135</v>
      </c>
      <c r="T901" t="s">
        <v>1046</v>
      </c>
      <c r="U901" t="s">
        <v>4343</v>
      </c>
      <c r="V901" t="s">
        <v>129</v>
      </c>
    </row>
    <row r="902" spans="1:22" x14ac:dyDescent="0.35">
      <c r="A902" t="s">
        <v>4344</v>
      </c>
      <c r="B902" t="s">
        <v>4345</v>
      </c>
      <c r="C902" t="s">
        <v>28</v>
      </c>
      <c r="D902" t="s">
        <v>28</v>
      </c>
      <c r="E902" t="s">
        <v>28</v>
      </c>
      <c r="F902" t="s">
        <v>28</v>
      </c>
      <c r="G902" t="s">
        <v>28</v>
      </c>
      <c r="H902" t="s">
        <v>28</v>
      </c>
      <c r="I902" t="s">
        <v>46</v>
      </c>
      <c r="K902" t="s">
        <v>1042</v>
      </c>
      <c r="L902" t="s">
        <v>49</v>
      </c>
      <c r="M902" t="s">
        <v>49</v>
      </c>
      <c r="N902" t="s">
        <v>49</v>
      </c>
      <c r="O902" t="s">
        <v>4346</v>
      </c>
      <c r="P902" t="s">
        <v>49</v>
      </c>
      <c r="Q902" t="s">
        <v>4347</v>
      </c>
      <c r="R902" t="s">
        <v>4348</v>
      </c>
      <c r="S902" t="s">
        <v>135</v>
      </c>
      <c r="T902" t="s">
        <v>1046</v>
      </c>
      <c r="U902" t="s">
        <v>4350</v>
      </c>
      <c r="V902" t="s">
        <v>170</v>
      </c>
    </row>
    <row r="903" spans="1:22" x14ac:dyDescent="0.35">
      <c r="A903" t="s">
        <v>4351</v>
      </c>
      <c r="B903" t="s">
        <v>4352</v>
      </c>
      <c r="C903" t="s">
        <v>28</v>
      </c>
      <c r="D903" t="s">
        <v>28</v>
      </c>
      <c r="E903" t="s">
        <v>28</v>
      </c>
      <c r="F903" t="s">
        <v>28</v>
      </c>
      <c r="G903" t="s">
        <v>28</v>
      </c>
      <c r="H903" t="s">
        <v>28</v>
      </c>
      <c r="I903" t="s">
        <v>36</v>
      </c>
      <c r="K903" t="s">
        <v>4353</v>
      </c>
      <c r="L903" t="s">
        <v>38</v>
      </c>
      <c r="M903" t="s">
        <v>38</v>
      </c>
      <c r="N903" t="s">
        <v>38</v>
      </c>
      <c r="O903" t="s">
        <v>4354</v>
      </c>
      <c r="P903" t="s">
        <v>38</v>
      </c>
      <c r="Q903" t="s">
        <v>4355</v>
      </c>
      <c r="R903" t="s">
        <v>4356</v>
      </c>
      <c r="S903" t="s">
        <v>87</v>
      </c>
      <c r="T903" t="s">
        <v>1046</v>
      </c>
      <c r="U903" t="s">
        <v>4358</v>
      </c>
      <c r="V903" t="s">
        <v>91</v>
      </c>
    </row>
    <row r="904" spans="1:22" x14ac:dyDescent="0.35">
      <c r="A904" t="s">
        <v>4359</v>
      </c>
      <c r="B904" t="s">
        <v>4360</v>
      </c>
      <c r="C904" t="s">
        <v>44</v>
      </c>
      <c r="D904" t="s">
        <v>44</v>
      </c>
      <c r="E904" t="s">
        <v>206</v>
      </c>
      <c r="F904" t="s">
        <v>173</v>
      </c>
      <c r="G904" t="s">
        <v>94</v>
      </c>
      <c r="H904" t="s">
        <v>94</v>
      </c>
      <c r="I904" t="s">
        <v>36</v>
      </c>
      <c r="K904" t="s">
        <v>1042</v>
      </c>
      <c r="L904" t="s">
        <v>49</v>
      </c>
      <c r="M904" t="s">
        <v>49</v>
      </c>
      <c r="N904" t="s">
        <v>49</v>
      </c>
      <c r="O904" t="s">
        <v>4339</v>
      </c>
      <c r="P904" t="s">
        <v>48</v>
      </c>
      <c r="Q904" t="s">
        <v>4361</v>
      </c>
      <c r="R904" t="s">
        <v>4362</v>
      </c>
      <c r="S904" t="s">
        <v>87</v>
      </c>
      <c r="T904" t="s">
        <v>1046</v>
      </c>
      <c r="U904" t="s">
        <v>4363</v>
      </c>
      <c r="V904" t="s">
        <v>129</v>
      </c>
    </row>
    <row r="905" spans="1:22" x14ac:dyDescent="0.35">
      <c r="A905" t="s">
        <v>4344</v>
      </c>
      <c r="B905" t="s">
        <v>4312</v>
      </c>
      <c r="C905" t="s">
        <v>60</v>
      </c>
      <c r="D905" t="s">
        <v>60</v>
      </c>
      <c r="E905" t="s">
        <v>29</v>
      </c>
      <c r="F905" t="s">
        <v>173</v>
      </c>
      <c r="G905" t="s">
        <v>173</v>
      </c>
      <c r="H905" t="s">
        <v>28</v>
      </c>
      <c r="I905" t="s">
        <v>46</v>
      </c>
      <c r="K905" t="s">
        <v>1042</v>
      </c>
      <c r="L905" t="s">
        <v>48</v>
      </c>
      <c r="M905" t="s">
        <v>49</v>
      </c>
      <c r="N905" t="s">
        <v>49</v>
      </c>
      <c r="O905" t="s">
        <v>4346</v>
      </c>
      <c r="P905" t="s">
        <v>49</v>
      </c>
      <c r="Q905" t="s">
        <v>4364</v>
      </c>
      <c r="R905" t="s">
        <v>4365</v>
      </c>
      <c r="S905" t="s">
        <v>53</v>
      </c>
      <c r="T905" t="s">
        <v>1046</v>
      </c>
      <c r="U905" t="s">
        <v>4149</v>
      </c>
      <c r="V905" t="s">
        <v>170</v>
      </c>
    </row>
    <row r="906" spans="1:22" x14ac:dyDescent="0.35">
      <c r="A906" t="s">
        <v>4351</v>
      </c>
      <c r="B906" t="s">
        <v>4352</v>
      </c>
      <c r="C906" t="s">
        <v>449</v>
      </c>
      <c r="D906" t="s">
        <v>44</v>
      </c>
      <c r="E906" t="s">
        <v>44</v>
      </c>
      <c r="F906" t="s">
        <v>196</v>
      </c>
      <c r="G906" t="s">
        <v>30</v>
      </c>
      <c r="H906" t="s">
        <v>35</v>
      </c>
      <c r="I906" t="s">
        <v>36</v>
      </c>
      <c r="K906" t="s">
        <v>1057</v>
      </c>
      <c r="L906" t="s">
        <v>49</v>
      </c>
      <c r="M906" t="s">
        <v>48</v>
      </c>
      <c r="N906" t="s">
        <v>49</v>
      </c>
      <c r="O906" t="s">
        <v>4354</v>
      </c>
      <c r="P906" t="s">
        <v>49</v>
      </c>
      <c r="Q906" t="s">
        <v>4355</v>
      </c>
      <c r="R906" t="s">
        <v>4366</v>
      </c>
      <c r="S906" t="s">
        <v>87</v>
      </c>
      <c r="T906" t="s">
        <v>1046</v>
      </c>
      <c r="U906" t="s">
        <v>4367</v>
      </c>
      <c r="V906" t="s">
        <v>91</v>
      </c>
    </row>
    <row r="907" spans="1:22" x14ac:dyDescent="0.35">
      <c r="A907" t="s">
        <v>4368</v>
      </c>
      <c r="B907" t="s">
        <v>4369</v>
      </c>
      <c r="C907" t="s">
        <v>28</v>
      </c>
      <c r="D907" t="s">
        <v>28</v>
      </c>
      <c r="E907" t="s">
        <v>28</v>
      </c>
      <c r="F907" t="s">
        <v>28</v>
      </c>
      <c r="G907" t="s">
        <v>28</v>
      </c>
      <c r="H907" t="s">
        <v>28</v>
      </c>
      <c r="I907" t="s">
        <v>46</v>
      </c>
      <c r="K907" t="s">
        <v>4370</v>
      </c>
      <c r="L907" t="s">
        <v>49</v>
      </c>
      <c r="M907" t="s">
        <v>49</v>
      </c>
      <c r="N907" t="s">
        <v>49</v>
      </c>
      <c r="O907" t="s">
        <v>4371</v>
      </c>
      <c r="P907" t="s">
        <v>49</v>
      </c>
      <c r="Q907" t="s">
        <v>4372</v>
      </c>
      <c r="R907" t="s">
        <v>4373</v>
      </c>
      <c r="S907" t="s">
        <v>135</v>
      </c>
      <c r="T907" t="s">
        <v>1046</v>
      </c>
      <c r="U907" t="s">
        <v>1280</v>
      </c>
      <c r="V907" t="s">
        <v>129</v>
      </c>
    </row>
    <row r="908" spans="1:22" x14ac:dyDescent="0.35">
      <c r="A908" t="s">
        <v>4368</v>
      </c>
      <c r="B908" t="s">
        <v>4369</v>
      </c>
      <c r="C908" t="s">
        <v>344</v>
      </c>
      <c r="D908" t="s">
        <v>44</v>
      </c>
      <c r="E908" t="s">
        <v>284</v>
      </c>
      <c r="F908" t="s">
        <v>30</v>
      </c>
      <c r="G908" t="s">
        <v>173</v>
      </c>
      <c r="H908" t="s">
        <v>368</v>
      </c>
      <c r="I908" t="s">
        <v>46</v>
      </c>
      <c r="K908" t="s">
        <v>1050</v>
      </c>
      <c r="L908" t="s">
        <v>49</v>
      </c>
      <c r="M908" t="s">
        <v>48</v>
      </c>
      <c r="N908" t="s">
        <v>38</v>
      </c>
      <c r="O908" t="s">
        <v>4371</v>
      </c>
      <c r="P908" t="s">
        <v>49</v>
      </c>
      <c r="Q908" t="s">
        <v>4375</v>
      </c>
      <c r="R908" t="s">
        <v>4373</v>
      </c>
      <c r="S908" t="s">
        <v>79</v>
      </c>
      <c r="T908" t="s">
        <v>1046</v>
      </c>
      <c r="U908" t="s">
        <v>4376</v>
      </c>
      <c r="V908" t="s">
        <v>129</v>
      </c>
    </row>
    <row r="909" spans="1:22" x14ac:dyDescent="0.35">
      <c r="A909" t="s">
        <v>4377</v>
      </c>
      <c r="B909" t="s">
        <v>4238</v>
      </c>
      <c r="C909" t="s">
        <v>28</v>
      </c>
      <c r="D909" t="s">
        <v>197</v>
      </c>
      <c r="E909" t="s">
        <v>44</v>
      </c>
      <c r="F909" t="s">
        <v>196</v>
      </c>
      <c r="G909" t="s">
        <v>103</v>
      </c>
      <c r="H909" t="s">
        <v>61</v>
      </c>
      <c r="I909" t="s">
        <v>36</v>
      </c>
      <c r="K909" t="s">
        <v>1207</v>
      </c>
      <c r="L909" t="s">
        <v>49</v>
      </c>
      <c r="M909" t="s">
        <v>49</v>
      </c>
      <c r="N909" t="s">
        <v>48</v>
      </c>
      <c r="O909" t="s">
        <v>4378</v>
      </c>
      <c r="P909" t="s">
        <v>49</v>
      </c>
      <c r="Q909" t="s">
        <v>4379</v>
      </c>
      <c r="R909" t="s">
        <v>4380</v>
      </c>
      <c r="S909" t="s">
        <v>87</v>
      </c>
      <c r="T909" t="s">
        <v>1046</v>
      </c>
      <c r="U909" t="s">
        <v>4382</v>
      </c>
      <c r="V909" t="s">
        <v>91</v>
      </c>
    </row>
    <row r="910" spans="1:22" x14ac:dyDescent="0.35">
      <c r="A910" t="s">
        <v>4383</v>
      </c>
      <c r="B910" t="s">
        <v>4384</v>
      </c>
      <c r="C910" t="s">
        <v>449</v>
      </c>
      <c r="D910" t="s">
        <v>44</v>
      </c>
      <c r="E910" t="s">
        <v>44</v>
      </c>
      <c r="F910" t="s">
        <v>196</v>
      </c>
      <c r="G910" t="s">
        <v>30</v>
      </c>
      <c r="H910" t="s">
        <v>28</v>
      </c>
      <c r="I910" t="s">
        <v>46</v>
      </c>
      <c r="K910" t="s">
        <v>1071</v>
      </c>
      <c r="L910" t="s">
        <v>49</v>
      </c>
      <c r="M910" t="s">
        <v>48</v>
      </c>
      <c r="N910" t="s">
        <v>49</v>
      </c>
      <c r="O910" t="s">
        <v>4385</v>
      </c>
      <c r="P910" t="s">
        <v>49</v>
      </c>
      <c r="Q910" t="s">
        <v>4386</v>
      </c>
      <c r="R910" t="s">
        <v>4387</v>
      </c>
      <c r="S910" t="s">
        <v>135</v>
      </c>
      <c r="T910" t="s">
        <v>1046</v>
      </c>
      <c r="U910" t="s">
        <v>1054</v>
      </c>
      <c r="V910" t="s">
        <v>91</v>
      </c>
    </row>
    <row r="911" spans="1:22" x14ac:dyDescent="0.35">
      <c r="A911" t="s">
        <v>4389</v>
      </c>
      <c r="B911" t="s">
        <v>4390</v>
      </c>
      <c r="C911" t="s">
        <v>28</v>
      </c>
      <c r="D911" t="s">
        <v>28</v>
      </c>
      <c r="E911" t="s">
        <v>28</v>
      </c>
      <c r="F911" t="s">
        <v>28</v>
      </c>
      <c r="G911" t="s">
        <v>28</v>
      </c>
      <c r="H911" t="s">
        <v>28</v>
      </c>
      <c r="I911" t="s">
        <v>36</v>
      </c>
      <c r="K911" t="s">
        <v>4391</v>
      </c>
      <c r="L911" t="s">
        <v>49</v>
      </c>
      <c r="M911" t="s">
        <v>49</v>
      </c>
      <c r="N911" t="s">
        <v>48</v>
      </c>
      <c r="O911" t="s">
        <v>4378</v>
      </c>
      <c r="P911" t="s">
        <v>38</v>
      </c>
      <c r="Q911" t="s">
        <v>4379</v>
      </c>
      <c r="R911" t="s">
        <v>4380</v>
      </c>
      <c r="S911" t="s">
        <v>135</v>
      </c>
      <c r="T911" t="s">
        <v>1046</v>
      </c>
      <c r="U911" t="s">
        <v>1422</v>
      </c>
      <c r="V911" t="s">
        <v>91</v>
      </c>
    </row>
    <row r="912" spans="1:22" x14ac:dyDescent="0.35">
      <c r="A912" t="s">
        <v>1164</v>
      </c>
      <c r="B912" t="s">
        <v>4392</v>
      </c>
      <c r="C912" t="s">
        <v>28</v>
      </c>
      <c r="D912" t="s">
        <v>60</v>
      </c>
      <c r="E912" t="s">
        <v>206</v>
      </c>
      <c r="F912" t="s">
        <v>173</v>
      </c>
      <c r="G912" t="s">
        <v>94</v>
      </c>
      <c r="H912" t="s">
        <v>73</v>
      </c>
      <c r="I912" t="s">
        <v>36</v>
      </c>
      <c r="K912" t="s">
        <v>1086</v>
      </c>
      <c r="L912" t="s">
        <v>49</v>
      </c>
      <c r="M912" t="s">
        <v>49</v>
      </c>
      <c r="N912" t="s">
        <v>49</v>
      </c>
      <c r="O912" t="s">
        <v>4393</v>
      </c>
      <c r="P912" t="s">
        <v>48</v>
      </c>
      <c r="Q912" t="s">
        <v>4394</v>
      </c>
      <c r="R912" t="s">
        <v>4395</v>
      </c>
      <c r="S912" t="s">
        <v>53</v>
      </c>
      <c r="T912" t="s">
        <v>1046</v>
      </c>
      <c r="U912" t="s">
        <v>4397</v>
      </c>
      <c r="V912" t="s">
        <v>170</v>
      </c>
    </row>
    <row r="913" spans="1:22" x14ac:dyDescent="0.35">
      <c r="A913" t="s">
        <v>4398</v>
      </c>
      <c r="B913" t="s">
        <v>1320</v>
      </c>
      <c r="C913" t="s">
        <v>60</v>
      </c>
      <c r="D913" t="s">
        <v>29</v>
      </c>
      <c r="E913" t="s">
        <v>29</v>
      </c>
      <c r="F913" t="s">
        <v>173</v>
      </c>
      <c r="G913" t="s">
        <v>173</v>
      </c>
      <c r="H913" t="s">
        <v>368</v>
      </c>
      <c r="I913" t="s">
        <v>46</v>
      </c>
      <c r="K913" t="s">
        <v>1100</v>
      </c>
      <c r="L913" t="s">
        <v>48</v>
      </c>
      <c r="M913" t="s">
        <v>49</v>
      </c>
      <c r="N913" t="s">
        <v>49</v>
      </c>
      <c r="O913" t="s">
        <v>4399</v>
      </c>
      <c r="P913" t="s">
        <v>49</v>
      </c>
      <c r="Q913" t="s">
        <v>4400</v>
      </c>
      <c r="R913" t="s">
        <v>4401</v>
      </c>
      <c r="S913" t="s">
        <v>53</v>
      </c>
      <c r="T913" t="s">
        <v>1046</v>
      </c>
      <c r="U913" t="s">
        <v>1532</v>
      </c>
      <c r="V913" t="s">
        <v>91</v>
      </c>
    </row>
    <row r="914" spans="1:22" x14ac:dyDescent="0.35">
      <c r="A914" t="s">
        <v>4403</v>
      </c>
      <c r="B914" t="s">
        <v>1041</v>
      </c>
      <c r="C914" t="s">
        <v>449</v>
      </c>
      <c r="D914" t="s">
        <v>44</v>
      </c>
      <c r="E914" t="s">
        <v>44</v>
      </c>
      <c r="F914" t="s">
        <v>173</v>
      </c>
      <c r="G914" t="s">
        <v>173</v>
      </c>
      <c r="H914" t="s">
        <v>28</v>
      </c>
      <c r="I914" t="s">
        <v>36</v>
      </c>
      <c r="K914" t="s">
        <v>1093</v>
      </c>
      <c r="L914" t="s">
        <v>49</v>
      </c>
      <c r="M914" t="s">
        <v>48</v>
      </c>
      <c r="N914" t="s">
        <v>49</v>
      </c>
      <c r="O914" t="s">
        <v>4404</v>
      </c>
      <c r="P914" t="s">
        <v>49</v>
      </c>
      <c r="Q914" t="s">
        <v>4405</v>
      </c>
      <c r="R914" t="s">
        <v>4406</v>
      </c>
      <c r="S914" t="s">
        <v>53</v>
      </c>
      <c r="T914" t="s">
        <v>1046</v>
      </c>
      <c r="U914" t="s">
        <v>1047</v>
      </c>
      <c r="V914" t="s">
        <v>91</v>
      </c>
    </row>
    <row r="915" spans="1:22" x14ac:dyDescent="0.35">
      <c r="A915" t="s">
        <v>4408</v>
      </c>
      <c r="B915" t="s">
        <v>1657</v>
      </c>
      <c r="C915" t="s">
        <v>449</v>
      </c>
      <c r="D915" t="s">
        <v>29</v>
      </c>
      <c r="E915" t="s">
        <v>206</v>
      </c>
      <c r="F915" t="s">
        <v>30</v>
      </c>
      <c r="G915" t="s">
        <v>94</v>
      </c>
      <c r="H915" t="s">
        <v>73</v>
      </c>
      <c r="I915" t="s">
        <v>46</v>
      </c>
      <c r="K915" t="s">
        <v>1120</v>
      </c>
      <c r="L915" t="s">
        <v>49</v>
      </c>
      <c r="M915" t="s">
        <v>49</v>
      </c>
      <c r="N915" t="s">
        <v>38</v>
      </c>
      <c r="O915" t="s">
        <v>4409</v>
      </c>
      <c r="P915" t="s">
        <v>48</v>
      </c>
      <c r="Q915" t="s">
        <v>4410</v>
      </c>
      <c r="R915" t="s">
        <v>4411</v>
      </c>
      <c r="S915" t="s">
        <v>87</v>
      </c>
      <c r="T915" t="s">
        <v>1046</v>
      </c>
      <c r="U915" t="s">
        <v>4413</v>
      </c>
      <c r="V915" t="s">
        <v>129</v>
      </c>
    </row>
    <row r="916" spans="1:22" x14ac:dyDescent="0.35">
      <c r="A916" t="s">
        <v>4414</v>
      </c>
      <c r="B916" t="s">
        <v>4415</v>
      </c>
      <c r="C916" t="s">
        <v>60</v>
      </c>
      <c r="D916" t="s">
        <v>29</v>
      </c>
      <c r="E916" t="s">
        <v>29</v>
      </c>
      <c r="F916" t="s">
        <v>103</v>
      </c>
      <c r="G916" t="s">
        <v>103</v>
      </c>
      <c r="H916" t="s">
        <v>28</v>
      </c>
      <c r="I916" t="s">
        <v>36</v>
      </c>
      <c r="K916" t="s">
        <v>4416</v>
      </c>
      <c r="L916" t="s">
        <v>48</v>
      </c>
      <c r="M916" t="s">
        <v>49</v>
      </c>
      <c r="N916" t="s">
        <v>38</v>
      </c>
      <c r="O916" t="s">
        <v>4417</v>
      </c>
      <c r="P916" t="s">
        <v>38</v>
      </c>
      <c r="Q916" t="s">
        <v>4418</v>
      </c>
      <c r="R916" t="s">
        <v>4419</v>
      </c>
      <c r="S916" t="s">
        <v>53</v>
      </c>
      <c r="T916" t="s">
        <v>1046</v>
      </c>
      <c r="U916" t="s">
        <v>4421</v>
      </c>
      <c r="V916" t="s">
        <v>91</v>
      </c>
    </row>
    <row r="917" spans="1:22" x14ac:dyDescent="0.35">
      <c r="A917" t="s">
        <v>4422</v>
      </c>
      <c r="B917" t="s">
        <v>4423</v>
      </c>
      <c r="C917" t="s">
        <v>60</v>
      </c>
      <c r="D917" t="s">
        <v>29</v>
      </c>
      <c r="E917" t="s">
        <v>29</v>
      </c>
      <c r="F917" t="s">
        <v>173</v>
      </c>
      <c r="G917" t="s">
        <v>173</v>
      </c>
      <c r="H917" t="s">
        <v>45</v>
      </c>
      <c r="I917" t="s">
        <v>46</v>
      </c>
      <c r="K917" t="s">
        <v>1207</v>
      </c>
      <c r="L917" t="s">
        <v>48</v>
      </c>
      <c r="M917" t="s">
        <v>49</v>
      </c>
      <c r="N917" t="s">
        <v>49</v>
      </c>
      <c r="O917" t="s">
        <v>4424</v>
      </c>
      <c r="P917" t="s">
        <v>49</v>
      </c>
      <c r="Q917" t="s">
        <v>4425</v>
      </c>
      <c r="R917" t="s">
        <v>4426</v>
      </c>
      <c r="S917" t="s">
        <v>87</v>
      </c>
      <c r="T917" t="s">
        <v>1046</v>
      </c>
      <c r="U917" t="s">
        <v>4413</v>
      </c>
      <c r="V917" t="s">
        <v>91</v>
      </c>
    </row>
    <row r="918" spans="1:22" x14ac:dyDescent="0.35">
      <c r="A918" t="s">
        <v>4428</v>
      </c>
      <c r="B918" t="s">
        <v>4429</v>
      </c>
      <c r="C918" t="s">
        <v>344</v>
      </c>
      <c r="D918" t="s">
        <v>44</v>
      </c>
      <c r="E918" t="s">
        <v>44</v>
      </c>
      <c r="F918" t="s">
        <v>30</v>
      </c>
      <c r="G918" t="s">
        <v>30</v>
      </c>
      <c r="H918" t="s">
        <v>35</v>
      </c>
      <c r="I918" t="s">
        <v>36</v>
      </c>
      <c r="K918" t="s">
        <v>1132</v>
      </c>
      <c r="L918" t="s">
        <v>49</v>
      </c>
      <c r="M918" t="s">
        <v>48</v>
      </c>
      <c r="N918" t="s">
        <v>49</v>
      </c>
      <c r="O918" t="s">
        <v>4430</v>
      </c>
      <c r="P918" t="s">
        <v>49</v>
      </c>
      <c r="Q918" t="s">
        <v>4431</v>
      </c>
      <c r="R918" t="s">
        <v>4432</v>
      </c>
      <c r="S918" t="s">
        <v>79</v>
      </c>
      <c r="T918" t="s">
        <v>1046</v>
      </c>
      <c r="U918" t="s">
        <v>4434</v>
      </c>
      <c r="V918" t="s">
        <v>170</v>
      </c>
    </row>
    <row r="919" spans="1:22" x14ac:dyDescent="0.35">
      <c r="A919" t="s">
        <v>4435</v>
      </c>
      <c r="B919" t="s">
        <v>4436</v>
      </c>
      <c r="C919" t="s">
        <v>449</v>
      </c>
      <c r="D919" t="s">
        <v>44</v>
      </c>
      <c r="E919" t="s">
        <v>284</v>
      </c>
      <c r="F919" t="s">
        <v>173</v>
      </c>
      <c r="G919" t="s">
        <v>368</v>
      </c>
      <c r="H919" t="s">
        <v>368</v>
      </c>
      <c r="I919" t="s">
        <v>46</v>
      </c>
      <c r="K919" t="s">
        <v>1086</v>
      </c>
      <c r="L919" t="s">
        <v>49</v>
      </c>
      <c r="M919" t="s">
        <v>49</v>
      </c>
      <c r="N919" t="s">
        <v>49</v>
      </c>
      <c r="O919" t="s">
        <v>4437</v>
      </c>
      <c r="P919" t="s">
        <v>48</v>
      </c>
      <c r="Q919" t="s">
        <v>4438</v>
      </c>
      <c r="R919" t="s">
        <v>4439</v>
      </c>
      <c r="S919" t="s">
        <v>87</v>
      </c>
      <c r="T919" t="s">
        <v>1046</v>
      </c>
      <c r="U919" t="s">
        <v>1532</v>
      </c>
      <c r="V919" t="s">
        <v>91</v>
      </c>
    </row>
    <row r="920" spans="1:22" x14ac:dyDescent="0.35">
      <c r="A920" t="s">
        <v>4441</v>
      </c>
      <c r="B920" t="s">
        <v>4442</v>
      </c>
      <c r="C920" t="s">
        <v>28</v>
      </c>
      <c r="D920" t="s">
        <v>197</v>
      </c>
      <c r="E920" t="s">
        <v>28</v>
      </c>
      <c r="F920" t="s">
        <v>197</v>
      </c>
      <c r="G920" t="s">
        <v>28</v>
      </c>
      <c r="H920" t="s">
        <v>292</v>
      </c>
      <c r="I920" t="s">
        <v>36</v>
      </c>
      <c r="K920" t="s">
        <v>1100</v>
      </c>
      <c r="L920" t="s">
        <v>49</v>
      </c>
      <c r="M920" t="s">
        <v>49</v>
      </c>
      <c r="N920" t="s">
        <v>48</v>
      </c>
      <c r="O920" t="s">
        <v>4443</v>
      </c>
      <c r="P920" t="s">
        <v>49</v>
      </c>
      <c r="Q920" t="s">
        <v>4444</v>
      </c>
      <c r="R920" t="s">
        <v>4445</v>
      </c>
      <c r="S920" t="s">
        <v>53</v>
      </c>
      <c r="T920" t="s">
        <v>1046</v>
      </c>
      <c r="U920" t="s">
        <v>4397</v>
      </c>
      <c r="V920" t="s">
        <v>91</v>
      </c>
    </row>
    <row r="921" spans="1:22" x14ac:dyDescent="0.35">
      <c r="A921" t="s">
        <v>4447</v>
      </c>
      <c r="B921" t="s">
        <v>4448</v>
      </c>
      <c r="C921" t="s">
        <v>377</v>
      </c>
      <c r="D921" t="s">
        <v>44</v>
      </c>
      <c r="E921" t="s">
        <v>206</v>
      </c>
      <c r="F921" t="s">
        <v>103</v>
      </c>
      <c r="G921" t="s">
        <v>94</v>
      </c>
      <c r="H921" t="s">
        <v>94</v>
      </c>
      <c r="I921" t="s">
        <v>46</v>
      </c>
      <c r="K921" t="s">
        <v>1042</v>
      </c>
      <c r="L921" t="s">
        <v>49</v>
      </c>
      <c r="M921" t="s">
        <v>49</v>
      </c>
      <c r="N921" t="s">
        <v>49</v>
      </c>
      <c r="O921" t="s">
        <v>4449</v>
      </c>
      <c r="P921" t="s">
        <v>48</v>
      </c>
      <c r="Q921" t="s">
        <v>4450</v>
      </c>
      <c r="R921" t="s">
        <v>4451</v>
      </c>
      <c r="S921" t="s">
        <v>79</v>
      </c>
      <c r="T921" t="s">
        <v>1046</v>
      </c>
      <c r="U921" t="s">
        <v>1104</v>
      </c>
      <c r="V921" t="s">
        <v>91</v>
      </c>
    </row>
    <row r="922" spans="1:22" x14ac:dyDescent="0.35">
      <c r="A922" t="s">
        <v>4453</v>
      </c>
      <c r="B922" t="s">
        <v>4454</v>
      </c>
      <c r="C922" t="s">
        <v>344</v>
      </c>
      <c r="D922" t="s">
        <v>197</v>
      </c>
      <c r="E922" t="s">
        <v>44</v>
      </c>
      <c r="F922" t="s">
        <v>30</v>
      </c>
      <c r="G922" t="s">
        <v>30</v>
      </c>
      <c r="H922" t="s">
        <v>35</v>
      </c>
      <c r="I922" t="s">
        <v>36</v>
      </c>
      <c r="K922" t="s">
        <v>1126</v>
      </c>
      <c r="L922" t="s">
        <v>49</v>
      </c>
      <c r="M922" t="s">
        <v>48</v>
      </c>
      <c r="N922" t="s">
        <v>49</v>
      </c>
      <c r="O922" t="s">
        <v>4455</v>
      </c>
      <c r="P922" t="s">
        <v>49</v>
      </c>
      <c r="Q922" t="s">
        <v>4456</v>
      </c>
      <c r="R922" t="s">
        <v>4457</v>
      </c>
      <c r="S922" t="s">
        <v>53</v>
      </c>
      <c r="T922" t="s">
        <v>1046</v>
      </c>
      <c r="U922" t="s">
        <v>1047</v>
      </c>
      <c r="V922" t="s">
        <v>129</v>
      </c>
    </row>
    <row r="923" spans="1:22" x14ac:dyDescent="0.35">
      <c r="A923" t="s">
        <v>4459</v>
      </c>
      <c r="B923" t="s">
        <v>4460</v>
      </c>
      <c r="C923" t="s">
        <v>60</v>
      </c>
      <c r="D923" t="s">
        <v>60</v>
      </c>
      <c r="E923" t="s">
        <v>44</v>
      </c>
      <c r="F923" t="s">
        <v>173</v>
      </c>
      <c r="G923" t="s">
        <v>368</v>
      </c>
      <c r="H923" t="s">
        <v>94</v>
      </c>
      <c r="I923" t="s">
        <v>46</v>
      </c>
      <c r="K923" t="s">
        <v>1050</v>
      </c>
      <c r="L923" t="s">
        <v>48</v>
      </c>
      <c r="M923" t="s">
        <v>49</v>
      </c>
      <c r="N923" t="s">
        <v>49</v>
      </c>
      <c r="O923" t="s">
        <v>4461</v>
      </c>
      <c r="P923" t="s">
        <v>49</v>
      </c>
      <c r="Q923" t="s">
        <v>4462</v>
      </c>
      <c r="R923" t="s">
        <v>4463</v>
      </c>
      <c r="S923" t="s">
        <v>53</v>
      </c>
      <c r="T923" t="s">
        <v>1046</v>
      </c>
      <c r="U923" t="s">
        <v>4465</v>
      </c>
      <c r="V923" t="s">
        <v>91</v>
      </c>
    </row>
    <row r="924" spans="1:22" x14ac:dyDescent="0.35">
      <c r="A924" t="s">
        <v>4466</v>
      </c>
      <c r="B924" t="s">
        <v>4467</v>
      </c>
      <c r="C924" t="s">
        <v>44</v>
      </c>
      <c r="D924" t="s">
        <v>60</v>
      </c>
      <c r="E924" t="s">
        <v>206</v>
      </c>
      <c r="F924" t="s">
        <v>173</v>
      </c>
      <c r="G924" t="s">
        <v>94</v>
      </c>
      <c r="H924" t="s">
        <v>73</v>
      </c>
      <c r="I924" t="s">
        <v>36</v>
      </c>
      <c r="K924" t="s">
        <v>1057</v>
      </c>
      <c r="L924" t="s">
        <v>49</v>
      </c>
      <c r="M924" t="s">
        <v>49</v>
      </c>
      <c r="N924" t="s">
        <v>38</v>
      </c>
      <c r="O924" t="s">
        <v>4468</v>
      </c>
      <c r="P924" t="s">
        <v>48</v>
      </c>
      <c r="Q924" t="s">
        <v>4469</v>
      </c>
      <c r="R924" t="s">
        <v>4470</v>
      </c>
      <c r="S924" t="s">
        <v>87</v>
      </c>
      <c r="T924" t="s">
        <v>1046</v>
      </c>
      <c r="U924" t="s">
        <v>1532</v>
      </c>
      <c r="V924" t="s">
        <v>129</v>
      </c>
    </row>
    <row r="925" spans="1:22" x14ac:dyDescent="0.35">
      <c r="A925" t="s">
        <v>4472</v>
      </c>
      <c r="B925" t="s">
        <v>4283</v>
      </c>
      <c r="C925" t="s">
        <v>29</v>
      </c>
      <c r="D925" t="s">
        <v>29</v>
      </c>
      <c r="E925" t="s">
        <v>29</v>
      </c>
      <c r="F925" t="s">
        <v>173</v>
      </c>
      <c r="G925" t="s">
        <v>173</v>
      </c>
      <c r="H925" t="s">
        <v>35</v>
      </c>
      <c r="I925" t="s">
        <v>46</v>
      </c>
      <c r="K925" t="s">
        <v>1207</v>
      </c>
      <c r="L925" t="s">
        <v>48</v>
      </c>
      <c r="M925" t="s">
        <v>49</v>
      </c>
      <c r="N925" t="s">
        <v>49</v>
      </c>
      <c r="O925" t="s">
        <v>4473</v>
      </c>
      <c r="P925" t="s">
        <v>49</v>
      </c>
      <c r="Q925" t="s">
        <v>4474</v>
      </c>
      <c r="R925" t="s">
        <v>4475</v>
      </c>
      <c r="S925" t="s">
        <v>87</v>
      </c>
      <c r="T925" t="s">
        <v>1046</v>
      </c>
      <c r="U925" t="s">
        <v>759</v>
      </c>
      <c r="V925" t="s">
        <v>91</v>
      </c>
    </row>
    <row r="926" spans="1:22" x14ac:dyDescent="0.35">
      <c r="A926" t="s">
        <v>4477</v>
      </c>
      <c r="B926" t="s">
        <v>4478</v>
      </c>
      <c r="C926" t="s">
        <v>28</v>
      </c>
      <c r="D926" t="s">
        <v>28</v>
      </c>
      <c r="E926" t="s">
        <v>28</v>
      </c>
      <c r="F926" t="s">
        <v>28</v>
      </c>
      <c r="G926" t="s">
        <v>28</v>
      </c>
      <c r="H926" t="s">
        <v>28</v>
      </c>
      <c r="I926" t="s">
        <v>46</v>
      </c>
      <c r="K926" t="s">
        <v>4479</v>
      </c>
      <c r="L926" t="s">
        <v>49</v>
      </c>
      <c r="M926" t="s">
        <v>38</v>
      </c>
      <c r="N926" t="s">
        <v>38</v>
      </c>
      <c r="O926" t="s">
        <v>4480</v>
      </c>
      <c r="P926" t="s">
        <v>49</v>
      </c>
      <c r="Q926" t="s">
        <v>4481</v>
      </c>
      <c r="R926" t="s">
        <v>4482</v>
      </c>
      <c r="S926" t="s">
        <v>87</v>
      </c>
      <c r="T926" t="s">
        <v>4484</v>
      </c>
      <c r="U926" t="s">
        <v>1260</v>
      </c>
      <c r="V926" t="s">
        <v>91</v>
      </c>
    </row>
    <row r="927" spans="1:22" x14ac:dyDescent="0.35">
      <c r="A927" t="s">
        <v>4485</v>
      </c>
      <c r="B927" t="s">
        <v>4486</v>
      </c>
      <c r="C927" t="s">
        <v>28</v>
      </c>
      <c r="D927" t="s">
        <v>28</v>
      </c>
      <c r="E927" t="s">
        <v>28</v>
      </c>
      <c r="F927" t="s">
        <v>28</v>
      </c>
      <c r="G927" t="s">
        <v>28</v>
      </c>
      <c r="H927" t="s">
        <v>28</v>
      </c>
      <c r="I927" t="s">
        <v>36</v>
      </c>
      <c r="K927" t="s">
        <v>4487</v>
      </c>
      <c r="L927" t="s">
        <v>49</v>
      </c>
      <c r="M927" t="s">
        <v>38</v>
      </c>
      <c r="N927" t="s">
        <v>49</v>
      </c>
      <c r="O927" t="s">
        <v>4488</v>
      </c>
      <c r="P927" t="s">
        <v>38</v>
      </c>
      <c r="Q927" t="s">
        <v>4489</v>
      </c>
      <c r="R927" t="s">
        <v>4490</v>
      </c>
      <c r="S927" t="s">
        <v>87</v>
      </c>
      <c r="T927" t="s">
        <v>4484</v>
      </c>
      <c r="U927" t="s">
        <v>4492</v>
      </c>
      <c r="V927" t="s">
        <v>129</v>
      </c>
    </row>
    <row r="928" spans="1:22" x14ac:dyDescent="0.35">
      <c r="A928" t="s">
        <v>4493</v>
      </c>
      <c r="B928" t="s">
        <v>3596</v>
      </c>
      <c r="C928" t="s">
        <v>28</v>
      </c>
      <c r="D928" t="s">
        <v>28</v>
      </c>
      <c r="E928" t="s">
        <v>28</v>
      </c>
      <c r="F928" t="s">
        <v>28</v>
      </c>
      <c r="G928" t="s">
        <v>28</v>
      </c>
      <c r="H928" t="s">
        <v>28</v>
      </c>
      <c r="I928" t="s">
        <v>36</v>
      </c>
      <c r="K928" t="s">
        <v>4494</v>
      </c>
      <c r="L928" t="s">
        <v>49</v>
      </c>
      <c r="M928" t="s">
        <v>38</v>
      </c>
      <c r="N928" t="s">
        <v>49</v>
      </c>
      <c r="O928" t="s">
        <v>4495</v>
      </c>
      <c r="P928" t="s">
        <v>38</v>
      </c>
      <c r="Q928" t="s">
        <v>4496</v>
      </c>
      <c r="R928" t="s">
        <v>4497</v>
      </c>
      <c r="S928" t="s">
        <v>87</v>
      </c>
      <c r="T928" t="s">
        <v>4484</v>
      </c>
      <c r="U928" t="s">
        <v>1325</v>
      </c>
      <c r="V928" t="s">
        <v>91</v>
      </c>
    </row>
    <row r="929" spans="1:22" x14ac:dyDescent="0.35">
      <c r="A929" t="s">
        <v>4499</v>
      </c>
      <c r="B929" t="s">
        <v>4500</v>
      </c>
      <c r="C929" t="s">
        <v>33</v>
      </c>
      <c r="D929" t="s">
        <v>158</v>
      </c>
      <c r="E929" t="s">
        <v>157</v>
      </c>
      <c r="F929" t="s">
        <v>103</v>
      </c>
      <c r="G929" t="s">
        <v>45</v>
      </c>
      <c r="H929" t="s">
        <v>45</v>
      </c>
      <c r="I929" t="s">
        <v>46</v>
      </c>
      <c r="K929" t="s">
        <v>4501</v>
      </c>
      <c r="L929" t="s">
        <v>38</v>
      </c>
      <c r="M929" t="s">
        <v>48</v>
      </c>
      <c r="N929" t="s">
        <v>49</v>
      </c>
      <c r="O929" t="s">
        <v>4502</v>
      </c>
      <c r="P929" t="s">
        <v>38</v>
      </c>
      <c r="Q929" t="s">
        <v>4503</v>
      </c>
      <c r="R929" t="s">
        <v>4504</v>
      </c>
      <c r="S929" t="s">
        <v>79</v>
      </c>
      <c r="T929" t="s">
        <v>4505</v>
      </c>
      <c r="U929" t="s">
        <v>4506</v>
      </c>
      <c r="V929" t="s">
        <v>91</v>
      </c>
    </row>
    <row r="930" spans="1:22" x14ac:dyDescent="0.35">
      <c r="A930" t="s">
        <v>4507</v>
      </c>
      <c r="B930" t="s">
        <v>4508</v>
      </c>
      <c r="C930" t="s">
        <v>28</v>
      </c>
      <c r="D930" t="s">
        <v>29</v>
      </c>
      <c r="E930" t="s">
        <v>60</v>
      </c>
      <c r="F930" t="s">
        <v>173</v>
      </c>
      <c r="G930" t="s">
        <v>28</v>
      </c>
      <c r="H930" t="s">
        <v>28</v>
      </c>
      <c r="I930" t="s">
        <v>36</v>
      </c>
      <c r="K930" t="s">
        <v>4509</v>
      </c>
      <c r="L930" t="s">
        <v>48</v>
      </c>
      <c r="M930" t="s">
        <v>48</v>
      </c>
      <c r="N930" t="s">
        <v>39</v>
      </c>
      <c r="O930" t="s">
        <v>4510</v>
      </c>
      <c r="P930" t="s">
        <v>38</v>
      </c>
      <c r="Q930" t="s">
        <v>4511</v>
      </c>
      <c r="R930" t="s">
        <v>4512</v>
      </c>
      <c r="S930" t="s">
        <v>65</v>
      </c>
      <c r="T930" t="s">
        <v>4514</v>
      </c>
      <c r="U930" t="s">
        <v>4515</v>
      </c>
      <c r="V930" t="s">
        <v>91</v>
      </c>
    </row>
    <row r="931" spans="1:22" x14ac:dyDescent="0.35">
      <c r="A931" t="s">
        <v>4516</v>
      </c>
      <c r="B931" t="s">
        <v>4517</v>
      </c>
      <c r="C931" t="s">
        <v>28</v>
      </c>
      <c r="D931" t="s">
        <v>33</v>
      </c>
      <c r="E931" t="s">
        <v>28</v>
      </c>
      <c r="F931" t="s">
        <v>30</v>
      </c>
      <c r="G931" t="s">
        <v>28</v>
      </c>
      <c r="H931" t="s">
        <v>45</v>
      </c>
      <c r="I931" t="s">
        <v>46</v>
      </c>
      <c r="K931" t="s">
        <v>4518</v>
      </c>
      <c r="L931" t="s">
        <v>48</v>
      </c>
      <c r="M931" t="s">
        <v>48</v>
      </c>
      <c r="N931" t="s">
        <v>39</v>
      </c>
      <c r="O931" t="s">
        <v>4519</v>
      </c>
      <c r="P931" t="s">
        <v>48</v>
      </c>
      <c r="Q931" t="s">
        <v>4520</v>
      </c>
      <c r="R931" t="s">
        <v>4521</v>
      </c>
      <c r="S931" t="s">
        <v>79</v>
      </c>
      <c r="T931" t="s">
        <v>4514</v>
      </c>
      <c r="U931" t="s">
        <v>1117</v>
      </c>
      <c r="V931" t="s">
        <v>170</v>
      </c>
    </row>
    <row r="932" spans="1:22" x14ac:dyDescent="0.35">
      <c r="A932" t="s">
        <v>4523</v>
      </c>
      <c r="B932" t="s">
        <v>4524</v>
      </c>
      <c r="C932" t="s">
        <v>44</v>
      </c>
      <c r="D932" t="s">
        <v>60</v>
      </c>
      <c r="E932" t="s">
        <v>28</v>
      </c>
      <c r="F932" t="s">
        <v>103</v>
      </c>
      <c r="G932" t="s">
        <v>103</v>
      </c>
      <c r="H932" t="s">
        <v>35</v>
      </c>
      <c r="I932" t="s">
        <v>36</v>
      </c>
      <c r="K932" t="s">
        <v>4525</v>
      </c>
      <c r="L932" t="s">
        <v>49</v>
      </c>
      <c r="M932" t="s">
        <v>38</v>
      </c>
      <c r="N932" t="s">
        <v>38</v>
      </c>
      <c r="O932" t="s">
        <v>4526</v>
      </c>
      <c r="P932" t="s">
        <v>49</v>
      </c>
      <c r="Q932" t="s">
        <v>4527</v>
      </c>
      <c r="R932" t="s">
        <v>4528</v>
      </c>
      <c r="S932" t="s">
        <v>79</v>
      </c>
      <c r="T932" t="s">
        <v>4530</v>
      </c>
      <c r="U932" t="s">
        <v>1152</v>
      </c>
      <c r="V932" t="s">
        <v>170</v>
      </c>
    </row>
    <row r="933" spans="1:22" x14ac:dyDescent="0.35">
      <c r="A933" t="s">
        <v>4531</v>
      </c>
      <c r="B933" t="s">
        <v>4532</v>
      </c>
      <c r="C933" t="s">
        <v>28</v>
      </c>
      <c r="D933" t="s">
        <v>29</v>
      </c>
      <c r="E933" t="s">
        <v>28</v>
      </c>
      <c r="F933" t="s">
        <v>30</v>
      </c>
      <c r="G933" t="s">
        <v>173</v>
      </c>
      <c r="H933" t="s">
        <v>368</v>
      </c>
      <c r="I933" t="s">
        <v>36</v>
      </c>
      <c r="K933" t="s">
        <v>4533</v>
      </c>
      <c r="L933" t="s">
        <v>48</v>
      </c>
      <c r="M933" t="s">
        <v>49</v>
      </c>
      <c r="N933" t="s">
        <v>40</v>
      </c>
      <c r="O933" t="s">
        <v>4533</v>
      </c>
      <c r="P933" t="s">
        <v>49</v>
      </c>
      <c r="Q933" t="s">
        <v>4534</v>
      </c>
      <c r="R933" t="s">
        <v>4535</v>
      </c>
      <c r="S933" t="s">
        <v>53</v>
      </c>
      <c r="T933" t="s">
        <v>4514</v>
      </c>
      <c r="U933" t="s">
        <v>759</v>
      </c>
      <c r="V933" t="s">
        <v>91</v>
      </c>
    </row>
    <row r="934" spans="1:22" x14ac:dyDescent="0.35">
      <c r="A934" t="s">
        <v>4537</v>
      </c>
      <c r="B934" t="s">
        <v>4538</v>
      </c>
      <c r="C934" t="s">
        <v>29</v>
      </c>
      <c r="D934" t="s">
        <v>60</v>
      </c>
      <c r="E934" t="s">
        <v>60</v>
      </c>
      <c r="F934" t="s">
        <v>30</v>
      </c>
      <c r="G934" t="s">
        <v>28</v>
      </c>
      <c r="H934" t="s">
        <v>28</v>
      </c>
      <c r="I934" t="s">
        <v>46</v>
      </c>
      <c r="K934" t="s">
        <v>4539</v>
      </c>
      <c r="L934" t="s">
        <v>38</v>
      </c>
      <c r="M934" t="s">
        <v>38</v>
      </c>
      <c r="N934" t="s">
        <v>49</v>
      </c>
      <c r="O934" t="s">
        <v>4540</v>
      </c>
      <c r="P934" t="s">
        <v>48</v>
      </c>
      <c r="Q934" t="s">
        <v>4541</v>
      </c>
      <c r="R934" t="s">
        <v>4542</v>
      </c>
      <c r="S934" t="s">
        <v>79</v>
      </c>
      <c r="T934" t="s">
        <v>4544</v>
      </c>
      <c r="U934" t="s">
        <v>4545</v>
      </c>
      <c r="V934" t="s">
        <v>91</v>
      </c>
    </row>
    <row r="935" spans="1:22" x14ac:dyDescent="0.35">
      <c r="A935" t="s">
        <v>4546</v>
      </c>
      <c r="B935" t="s">
        <v>4547</v>
      </c>
      <c r="C935" t="s">
        <v>28</v>
      </c>
      <c r="D935" t="s">
        <v>60</v>
      </c>
      <c r="E935" t="s">
        <v>60</v>
      </c>
      <c r="F935" t="s">
        <v>30</v>
      </c>
      <c r="G935" t="s">
        <v>45</v>
      </c>
      <c r="H935" t="s">
        <v>45</v>
      </c>
      <c r="I935" t="s">
        <v>46</v>
      </c>
      <c r="K935" t="s">
        <v>4548</v>
      </c>
      <c r="L935" t="s">
        <v>48</v>
      </c>
      <c r="M935" t="s">
        <v>48</v>
      </c>
      <c r="N935" t="s">
        <v>38</v>
      </c>
      <c r="O935" t="s">
        <v>4549</v>
      </c>
      <c r="P935" t="s">
        <v>38</v>
      </c>
      <c r="Q935" t="s">
        <v>4550</v>
      </c>
      <c r="R935" t="s">
        <v>4551</v>
      </c>
      <c r="S935" t="s">
        <v>53</v>
      </c>
      <c r="T935" t="s">
        <v>4514</v>
      </c>
      <c r="U935" t="s">
        <v>4376</v>
      </c>
      <c r="V935" t="s">
        <v>129</v>
      </c>
    </row>
    <row r="936" spans="1:22" x14ac:dyDescent="0.35">
      <c r="A936" t="s">
        <v>4553</v>
      </c>
      <c r="B936" t="s">
        <v>4554</v>
      </c>
      <c r="C936" t="s">
        <v>28</v>
      </c>
      <c r="D936" t="s">
        <v>44</v>
      </c>
      <c r="E936" t="s">
        <v>60</v>
      </c>
      <c r="F936" t="s">
        <v>173</v>
      </c>
      <c r="G936" t="s">
        <v>173</v>
      </c>
      <c r="H936" t="s">
        <v>61</v>
      </c>
      <c r="I936" t="s">
        <v>36</v>
      </c>
      <c r="K936" t="s">
        <v>4555</v>
      </c>
      <c r="L936" t="s">
        <v>38</v>
      </c>
      <c r="M936" t="s">
        <v>38</v>
      </c>
      <c r="N936" t="s">
        <v>38</v>
      </c>
      <c r="O936" t="s">
        <v>4556</v>
      </c>
      <c r="P936" t="s">
        <v>38</v>
      </c>
      <c r="Q936" t="s">
        <v>4557</v>
      </c>
      <c r="R936" t="s">
        <v>4558</v>
      </c>
      <c r="S936" t="s">
        <v>65</v>
      </c>
      <c r="T936" t="s">
        <v>4544</v>
      </c>
      <c r="U936" t="s">
        <v>4560</v>
      </c>
      <c r="V936" t="s">
        <v>129</v>
      </c>
    </row>
    <row r="937" spans="1:22" x14ac:dyDescent="0.35">
      <c r="A937" t="s">
        <v>4561</v>
      </c>
      <c r="B937" t="s">
        <v>4238</v>
      </c>
      <c r="C937" t="s">
        <v>28</v>
      </c>
      <c r="D937" t="s">
        <v>29</v>
      </c>
      <c r="E937" t="s">
        <v>60</v>
      </c>
      <c r="F937" t="s">
        <v>30</v>
      </c>
      <c r="G937" t="s">
        <v>30</v>
      </c>
      <c r="H937" t="s">
        <v>94</v>
      </c>
      <c r="I937" t="s">
        <v>36</v>
      </c>
      <c r="K937" t="s">
        <v>4562</v>
      </c>
      <c r="L937" t="s">
        <v>48</v>
      </c>
      <c r="M937" t="s">
        <v>48</v>
      </c>
      <c r="N937" t="s">
        <v>39</v>
      </c>
      <c r="O937" t="s">
        <v>4563</v>
      </c>
      <c r="P937" t="s">
        <v>38</v>
      </c>
      <c r="Q937" t="s">
        <v>4564</v>
      </c>
      <c r="R937" t="s">
        <v>4565</v>
      </c>
      <c r="S937" t="s">
        <v>65</v>
      </c>
      <c r="T937" t="s">
        <v>4514</v>
      </c>
      <c r="U937" t="s">
        <v>4567</v>
      </c>
      <c r="V937" t="s">
        <v>91</v>
      </c>
    </row>
    <row r="938" spans="1:22" x14ac:dyDescent="0.35">
      <c r="A938" t="s">
        <v>4568</v>
      </c>
      <c r="B938" t="s">
        <v>4569</v>
      </c>
      <c r="C938" t="s">
        <v>449</v>
      </c>
      <c r="D938" t="s">
        <v>29</v>
      </c>
      <c r="E938" t="s">
        <v>29</v>
      </c>
      <c r="F938" t="s">
        <v>30</v>
      </c>
      <c r="G938" t="s">
        <v>34</v>
      </c>
      <c r="H938" t="s">
        <v>45</v>
      </c>
      <c r="I938" t="s">
        <v>46</v>
      </c>
      <c r="K938" t="s">
        <v>4570</v>
      </c>
      <c r="L938" t="s">
        <v>49</v>
      </c>
      <c r="M938" t="s">
        <v>48</v>
      </c>
      <c r="N938" t="s">
        <v>40</v>
      </c>
      <c r="O938" t="s">
        <v>4571</v>
      </c>
      <c r="P938" t="s">
        <v>38</v>
      </c>
      <c r="Q938" t="s">
        <v>4572</v>
      </c>
      <c r="R938" t="s">
        <v>4573</v>
      </c>
      <c r="S938" t="s">
        <v>87</v>
      </c>
      <c r="T938" t="s">
        <v>4514</v>
      </c>
      <c r="U938" t="s">
        <v>4575</v>
      </c>
      <c r="V938" t="s">
        <v>170</v>
      </c>
    </row>
    <row r="939" spans="1:22" x14ac:dyDescent="0.35">
      <c r="A939" t="s">
        <v>4576</v>
      </c>
      <c r="B939" t="s">
        <v>4577</v>
      </c>
      <c r="C939" t="s">
        <v>28</v>
      </c>
      <c r="D939" t="s">
        <v>29</v>
      </c>
      <c r="E939" t="s">
        <v>28</v>
      </c>
      <c r="F939" t="s">
        <v>30</v>
      </c>
      <c r="G939" t="s">
        <v>34</v>
      </c>
      <c r="H939" t="s">
        <v>45</v>
      </c>
      <c r="I939" t="s">
        <v>36</v>
      </c>
      <c r="K939" t="s">
        <v>4509</v>
      </c>
      <c r="L939" t="s">
        <v>48</v>
      </c>
      <c r="M939" t="s">
        <v>48</v>
      </c>
      <c r="N939" t="s">
        <v>39</v>
      </c>
      <c r="O939" t="s">
        <v>4578</v>
      </c>
      <c r="P939" t="s">
        <v>38</v>
      </c>
      <c r="Q939" t="s">
        <v>4579</v>
      </c>
      <c r="R939" t="s">
        <v>4580</v>
      </c>
      <c r="S939" t="s">
        <v>87</v>
      </c>
      <c r="T939" t="s">
        <v>4514</v>
      </c>
      <c r="U939" t="s">
        <v>1090</v>
      </c>
      <c r="V939" t="s">
        <v>91</v>
      </c>
    </row>
    <row r="940" spans="1:22" x14ac:dyDescent="0.35">
      <c r="A940" t="s">
        <v>4582</v>
      </c>
      <c r="B940" t="s">
        <v>4583</v>
      </c>
      <c r="C940" t="s">
        <v>28</v>
      </c>
      <c r="D940" t="s">
        <v>29</v>
      </c>
      <c r="E940" t="s">
        <v>28</v>
      </c>
      <c r="F940" t="s">
        <v>30</v>
      </c>
      <c r="G940" t="s">
        <v>30</v>
      </c>
      <c r="H940" t="s">
        <v>368</v>
      </c>
      <c r="I940" t="s">
        <v>36</v>
      </c>
      <c r="K940" t="s">
        <v>4518</v>
      </c>
      <c r="L940" t="s">
        <v>48</v>
      </c>
      <c r="M940" t="s">
        <v>48</v>
      </c>
      <c r="N940" t="s">
        <v>39</v>
      </c>
      <c r="O940" t="s">
        <v>4584</v>
      </c>
      <c r="P940" t="s">
        <v>38</v>
      </c>
      <c r="Q940" t="s">
        <v>4585</v>
      </c>
      <c r="R940" t="s">
        <v>4586</v>
      </c>
      <c r="S940" t="s">
        <v>53</v>
      </c>
      <c r="T940" t="s">
        <v>4514</v>
      </c>
      <c r="U940" t="s">
        <v>4588</v>
      </c>
      <c r="V940" t="s">
        <v>91</v>
      </c>
    </row>
    <row r="941" spans="1:22" x14ac:dyDescent="0.35">
      <c r="A941" t="s">
        <v>4589</v>
      </c>
      <c r="B941" t="s">
        <v>4590</v>
      </c>
      <c r="C941" t="s">
        <v>28</v>
      </c>
      <c r="D941" t="s">
        <v>29</v>
      </c>
      <c r="E941" t="s">
        <v>28</v>
      </c>
      <c r="F941" t="s">
        <v>173</v>
      </c>
      <c r="G941" t="s">
        <v>103</v>
      </c>
      <c r="H941" t="s">
        <v>45</v>
      </c>
      <c r="I941" t="s">
        <v>36</v>
      </c>
      <c r="K941" t="s">
        <v>4591</v>
      </c>
      <c r="L941" t="s">
        <v>49</v>
      </c>
      <c r="M941" t="s">
        <v>49</v>
      </c>
      <c r="N941" t="s">
        <v>38</v>
      </c>
      <c r="O941" t="s">
        <v>4592</v>
      </c>
      <c r="P941" t="s">
        <v>38</v>
      </c>
      <c r="Q941" t="s">
        <v>4593</v>
      </c>
      <c r="R941" t="s">
        <v>4594</v>
      </c>
      <c r="S941" t="s">
        <v>53</v>
      </c>
      <c r="T941" t="s">
        <v>4514</v>
      </c>
      <c r="U941" t="s">
        <v>4596</v>
      </c>
      <c r="V941" t="s">
        <v>91</v>
      </c>
    </row>
    <row r="942" spans="1:22" x14ac:dyDescent="0.35">
      <c r="A942" t="s">
        <v>4597</v>
      </c>
      <c r="B942" t="s">
        <v>4598</v>
      </c>
      <c r="C942" t="s">
        <v>29</v>
      </c>
      <c r="D942" t="s">
        <v>29</v>
      </c>
      <c r="E942" t="s">
        <v>29</v>
      </c>
      <c r="F942" t="s">
        <v>30</v>
      </c>
      <c r="G942" t="s">
        <v>30</v>
      </c>
      <c r="H942" t="s">
        <v>45</v>
      </c>
      <c r="I942" t="s">
        <v>46</v>
      </c>
      <c r="K942" t="s">
        <v>4533</v>
      </c>
      <c r="L942" t="s">
        <v>48</v>
      </c>
      <c r="M942" t="s">
        <v>49</v>
      </c>
      <c r="N942" t="s">
        <v>38</v>
      </c>
      <c r="O942" t="s">
        <v>4599</v>
      </c>
      <c r="P942" t="s">
        <v>38</v>
      </c>
      <c r="Q942" t="s">
        <v>4600</v>
      </c>
      <c r="R942" t="s">
        <v>4601</v>
      </c>
      <c r="S942" t="s">
        <v>65</v>
      </c>
      <c r="T942" t="s">
        <v>4514</v>
      </c>
      <c r="U942" t="s">
        <v>694</v>
      </c>
      <c r="V942" t="s">
        <v>129</v>
      </c>
    </row>
    <row r="943" spans="1:22" x14ac:dyDescent="0.35">
      <c r="A943" t="s">
        <v>4603</v>
      </c>
      <c r="B943" t="s">
        <v>4604</v>
      </c>
      <c r="C943" t="s">
        <v>377</v>
      </c>
      <c r="D943" t="s">
        <v>158</v>
      </c>
      <c r="E943" t="s">
        <v>28</v>
      </c>
      <c r="F943" t="s">
        <v>28</v>
      </c>
      <c r="G943" t="s">
        <v>45</v>
      </c>
      <c r="H943" t="s">
        <v>45</v>
      </c>
      <c r="I943" t="s">
        <v>46</v>
      </c>
      <c r="K943" t="s">
        <v>4525</v>
      </c>
      <c r="L943" t="s">
        <v>49</v>
      </c>
      <c r="M943" t="s">
        <v>38</v>
      </c>
      <c r="N943" t="s">
        <v>49</v>
      </c>
      <c r="O943" t="s">
        <v>4605</v>
      </c>
      <c r="P943" t="s">
        <v>49</v>
      </c>
      <c r="Q943" t="s">
        <v>4606</v>
      </c>
      <c r="R943" t="s">
        <v>4607</v>
      </c>
      <c r="S943" t="s">
        <v>65</v>
      </c>
      <c r="T943" t="s">
        <v>4544</v>
      </c>
      <c r="U943" t="s">
        <v>4609</v>
      </c>
      <c r="V943" t="s">
        <v>91</v>
      </c>
    </row>
    <row r="944" spans="1:22" x14ac:dyDescent="0.35">
      <c r="A944" t="s">
        <v>4610</v>
      </c>
      <c r="B944" t="s">
        <v>4611</v>
      </c>
      <c r="C944" t="s">
        <v>60</v>
      </c>
      <c r="D944" t="s">
        <v>29</v>
      </c>
      <c r="E944" t="s">
        <v>33</v>
      </c>
      <c r="F944" t="s">
        <v>173</v>
      </c>
      <c r="G944" t="s">
        <v>30</v>
      </c>
      <c r="H944" t="s">
        <v>28</v>
      </c>
      <c r="I944" t="s">
        <v>36</v>
      </c>
      <c r="K944" t="s">
        <v>4548</v>
      </c>
      <c r="L944" t="s">
        <v>48</v>
      </c>
      <c r="M944" t="s">
        <v>49</v>
      </c>
      <c r="N944" t="s">
        <v>38</v>
      </c>
      <c r="O944" t="s">
        <v>4612</v>
      </c>
      <c r="P944" t="s">
        <v>38</v>
      </c>
      <c r="Q944" t="s">
        <v>4613</v>
      </c>
      <c r="R944" t="s">
        <v>4614</v>
      </c>
      <c r="S944" t="s">
        <v>65</v>
      </c>
      <c r="T944" t="s">
        <v>4514</v>
      </c>
      <c r="U944" t="s">
        <v>4616</v>
      </c>
      <c r="V944" t="s">
        <v>170</v>
      </c>
    </row>
    <row r="945" spans="1:22" x14ac:dyDescent="0.35">
      <c r="A945" t="s">
        <v>4617</v>
      </c>
      <c r="B945" t="s">
        <v>4618</v>
      </c>
      <c r="C945" t="s">
        <v>377</v>
      </c>
      <c r="D945" t="s">
        <v>158</v>
      </c>
      <c r="E945" t="s">
        <v>44</v>
      </c>
      <c r="F945" t="s">
        <v>103</v>
      </c>
      <c r="G945" t="s">
        <v>45</v>
      </c>
      <c r="H945" t="s">
        <v>28</v>
      </c>
      <c r="I945" t="s">
        <v>36</v>
      </c>
      <c r="K945" t="s">
        <v>4525</v>
      </c>
      <c r="L945" t="s">
        <v>38</v>
      </c>
      <c r="M945" t="s">
        <v>40</v>
      </c>
      <c r="N945" t="s">
        <v>49</v>
      </c>
      <c r="O945" t="s">
        <v>4619</v>
      </c>
      <c r="P945" t="s">
        <v>38</v>
      </c>
      <c r="Q945" t="s">
        <v>4620</v>
      </c>
      <c r="R945" t="s">
        <v>4621</v>
      </c>
      <c r="S945" t="s">
        <v>53</v>
      </c>
      <c r="T945" t="s">
        <v>4530</v>
      </c>
      <c r="U945" t="s">
        <v>4623</v>
      </c>
      <c r="V945" t="s">
        <v>91</v>
      </c>
    </row>
    <row r="946" spans="1:22" x14ac:dyDescent="0.35">
      <c r="A946" t="s">
        <v>4624</v>
      </c>
      <c r="B946" t="s">
        <v>4283</v>
      </c>
      <c r="C946" t="s">
        <v>28</v>
      </c>
      <c r="D946" t="s">
        <v>29</v>
      </c>
      <c r="E946" t="s">
        <v>60</v>
      </c>
      <c r="F946" t="s">
        <v>173</v>
      </c>
      <c r="G946" t="s">
        <v>173</v>
      </c>
      <c r="H946" t="s">
        <v>368</v>
      </c>
      <c r="I946" t="s">
        <v>46</v>
      </c>
      <c r="K946" t="s">
        <v>4562</v>
      </c>
      <c r="L946" t="s">
        <v>49</v>
      </c>
      <c r="M946" t="s">
        <v>49</v>
      </c>
      <c r="N946" t="s">
        <v>38</v>
      </c>
      <c r="O946" t="s">
        <v>4625</v>
      </c>
      <c r="P946" t="s">
        <v>38</v>
      </c>
      <c r="Q946" t="s">
        <v>4626</v>
      </c>
      <c r="R946" t="s">
        <v>4627</v>
      </c>
      <c r="S946" t="s">
        <v>53</v>
      </c>
      <c r="T946" t="s">
        <v>4514</v>
      </c>
      <c r="U946" t="s">
        <v>759</v>
      </c>
      <c r="V946" t="s">
        <v>91</v>
      </c>
    </row>
    <row r="947" spans="1:22" x14ac:dyDescent="0.35">
      <c r="A947" t="s">
        <v>4629</v>
      </c>
      <c r="B947" t="s">
        <v>4630</v>
      </c>
      <c r="C947" t="s">
        <v>28</v>
      </c>
      <c r="D947" t="s">
        <v>28</v>
      </c>
      <c r="E947" t="s">
        <v>28</v>
      </c>
      <c r="F947" t="s">
        <v>28</v>
      </c>
      <c r="G947" t="s">
        <v>28</v>
      </c>
      <c r="H947" t="s">
        <v>28</v>
      </c>
      <c r="I947" t="s">
        <v>36</v>
      </c>
      <c r="K947" t="s">
        <v>4509</v>
      </c>
      <c r="L947" t="s">
        <v>38</v>
      </c>
      <c r="M947" t="s">
        <v>38</v>
      </c>
      <c r="N947" t="s">
        <v>38</v>
      </c>
      <c r="O947" t="s">
        <v>4631</v>
      </c>
      <c r="P947" t="s">
        <v>38</v>
      </c>
      <c r="Q947" t="s">
        <v>4632</v>
      </c>
      <c r="R947" t="s">
        <v>4633</v>
      </c>
      <c r="S947" t="s">
        <v>79</v>
      </c>
      <c r="T947" t="s">
        <v>4514</v>
      </c>
      <c r="U947" t="s">
        <v>4635</v>
      </c>
      <c r="V947" t="s">
        <v>91</v>
      </c>
    </row>
    <row r="948" spans="1:22" x14ac:dyDescent="0.35">
      <c r="A948" t="s">
        <v>4636</v>
      </c>
      <c r="B948" t="s">
        <v>1112</v>
      </c>
      <c r="C948" t="s">
        <v>29</v>
      </c>
      <c r="D948" t="s">
        <v>33</v>
      </c>
      <c r="E948" t="s">
        <v>33</v>
      </c>
      <c r="F948" t="s">
        <v>30</v>
      </c>
      <c r="G948" t="s">
        <v>30</v>
      </c>
      <c r="H948" t="s">
        <v>368</v>
      </c>
      <c r="I948" t="s">
        <v>46</v>
      </c>
      <c r="K948" t="s">
        <v>4570</v>
      </c>
      <c r="L948" t="s">
        <v>48</v>
      </c>
      <c r="M948" t="s">
        <v>48</v>
      </c>
      <c r="N948" t="s">
        <v>40</v>
      </c>
      <c r="O948" t="s">
        <v>4637</v>
      </c>
      <c r="P948" t="s">
        <v>38</v>
      </c>
      <c r="Q948" t="s">
        <v>4638</v>
      </c>
      <c r="R948" t="s">
        <v>4639</v>
      </c>
      <c r="S948" t="s">
        <v>87</v>
      </c>
      <c r="T948" t="s">
        <v>4514</v>
      </c>
      <c r="U948" t="s">
        <v>1532</v>
      </c>
      <c r="V948" t="s">
        <v>91</v>
      </c>
    </row>
    <row r="949" spans="1:22" x14ac:dyDescent="0.35">
      <c r="A949" t="s">
        <v>4641</v>
      </c>
      <c r="B949" t="s">
        <v>4225</v>
      </c>
      <c r="C949" t="s">
        <v>28</v>
      </c>
      <c r="D949" t="s">
        <v>60</v>
      </c>
      <c r="E949" t="s">
        <v>284</v>
      </c>
      <c r="F949" t="s">
        <v>30</v>
      </c>
      <c r="G949" t="s">
        <v>28</v>
      </c>
      <c r="H949" t="s">
        <v>94</v>
      </c>
      <c r="I949" t="s">
        <v>36</v>
      </c>
      <c r="K949" t="s">
        <v>4591</v>
      </c>
      <c r="L949" t="s">
        <v>49</v>
      </c>
      <c r="M949" t="s">
        <v>48</v>
      </c>
      <c r="N949" t="s">
        <v>40</v>
      </c>
      <c r="O949" t="s">
        <v>4642</v>
      </c>
      <c r="P949" t="s">
        <v>48</v>
      </c>
      <c r="Q949" t="s">
        <v>4643</v>
      </c>
      <c r="R949" t="s">
        <v>4644</v>
      </c>
      <c r="S949" t="s">
        <v>79</v>
      </c>
      <c r="T949" t="s">
        <v>4514</v>
      </c>
      <c r="U949" t="s">
        <v>1090</v>
      </c>
      <c r="V949" t="s">
        <v>129</v>
      </c>
    </row>
    <row r="950" spans="1:22" x14ac:dyDescent="0.35">
      <c r="A950" t="s">
        <v>4646</v>
      </c>
      <c r="B950" t="s">
        <v>1041</v>
      </c>
      <c r="C950" t="s">
        <v>60</v>
      </c>
      <c r="D950" t="s">
        <v>29</v>
      </c>
      <c r="E950" t="s">
        <v>29</v>
      </c>
      <c r="F950" t="s">
        <v>28</v>
      </c>
      <c r="G950" t="s">
        <v>30</v>
      </c>
      <c r="H950" t="s">
        <v>45</v>
      </c>
      <c r="I950" t="s">
        <v>46</v>
      </c>
      <c r="K950" t="s">
        <v>4518</v>
      </c>
      <c r="L950" t="s">
        <v>48</v>
      </c>
      <c r="M950" t="s">
        <v>48</v>
      </c>
      <c r="N950" t="s">
        <v>38</v>
      </c>
      <c r="O950" t="s">
        <v>4647</v>
      </c>
      <c r="P950" t="s">
        <v>38</v>
      </c>
      <c r="Q950" t="s">
        <v>4648</v>
      </c>
      <c r="R950" t="s">
        <v>4649</v>
      </c>
      <c r="S950" t="s">
        <v>87</v>
      </c>
      <c r="T950" t="s">
        <v>4514</v>
      </c>
      <c r="U950" t="s">
        <v>4567</v>
      </c>
      <c r="V950" t="s">
        <v>91</v>
      </c>
    </row>
    <row r="951" spans="1:22" x14ac:dyDescent="0.35">
      <c r="A951" t="s">
        <v>4651</v>
      </c>
      <c r="B951" t="s">
        <v>4652</v>
      </c>
      <c r="C951" t="s">
        <v>60</v>
      </c>
      <c r="D951" t="s">
        <v>29</v>
      </c>
      <c r="E951" t="s">
        <v>284</v>
      </c>
      <c r="F951" t="s">
        <v>30</v>
      </c>
      <c r="G951" t="s">
        <v>368</v>
      </c>
      <c r="H951" t="s">
        <v>73</v>
      </c>
      <c r="I951" t="s">
        <v>36</v>
      </c>
      <c r="K951" t="s">
        <v>4548</v>
      </c>
      <c r="L951" t="s">
        <v>49</v>
      </c>
      <c r="M951" t="s">
        <v>49</v>
      </c>
      <c r="N951" t="s">
        <v>38</v>
      </c>
      <c r="O951" t="s">
        <v>4653</v>
      </c>
      <c r="P951" t="s">
        <v>48</v>
      </c>
      <c r="Q951" t="s">
        <v>4654</v>
      </c>
      <c r="R951" t="s">
        <v>4655</v>
      </c>
      <c r="S951" t="s">
        <v>53</v>
      </c>
      <c r="T951" t="s">
        <v>4514</v>
      </c>
      <c r="U951" t="s">
        <v>4397</v>
      </c>
      <c r="V951" t="s">
        <v>91</v>
      </c>
    </row>
    <row r="952" spans="1:22" x14ac:dyDescent="0.35">
      <c r="A952" t="s">
        <v>4657</v>
      </c>
      <c r="B952" t="s">
        <v>4369</v>
      </c>
      <c r="C952" t="s">
        <v>28</v>
      </c>
      <c r="D952" t="s">
        <v>60</v>
      </c>
      <c r="E952" t="s">
        <v>28</v>
      </c>
      <c r="F952" t="s">
        <v>30</v>
      </c>
      <c r="G952" t="s">
        <v>28</v>
      </c>
      <c r="H952" t="s">
        <v>73</v>
      </c>
      <c r="I952" t="s">
        <v>46</v>
      </c>
      <c r="K952" t="s">
        <v>4533</v>
      </c>
      <c r="L952" t="s">
        <v>48</v>
      </c>
      <c r="M952" t="s">
        <v>48</v>
      </c>
      <c r="N952" t="s">
        <v>38</v>
      </c>
      <c r="O952" t="s">
        <v>4658</v>
      </c>
      <c r="P952" t="s">
        <v>48</v>
      </c>
      <c r="Q952" t="s">
        <v>4659</v>
      </c>
      <c r="R952" t="s">
        <v>4660</v>
      </c>
      <c r="S952" t="s">
        <v>135</v>
      </c>
      <c r="T952" t="s">
        <v>4514</v>
      </c>
      <c r="U952" t="s">
        <v>694</v>
      </c>
      <c r="V952" t="s">
        <v>91</v>
      </c>
    </row>
    <row r="953" spans="1:22" x14ac:dyDescent="0.35">
      <c r="A953" t="s">
        <v>4662</v>
      </c>
      <c r="B953" t="s">
        <v>4663</v>
      </c>
      <c r="C953" t="s">
        <v>28</v>
      </c>
      <c r="D953" t="s">
        <v>33</v>
      </c>
      <c r="E953" t="s">
        <v>284</v>
      </c>
      <c r="F953" t="s">
        <v>30</v>
      </c>
      <c r="G953" t="s">
        <v>28</v>
      </c>
      <c r="H953" t="s">
        <v>368</v>
      </c>
      <c r="I953" t="s">
        <v>46</v>
      </c>
      <c r="K953" t="s">
        <v>4664</v>
      </c>
      <c r="L953" t="s">
        <v>49</v>
      </c>
      <c r="M953" t="s">
        <v>48</v>
      </c>
      <c r="N953" t="s">
        <v>40</v>
      </c>
      <c r="O953" t="s">
        <v>4665</v>
      </c>
      <c r="P953" t="s">
        <v>48</v>
      </c>
      <c r="Q953" t="s">
        <v>4666</v>
      </c>
      <c r="R953" t="s">
        <v>4667</v>
      </c>
      <c r="S953" t="s">
        <v>87</v>
      </c>
      <c r="T953" t="s">
        <v>4514</v>
      </c>
      <c r="U953" t="s">
        <v>1090</v>
      </c>
      <c r="V953" t="s">
        <v>91</v>
      </c>
    </row>
    <row r="954" spans="1:22" x14ac:dyDescent="0.35">
      <c r="A954" t="s">
        <v>4669</v>
      </c>
      <c r="B954" t="s">
        <v>4670</v>
      </c>
      <c r="C954" t="s">
        <v>28</v>
      </c>
      <c r="D954" t="s">
        <v>29</v>
      </c>
      <c r="E954" t="s">
        <v>206</v>
      </c>
      <c r="F954" t="s">
        <v>30</v>
      </c>
      <c r="G954" t="s">
        <v>368</v>
      </c>
      <c r="H954" t="s">
        <v>73</v>
      </c>
      <c r="I954" t="s">
        <v>46</v>
      </c>
      <c r="K954" t="s">
        <v>4509</v>
      </c>
      <c r="L954" t="s">
        <v>49</v>
      </c>
      <c r="M954" t="s">
        <v>49</v>
      </c>
      <c r="N954" t="s">
        <v>39</v>
      </c>
      <c r="O954" t="s">
        <v>4671</v>
      </c>
      <c r="P954" t="s">
        <v>48</v>
      </c>
      <c r="Q954" t="s">
        <v>4672</v>
      </c>
      <c r="R954" t="s">
        <v>4673</v>
      </c>
      <c r="S954" t="s">
        <v>87</v>
      </c>
      <c r="T954" t="s">
        <v>4514</v>
      </c>
      <c r="U954" t="s">
        <v>1532</v>
      </c>
      <c r="V954" t="s">
        <v>91</v>
      </c>
    </row>
    <row r="955" spans="1:22" x14ac:dyDescent="0.35">
      <c r="A955" t="s">
        <v>4675</v>
      </c>
      <c r="B955" t="s">
        <v>4676</v>
      </c>
      <c r="C955" t="s">
        <v>28</v>
      </c>
      <c r="D955" t="s">
        <v>60</v>
      </c>
      <c r="E955" t="s">
        <v>206</v>
      </c>
      <c r="F955" t="s">
        <v>30</v>
      </c>
      <c r="G955" t="s">
        <v>368</v>
      </c>
      <c r="H955" t="s">
        <v>73</v>
      </c>
      <c r="I955" t="s">
        <v>46</v>
      </c>
      <c r="K955" t="s">
        <v>4677</v>
      </c>
      <c r="L955" t="s">
        <v>49</v>
      </c>
      <c r="M955" t="s">
        <v>49</v>
      </c>
      <c r="N955" t="s">
        <v>38</v>
      </c>
      <c r="O955" t="s">
        <v>4678</v>
      </c>
      <c r="P955" t="s">
        <v>48</v>
      </c>
      <c r="Q955" t="s">
        <v>4679</v>
      </c>
      <c r="R955" t="s">
        <v>4680</v>
      </c>
      <c r="S955" t="s">
        <v>87</v>
      </c>
      <c r="T955" t="s">
        <v>4505</v>
      </c>
      <c r="U955" t="s">
        <v>4588</v>
      </c>
      <c r="V955" t="s">
        <v>91</v>
      </c>
    </row>
    <row r="956" spans="1:22" x14ac:dyDescent="0.35">
      <c r="A956" t="s">
        <v>4682</v>
      </c>
      <c r="B956" t="s">
        <v>1041</v>
      </c>
      <c r="C956" t="s">
        <v>28</v>
      </c>
      <c r="D956" t="s">
        <v>29</v>
      </c>
      <c r="E956" t="s">
        <v>28</v>
      </c>
      <c r="F956" t="s">
        <v>34</v>
      </c>
      <c r="G956" t="s">
        <v>28</v>
      </c>
      <c r="H956" t="s">
        <v>368</v>
      </c>
      <c r="I956" t="s">
        <v>36</v>
      </c>
      <c r="K956" t="s">
        <v>4683</v>
      </c>
      <c r="L956" t="s">
        <v>49</v>
      </c>
      <c r="M956" t="s">
        <v>49</v>
      </c>
      <c r="N956" t="s">
        <v>40</v>
      </c>
      <c r="O956" t="s">
        <v>4684</v>
      </c>
      <c r="P956" t="s">
        <v>49</v>
      </c>
      <c r="Q956" t="s">
        <v>4685</v>
      </c>
      <c r="R956" t="s">
        <v>4686</v>
      </c>
      <c r="S956" t="s">
        <v>87</v>
      </c>
      <c r="T956" t="s">
        <v>4505</v>
      </c>
      <c r="U956" t="s">
        <v>4567</v>
      </c>
      <c r="V956" t="s">
        <v>170</v>
      </c>
    </row>
    <row r="957" spans="1:22" x14ac:dyDescent="0.35">
      <c r="A957" t="s">
        <v>4688</v>
      </c>
      <c r="B957" t="s">
        <v>4283</v>
      </c>
      <c r="C957" t="s">
        <v>28</v>
      </c>
      <c r="D957" t="s">
        <v>60</v>
      </c>
      <c r="E957" t="s">
        <v>28</v>
      </c>
      <c r="F957" t="s">
        <v>30</v>
      </c>
      <c r="G957" t="s">
        <v>28</v>
      </c>
      <c r="H957" t="s">
        <v>73</v>
      </c>
      <c r="I957" t="s">
        <v>46</v>
      </c>
      <c r="K957" t="s">
        <v>4539</v>
      </c>
      <c r="L957" t="s">
        <v>48</v>
      </c>
      <c r="M957" t="s">
        <v>48</v>
      </c>
      <c r="N957" t="s">
        <v>38</v>
      </c>
      <c r="P957" t="s">
        <v>40</v>
      </c>
      <c r="Q957" t="s">
        <v>4689</v>
      </c>
      <c r="R957" t="s">
        <v>4690</v>
      </c>
      <c r="S957" t="s">
        <v>135</v>
      </c>
      <c r="T957" t="s">
        <v>4505</v>
      </c>
      <c r="U957" t="s">
        <v>759</v>
      </c>
      <c r="V957" t="s">
        <v>91</v>
      </c>
    </row>
    <row r="958" spans="1:22" x14ac:dyDescent="0.35">
      <c r="A958" t="s">
        <v>4692</v>
      </c>
      <c r="B958" t="s">
        <v>4693</v>
      </c>
      <c r="C958" t="s">
        <v>28</v>
      </c>
      <c r="D958" t="s">
        <v>44</v>
      </c>
      <c r="E958" t="s">
        <v>28</v>
      </c>
      <c r="F958" t="s">
        <v>173</v>
      </c>
      <c r="G958" t="s">
        <v>368</v>
      </c>
      <c r="H958" t="s">
        <v>94</v>
      </c>
      <c r="I958" t="s">
        <v>36</v>
      </c>
      <c r="K958" t="s">
        <v>4555</v>
      </c>
      <c r="L958" t="s">
        <v>48</v>
      </c>
      <c r="M958" t="s">
        <v>49</v>
      </c>
      <c r="N958" t="s">
        <v>40</v>
      </c>
      <c r="O958" t="s">
        <v>4694</v>
      </c>
      <c r="P958" t="s">
        <v>48</v>
      </c>
      <c r="Q958" t="s">
        <v>4695</v>
      </c>
      <c r="R958" t="s">
        <v>4696</v>
      </c>
      <c r="S958" t="s">
        <v>87</v>
      </c>
      <c r="T958" t="s">
        <v>4505</v>
      </c>
      <c r="U958" t="s">
        <v>4397</v>
      </c>
      <c r="V958" t="s">
        <v>91</v>
      </c>
    </row>
    <row r="959" spans="1:22" x14ac:dyDescent="0.35">
      <c r="A959" t="s">
        <v>4698</v>
      </c>
      <c r="B959" t="s">
        <v>4699</v>
      </c>
      <c r="C959" t="s">
        <v>449</v>
      </c>
      <c r="D959" t="s">
        <v>29</v>
      </c>
      <c r="E959" t="s">
        <v>29</v>
      </c>
      <c r="F959" t="s">
        <v>34</v>
      </c>
      <c r="G959" t="s">
        <v>28</v>
      </c>
      <c r="H959" t="s">
        <v>368</v>
      </c>
      <c r="I959" t="s">
        <v>46</v>
      </c>
      <c r="K959" t="s">
        <v>4683</v>
      </c>
      <c r="L959" t="s">
        <v>49</v>
      </c>
      <c r="M959" t="s">
        <v>48</v>
      </c>
      <c r="N959" t="s">
        <v>39</v>
      </c>
      <c r="O959" t="s">
        <v>4700</v>
      </c>
      <c r="P959" t="s">
        <v>48</v>
      </c>
      <c r="Q959" t="s">
        <v>4701</v>
      </c>
      <c r="R959" t="s">
        <v>4702</v>
      </c>
      <c r="S959" t="s">
        <v>53</v>
      </c>
      <c r="T959" t="s">
        <v>4505</v>
      </c>
      <c r="U959" t="s">
        <v>694</v>
      </c>
      <c r="V959" t="s">
        <v>129</v>
      </c>
    </row>
    <row r="960" spans="1:22" x14ac:dyDescent="0.35">
      <c r="A960" t="s">
        <v>4704</v>
      </c>
      <c r="B960" t="s">
        <v>4705</v>
      </c>
      <c r="C960" t="s">
        <v>44</v>
      </c>
      <c r="D960" t="s">
        <v>44</v>
      </c>
      <c r="E960" t="s">
        <v>28</v>
      </c>
      <c r="F960" t="s">
        <v>103</v>
      </c>
      <c r="G960" t="s">
        <v>45</v>
      </c>
      <c r="H960" t="s">
        <v>292</v>
      </c>
      <c r="I960" t="s">
        <v>36</v>
      </c>
      <c r="K960" t="s">
        <v>4706</v>
      </c>
      <c r="L960" t="s">
        <v>38</v>
      </c>
      <c r="M960" t="s">
        <v>38</v>
      </c>
      <c r="N960" t="s">
        <v>49</v>
      </c>
      <c r="O960" t="s">
        <v>4707</v>
      </c>
      <c r="P960" t="s">
        <v>38</v>
      </c>
      <c r="Q960" t="s">
        <v>4708</v>
      </c>
      <c r="R960" t="s">
        <v>4709</v>
      </c>
      <c r="S960" t="s">
        <v>53</v>
      </c>
      <c r="T960" t="s">
        <v>4711</v>
      </c>
      <c r="U960" t="s">
        <v>4712</v>
      </c>
      <c r="V960" t="s">
        <v>91</v>
      </c>
    </row>
    <row r="961" spans="1:22" x14ac:dyDescent="0.35">
      <c r="A961" t="s">
        <v>4713</v>
      </c>
      <c r="B961" t="s">
        <v>4714</v>
      </c>
      <c r="C961" t="s">
        <v>28</v>
      </c>
      <c r="D961" t="s">
        <v>60</v>
      </c>
      <c r="E961" t="s">
        <v>44</v>
      </c>
      <c r="F961" t="s">
        <v>103</v>
      </c>
      <c r="G961" t="s">
        <v>45</v>
      </c>
      <c r="H961" t="s">
        <v>28</v>
      </c>
      <c r="I961" t="s">
        <v>46</v>
      </c>
      <c r="K961" t="s">
        <v>4683</v>
      </c>
      <c r="L961" t="s">
        <v>38</v>
      </c>
      <c r="M961" t="s">
        <v>38</v>
      </c>
      <c r="N961" t="s">
        <v>49</v>
      </c>
      <c r="O961" t="s">
        <v>4715</v>
      </c>
      <c r="P961" t="s">
        <v>38</v>
      </c>
      <c r="Q961" t="s">
        <v>4716</v>
      </c>
      <c r="R961" t="s">
        <v>4717</v>
      </c>
      <c r="S961" t="s">
        <v>135</v>
      </c>
      <c r="T961" t="s">
        <v>4544</v>
      </c>
      <c r="U961" t="s">
        <v>4719</v>
      </c>
      <c r="V961" t="s">
        <v>170</v>
      </c>
    </row>
    <row r="962" spans="1:22" x14ac:dyDescent="0.35">
      <c r="A962" t="s">
        <v>4720</v>
      </c>
      <c r="B962" t="s">
        <v>4721</v>
      </c>
      <c r="C962" t="s">
        <v>28</v>
      </c>
      <c r="D962" t="s">
        <v>29</v>
      </c>
      <c r="E962" t="s">
        <v>284</v>
      </c>
      <c r="F962" t="s">
        <v>30</v>
      </c>
      <c r="G962" t="s">
        <v>45</v>
      </c>
      <c r="H962" t="s">
        <v>73</v>
      </c>
      <c r="I962" t="s">
        <v>36</v>
      </c>
      <c r="K962" t="s">
        <v>4683</v>
      </c>
      <c r="L962" t="s">
        <v>49</v>
      </c>
      <c r="M962" t="s">
        <v>49</v>
      </c>
      <c r="N962" t="s">
        <v>39</v>
      </c>
      <c r="O962" t="s">
        <v>4722</v>
      </c>
      <c r="P962" t="s">
        <v>48</v>
      </c>
      <c r="Q962" t="s">
        <v>4723</v>
      </c>
      <c r="R962" t="s">
        <v>4724</v>
      </c>
      <c r="S962" t="s">
        <v>87</v>
      </c>
      <c r="T962" t="s">
        <v>4505</v>
      </c>
      <c r="U962" t="s">
        <v>4616</v>
      </c>
      <c r="V962" t="s">
        <v>170</v>
      </c>
    </row>
    <row r="963" spans="1:22" x14ac:dyDescent="0.35">
      <c r="A963" t="s">
        <v>4726</v>
      </c>
      <c r="B963" t="s">
        <v>4727</v>
      </c>
      <c r="C963" t="s">
        <v>28</v>
      </c>
      <c r="D963" t="s">
        <v>60</v>
      </c>
      <c r="E963" t="s">
        <v>28</v>
      </c>
      <c r="F963" t="s">
        <v>34</v>
      </c>
      <c r="G963" t="s">
        <v>45</v>
      </c>
      <c r="H963" t="s">
        <v>73</v>
      </c>
      <c r="I963" t="s">
        <v>46</v>
      </c>
      <c r="K963" t="s">
        <v>4728</v>
      </c>
      <c r="L963" t="s">
        <v>49</v>
      </c>
      <c r="M963" t="s">
        <v>48</v>
      </c>
      <c r="N963" t="s">
        <v>40</v>
      </c>
      <c r="O963" t="s">
        <v>4729</v>
      </c>
      <c r="P963" t="s">
        <v>48</v>
      </c>
      <c r="Q963" t="s">
        <v>4730</v>
      </c>
      <c r="R963" t="s">
        <v>4731</v>
      </c>
      <c r="S963" t="s">
        <v>53</v>
      </c>
      <c r="T963" t="s">
        <v>4505</v>
      </c>
      <c r="U963" t="s">
        <v>759</v>
      </c>
      <c r="V963" t="s">
        <v>91</v>
      </c>
    </row>
    <row r="964" spans="1:22" x14ac:dyDescent="0.35">
      <c r="A964" t="s">
        <v>4733</v>
      </c>
      <c r="B964" t="s">
        <v>4734</v>
      </c>
      <c r="C964" t="s">
        <v>44</v>
      </c>
      <c r="D964" t="s">
        <v>28</v>
      </c>
      <c r="E964" t="s">
        <v>28</v>
      </c>
      <c r="F964" t="s">
        <v>28</v>
      </c>
      <c r="G964" t="s">
        <v>103</v>
      </c>
      <c r="H964" t="s">
        <v>28</v>
      </c>
      <c r="I964" t="s">
        <v>36</v>
      </c>
      <c r="K964" t="s">
        <v>4735</v>
      </c>
      <c r="L964" t="s">
        <v>38</v>
      </c>
      <c r="M964" t="s">
        <v>40</v>
      </c>
      <c r="N964" t="s">
        <v>49</v>
      </c>
      <c r="O964" t="s">
        <v>4736</v>
      </c>
      <c r="P964" t="s">
        <v>38</v>
      </c>
      <c r="Q964" t="s">
        <v>4737</v>
      </c>
      <c r="R964" t="s">
        <v>4738</v>
      </c>
      <c r="S964" t="s">
        <v>87</v>
      </c>
      <c r="T964" t="s">
        <v>4544</v>
      </c>
      <c r="U964" t="s">
        <v>4560</v>
      </c>
      <c r="V964" t="s">
        <v>91</v>
      </c>
    </row>
    <row r="965" spans="1:22" x14ac:dyDescent="0.35">
      <c r="A965" t="s">
        <v>4740</v>
      </c>
      <c r="B965" t="s">
        <v>4741</v>
      </c>
      <c r="C965" t="s">
        <v>28</v>
      </c>
      <c r="D965" t="s">
        <v>60</v>
      </c>
      <c r="E965" t="s">
        <v>28</v>
      </c>
      <c r="F965" t="s">
        <v>173</v>
      </c>
      <c r="G965" t="s">
        <v>28</v>
      </c>
      <c r="H965" t="s">
        <v>94</v>
      </c>
      <c r="I965" t="s">
        <v>36</v>
      </c>
      <c r="K965" t="s">
        <v>4555</v>
      </c>
      <c r="L965" t="s">
        <v>48</v>
      </c>
      <c r="M965" t="s">
        <v>48</v>
      </c>
      <c r="N965" t="s">
        <v>38</v>
      </c>
      <c r="O965" t="s">
        <v>4742</v>
      </c>
      <c r="P965" t="s">
        <v>48</v>
      </c>
      <c r="Q965" t="s">
        <v>4743</v>
      </c>
      <c r="R965" t="s">
        <v>4744</v>
      </c>
      <c r="S965" t="s">
        <v>53</v>
      </c>
      <c r="T965" t="s">
        <v>4505</v>
      </c>
      <c r="U965" t="s">
        <v>694</v>
      </c>
      <c r="V965" t="s">
        <v>129</v>
      </c>
    </row>
    <row r="966" spans="1:22" x14ac:dyDescent="0.35">
      <c r="A966" t="s">
        <v>4746</v>
      </c>
      <c r="B966" t="s">
        <v>1154</v>
      </c>
      <c r="C966" t="s">
        <v>449</v>
      </c>
      <c r="D966" t="s">
        <v>44</v>
      </c>
      <c r="E966" t="s">
        <v>284</v>
      </c>
      <c r="F966" t="s">
        <v>30</v>
      </c>
      <c r="G966" t="s">
        <v>28</v>
      </c>
      <c r="H966" t="s">
        <v>94</v>
      </c>
      <c r="I966" t="s">
        <v>36</v>
      </c>
      <c r="K966" t="s">
        <v>4683</v>
      </c>
      <c r="L966" t="s">
        <v>38</v>
      </c>
      <c r="M966" t="s">
        <v>48</v>
      </c>
      <c r="N966" t="s">
        <v>40</v>
      </c>
      <c r="O966" t="s">
        <v>4747</v>
      </c>
      <c r="P966" t="s">
        <v>48</v>
      </c>
      <c r="Q966" t="s">
        <v>4748</v>
      </c>
      <c r="R966" t="s">
        <v>4749</v>
      </c>
      <c r="S966" t="s">
        <v>79</v>
      </c>
      <c r="T966" t="s">
        <v>4505</v>
      </c>
      <c r="U966" t="s">
        <v>1310</v>
      </c>
      <c r="V966" t="s">
        <v>91</v>
      </c>
    </row>
    <row r="967" spans="1:22" x14ac:dyDescent="0.35">
      <c r="A967" t="s">
        <v>4751</v>
      </c>
      <c r="B967" t="s">
        <v>4752</v>
      </c>
      <c r="C967" t="s">
        <v>377</v>
      </c>
      <c r="D967" t="s">
        <v>28</v>
      </c>
      <c r="E967" t="s">
        <v>28</v>
      </c>
      <c r="F967" t="s">
        <v>28</v>
      </c>
      <c r="G967" t="s">
        <v>103</v>
      </c>
      <c r="H967" t="s">
        <v>28</v>
      </c>
      <c r="I967" t="s">
        <v>46</v>
      </c>
      <c r="K967" t="s">
        <v>4677</v>
      </c>
      <c r="L967" t="s">
        <v>38</v>
      </c>
      <c r="M967" t="s">
        <v>38</v>
      </c>
      <c r="N967" t="s">
        <v>49</v>
      </c>
      <c r="O967" t="s">
        <v>4753</v>
      </c>
      <c r="P967" t="s">
        <v>38</v>
      </c>
      <c r="Q967" t="s">
        <v>4754</v>
      </c>
      <c r="R967" t="s">
        <v>4755</v>
      </c>
      <c r="S967" t="s">
        <v>87</v>
      </c>
      <c r="T967" t="s">
        <v>4544</v>
      </c>
      <c r="U967" t="s">
        <v>4757</v>
      </c>
      <c r="V967" t="s">
        <v>91</v>
      </c>
    </row>
    <row r="968" spans="1:22" x14ac:dyDescent="0.35">
      <c r="A968" t="s">
        <v>4758</v>
      </c>
      <c r="B968" t="s">
        <v>4759</v>
      </c>
      <c r="C968" t="s">
        <v>28</v>
      </c>
      <c r="D968" t="s">
        <v>28</v>
      </c>
      <c r="E968" t="s">
        <v>284</v>
      </c>
      <c r="F968" t="s">
        <v>28</v>
      </c>
      <c r="G968" t="s">
        <v>103</v>
      </c>
      <c r="H968" t="s">
        <v>35</v>
      </c>
      <c r="I968" t="s">
        <v>36</v>
      </c>
      <c r="K968" t="s">
        <v>4539</v>
      </c>
      <c r="L968" t="s">
        <v>38</v>
      </c>
      <c r="M968" t="s">
        <v>38</v>
      </c>
      <c r="N968" t="s">
        <v>49</v>
      </c>
      <c r="O968" t="s">
        <v>4760</v>
      </c>
      <c r="P968" t="s">
        <v>38</v>
      </c>
      <c r="Q968" t="s">
        <v>4761</v>
      </c>
      <c r="R968" t="s">
        <v>4762</v>
      </c>
      <c r="S968" t="s">
        <v>135</v>
      </c>
      <c r="T968" t="s">
        <v>4544</v>
      </c>
      <c r="U968" t="s">
        <v>4764</v>
      </c>
      <c r="V968" t="s">
        <v>91</v>
      </c>
    </row>
    <row r="969" spans="1:22" x14ac:dyDescent="0.35">
      <c r="A969" t="s">
        <v>4765</v>
      </c>
      <c r="B969" t="s">
        <v>4766</v>
      </c>
      <c r="C969" t="s">
        <v>71</v>
      </c>
      <c r="D969" t="s">
        <v>33</v>
      </c>
      <c r="E969" t="s">
        <v>33</v>
      </c>
      <c r="F969" t="s">
        <v>34</v>
      </c>
      <c r="G969" t="s">
        <v>34</v>
      </c>
      <c r="H969" t="s">
        <v>61</v>
      </c>
      <c r="I969" t="s">
        <v>36</v>
      </c>
      <c r="K969" t="s">
        <v>1086</v>
      </c>
      <c r="L969" t="s">
        <v>48</v>
      </c>
      <c r="M969" t="s">
        <v>48</v>
      </c>
      <c r="N969" t="s">
        <v>48</v>
      </c>
      <c r="O969" t="s">
        <v>4767</v>
      </c>
      <c r="P969" t="s">
        <v>48</v>
      </c>
      <c r="Q969" t="s">
        <v>4768</v>
      </c>
      <c r="R969" t="s">
        <v>4769</v>
      </c>
      <c r="S969" t="s">
        <v>135</v>
      </c>
      <c r="T969" t="s">
        <v>1046</v>
      </c>
      <c r="U969" t="s">
        <v>4771</v>
      </c>
      <c r="V969" t="s">
        <v>57</v>
      </c>
    </row>
    <row r="970" spans="1:22" x14ac:dyDescent="0.35">
      <c r="A970" t="s">
        <v>4477</v>
      </c>
      <c r="B970" t="s">
        <v>4478</v>
      </c>
      <c r="C970" t="s">
        <v>28</v>
      </c>
      <c r="D970" t="s">
        <v>28</v>
      </c>
      <c r="E970" t="s">
        <v>206</v>
      </c>
      <c r="F970" t="s">
        <v>28</v>
      </c>
      <c r="G970" t="s">
        <v>73</v>
      </c>
      <c r="H970" t="s">
        <v>73</v>
      </c>
      <c r="I970" t="s">
        <v>46</v>
      </c>
      <c r="K970" t="s">
        <v>4479</v>
      </c>
      <c r="L970" t="s">
        <v>49</v>
      </c>
      <c r="M970" t="s">
        <v>49</v>
      </c>
      <c r="N970" t="s">
        <v>38</v>
      </c>
      <c r="O970" t="s">
        <v>4480</v>
      </c>
      <c r="P970" t="s">
        <v>48</v>
      </c>
      <c r="Q970" t="s">
        <v>4481</v>
      </c>
      <c r="R970" t="s">
        <v>4772</v>
      </c>
      <c r="S970" t="s">
        <v>53</v>
      </c>
      <c r="T970" t="s">
        <v>4484</v>
      </c>
      <c r="U970" t="s">
        <v>1235</v>
      </c>
      <c r="V970" t="s">
        <v>91</v>
      </c>
    </row>
    <row r="971" spans="1:22" x14ac:dyDescent="0.35">
      <c r="A971" t="s">
        <v>4773</v>
      </c>
      <c r="B971" t="s">
        <v>1154</v>
      </c>
      <c r="C971" t="s">
        <v>344</v>
      </c>
      <c r="D971" t="s">
        <v>60</v>
      </c>
      <c r="E971" t="s">
        <v>44</v>
      </c>
      <c r="F971" t="s">
        <v>30</v>
      </c>
      <c r="G971" t="s">
        <v>30</v>
      </c>
      <c r="H971" t="s">
        <v>28</v>
      </c>
      <c r="I971" t="s">
        <v>36</v>
      </c>
      <c r="K971" t="s">
        <v>534</v>
      </c>
      <c r="L971" t="s">
        <v>49</v>
      </c>
      <c r="M971" t="s">
        <v>48</v>
      </c>
      <c r="N971" t="s">
        <v>49</v>
      </c>
      <c r="O971" t="s">
        <v>4774</v>
      </c>
      <c r="P971" t="s">
        <v>49</v>
      </c>
      <c r="Q971" t="s">
        <v>4775</v>
      </c>
      <c r="R971" t="s">
        <v>4776</v>
      </c>
      <c r="S971" t="s">
        <v>53</v>
      </c>
      <c r="T971" t="s">
        <v>1030</v>
      </c>
      <c r="U971" t="s">
        <v>1310</v>
      </c>
      <c r="V971" t="s">
        <v>91</v>
      </c>
    </row>
    <row r="972" spans="1:22" x14ac:dyDescent="0.35">
      <c r="A972" t="s">
        <v>4485</v>
      </c>
      <c r="B972" t="s">
        <v>4486</v>
      </c>
      <c r="C972" t="s">
        <v>344</v>
      </c>
      <c r="D972" t="s">
        <v>28</v>
      </c>
      <c r="E972" t="s">
        <v>28</v>
      </c>
      <c r="F972" t="s">
        <v>34</v>
      </c>
      <c r="G972" t="s">
        <v>30</v>
      </c>
      <c r="H972" t="s">
        <v>28</v>
      </c>
      <c r="I972" t="s">
        <v>36</v>
      </c>
      <c r="K972" t="s">
        <v>4777</v>
      </c>
      <c r="L972" t="s">
        <v>38</v>
      </c>
      <c r="M972" t="s">
        <v>48</v>
      </c>
      <c r="N972" t="s">
        <v>38</v>
      </c>
      <c r="O972" t="s">
        <v>4488</v>
      </c>
      <c r="P972" t="s">
        <v>38</v>
      </c>
      <c r="Q972" t="s">
        <v>4489</v>
      </c>
      <c r="R972" t="s">
        <v>4490</v>
      </c>
      <c r="S972" t="s">
        <v>79</v>
      </c>
      <c r="T972" t="s">
        <v>4778</v>
      </c>
      <c r="U972" t="s">
        <v>759</v>
      </c>
      <c r="V972" t="s">
        <v>129</v>
      </c>
    </row>
    <row r="973" spans="1:22" x14ac:dyDescent="0.35">
      <c r="A973" t="s">
        <v>4779</v>
      </c>
      <c r="B973" t="s">
        <v>4780</v>
      </c>
      <c r="C973" t="s">
        <v>29</v>
      </c>
      <c r="D973" t="s">
        <v>29</v>
      </c>
      <c r="E973" t="s">
        <v>29</v>
      </c>
      <c r="F973" t="s">
        <v>28</v>
      </c>
      <c r="G973" t="s">
        <v>28</v>
      </c>
      <c r="H973" t="s">
        <v>28</v>
      </c>
      <c r="I973" t="s">
        <v>46</v>
      </c>
      <c r="K973" t="s">
        <v>3209</v>
      </c>
      <c r="L973" t="s">
        <v>48</v>
      </c>
      <c r="M973" t="s">
        <v>49</v>
      </c>
      <c r="N973" t="s">
        <v>49</v>
      </c>
      <c r="O973" t="s">
        <v>4781</v>
      </c>
      <c r="P973" t="s">
        <v>49</v>
      </c>
      <c r="Q973" t="s">
        <v>4782</v>
      </c>
      <c r="R973" t="s">
        <v>4783</v>
      </c>
      <c r="S973" t="s">
        <v>87</v>
      </c>
      <c r="T973" t="s">
        <v>4784</v>
      </c>
      <c r="U973" t="s">
        <v>1054</v>
      </c>
      <c r="V973" t="s">
        <v>170</v>
      </c>
    </row>
    <row r="974" spans="1:22" x14ac:dyDescent="0.35">
      <c r="A974" t="s">
        <v>4785</v>
      </c>
      <c r="B974" t="s">
        <v>4786</v>
      </c>
      <c r="C974" t="s">
        <v>344</v>
      </c>
      <c r="D974" t="s">
        <v>197</v>
      </c>
      <c r="E974" t="s">
        <v>284</v>
      </c>
      <c r="F974" t="s">
        <v>30</v>
      </c>
      <c r="G974" t="s">
        <v>30</v>
      </c>
      <c r="H974" t="s">
        <v>28</v>
      </c>
      <c r="I974" t="s">
        <v>36</v>
      </c>
      <c r="K974" t="s">
        <v>555</v>
      </c>
      <c r="L974" t="s">
        <v>49</v>
      </c>
      <c r="M974" t="s">
        <v>48</v>
      </c>
      <c r="N974" t="s">
        <v>49</v>
      </c>
      <c r="O974" t="s">
        <v>4787</v>
      </c>
      <c r="P974" t="s">
        <v>49</v>
      </c>
      <c r="Q974" t="s">
        <v>4788</v>
      </c>
      <c r="R974" t="s">
        <v>4789</v>
      </c>
      <c r="S974" t="s">
        <v>87</v>
      </c>
      <c r="T974" t="s">
        <v>1030</v>
      </c>
      <c r="U974" t="s">
        <v>1090</v>
      </c>
      <c r="V974" t="s">
        <v>57</v>
      </c>
    </row>
    <row r="975" spans="1:22" x14ac:dyDescent="0.35">
      <c r="A975" t="s">
        <v>4493</v>
      </c>
      <c r="B975" t="s">
        <v>3596</v>
      </c>
      <c r="C975" t="s">
        <v>29</v>
      </c>
      <c r="D975" t="s">
        <v>33</v>
      </c>
      <c r="E975" t="s">
        <v>33</v>
      </c>
      <c r="F975" t="s">
        <v>28</v>
      </c>
      <c r="G975" t="s">
        <v>28</v>
      </c>
      <c r="H975" t="s">
        <v>28</v>
      </c>
      <c r="I975" t="s">
        <v>36</v>
      </c>
      <c r="K975" t="s">
        <v>4790</v>
      </c>
      <c r="L975" t="s">
        <v>48</v>
      </c>
      <c r="M975" t="s">
        <v>38</v>
      </c>
      <c r="N975" t="s">
        <v>38</v>
      </c>
      <c r="O975" t="s">
        <v>4495</v>
      </c>
      <c r="P975" t="s">
        <v>40</v>
      </c>
      <c r="Q975" t="s">
        <v>4496</v>
      </c>
      <c r="R975" t="s">
        <v>4497</v>
      </c>
      <c r="S975" t="s">
        <v>53</v>
      </c>
      <c r="T975" t="s">
        <v>4484</v>
      </c>
      <c r="U975" t="s">
        <v>1325</v>
      </c>
      <c r="V975" t="s">
        <v>91</v>
      </c>
    </row>
    <row r="976" spans="1:22" x14ac:dyDescent="0.35">
      <c r="A976" t="s">
        <v>4383</v>
      </c>
      <c r="B976" t="s">
        <v>4547</v>
      </c>
      <c r="C976" t="s">
        <v>377</v>
      </c>
      <c r="D976" t="s">
        <v>44</v>
      </c>
      <c r="E976" t="s">
        <v>206</v>
      </c>
      <c r="F976" t="s">
        <v>173</v>
      </c>
      <c r="G976" t="s">
        <v>368</v>
      </c>
      <c r="H976" t="s">
        <v>94</v>
      </c>
      <c r="I976" t="s">
        <v>46</v>
      </c>
      <c r="K976" t="s">
        <v>4791</v>
      </c>
      <c r="L976" t="s">
        <v>49</v>
      </c>
      <c r="M976" t="s">
        <v>49</v>
      </c>
      <c r="N976" t="s">
        <v>49</v>
      </c>
      <c r="O976" t="s">
        <v>4792</v>
      </c>
      <c r="P976" t="s">
        <v>48</v>
      </c>
      <c r="Q976" t="s">
        <v>4793</v>
      </c>
      <c r="R976" t="s">
        <v>4794</v>
      </c>
      <c r="S976" t="s">
        <v>79</v>
      </c>
      <c r="T976" t="s">
        <v>1030</v>
      </c>
      <c r="U976" t="s">
        <v>1622</v>
      </c>
      <c r="V976" t="s">
        <v>129</v>
      </c>
    </row>
    <row r="977" spans="1:22" x14ac:dyDescent="0.35">
      <c r="A977" t="s">
        <v>4795</v>
      </c>
      <c r="B977" t="s">
        <v>4676</v>
      </c>
      <c r="C977" t="s">
        <v>28</v>
      </c>
      <c r="D977" t="s">
        <v>197</v>
      </c>
      <c r="E977" t="s">
        <v>28</v>
      </c>
      <c r="F977" t="s">
        <v>197</v>
      </c>
      <c r="G977" t="s">
        <v>28</v>
      </c>
      <c r="H977" t="s">
        <v>61</v>
      </c>
      <c r="I977" t="s">
        <v>46</v>
      </c>
      <c r="K977" t="s">
        <v>4796</v>
      </c>
      <c r="L977" t="s">
        <v>38</v>
      </c>
      <c r="M977" t="s">
        <v>38</v>
      </c>
      <c r="N977" t="s">
        <v>48</v>
      </c>
      <c r="O977" t="s">
        <v>4797</v>
      </c>
      <c r="P977" t="s">
        <v>38</v>
      </c>
      <c r="Q977" t="s">
        <v>4798</v>
      </c>
      <c r="R977" t="s">
        <v>4799</v>
      </c>
      <c r="S977" t="s">
        <v>53</v>
      </c>
      <c r="T977" t="s">
        <v>4484</v>
      </c>
      <c r="U977" t="s">
        <v>4800</v>
      </c>
      <c r="V977" t="s">
        <v>129</v>
      </c>
    </row>
    <row r="978" spans="1:22" x14ac:dyDescent="0.35">
      <c r="A978" t="s">
        <v>4801</v>
      </c>
      <c r="B978" t="s">
        <v>1077</v>
      </c>
      <c r="C978" t="s">
        <v>60</v>
      </c>
      <c r="D978" t="s">
        <v>158</v>
      </c>
      <c r="E978" t="s">
        <v>29</v>
      </c>
      <c r="F978" t="s">
        <v>196</v>
      </c>
      <c r="G978" t="s">
        <v>173</v>
      </c>
      <c r="H978" t="s">
        <v>61</v>
      </c>
      <c r="I978" t="s">
        <v>36</v>
      </c>
      <c r="K978" t="s">
        <v>198</v>
      </c>
      <c r="L978" t="s">
        <v>49</v>
      </c>
      <c r="M978" t="s">
        <v>49</v>
      </c>
      <c r="N978" t="s">
        <v>48</v>
      </c>
      <c r="O978" t="s">
        <v>4802</v>
      </c>
      <c r="P978" t="s">
        <v>49</v>
      </c>
      <c r="Q978" t="s">
        <v>4803</v>
      </c>
      <c r="R978" t="s">
        <v>4804</v>
      </c>
      <c r="S978" t="s">
        <v>53</v>
      </c>
      <c r="T978" t="s">
        <v>1030</v>
      </c>
      <c r="U978" t="s">
        <v>4805</v>
      </c>
      <c r="V978" t="s">
        <v>91</v>
      </c>
    </row>
    <row r="979" spans="1:22" x14ac:dyDescent="0.35">
      <c r="A979" t="s">
        <v>4806</v>
      </c>
      <c r="B979" t="s">
        <v>4429</v>
      </c>
      <c r="C979" t="s">
        <v>28</v>
      </c>
      <c r="D979" t="s">
        <v>72</v>
      </c>
      <c r="E979" t="s">
        <v>28</v>
      </c>
      <c r="F979" t="s">
        <v>196</v>
      </c>
      <c r="G979" t="s">
        <v>28</v>
      </c>
      <c r="H979" t="s">
        <v>74</v>
      </c>
      <c r="I979" t="s">
        <v>36</v>
      </c>
      <c r="K979" t="s">
        <v>4807</v>
      </c>
      <c r="L979" t="s">
        <v>38</v>
      </c>
      <c r="M979" t="s">
        <v>38</v>
      </c>
      <c r="N979" t="s">
        <v>48</v>
      </c>
      <c r="O979" t="s">
        <v>4808</v>
      </c>
      <c r="P979" t="s">
        <v>38</v>
      </c>
      <c r="Q979" t="s">
        <v>4809</v>
      </c>
      <c r="R979" t="s">
        <v>4810</v>
      </c>
      <c r="S979" t="s">
        <v>87</v>
      </c>
      <c r="T979" t="s">
        <v>4484</v>
      </c>
      <c r="U979" t="s">
        <v>4811</v>
      </c>
      <c r="V979" t="s">
        <v>91</v>
      </c>
    </row>
    <row r="980" spans="1:22" x14ac:dyDescent="0.35">
      <c r="A980" t="s">
        <v>4812</v>
      </c>
      <c r="B980" t="s">
        <v>4813</v>
      </c>
      <c r="C980" t="s">
        <v>60</v>
      </c>
      <c r="D980" t="s">
        <v>29</v>
      </c>
      <c r="E980" t="s">
        <v>29</v>
      </c>
      <c r="F980" t="s">
        <v>173</v>
      </c>
      <c r="G980" t="s">
        <v>173</v>
      </c>
      <c r="H980" t="s">
        <v>292</v>
      </c>
      <c r="I980" t="s">
        <v>46</v>
      </c>
      <c r="K980" t="s">
        <v>4814</v>
      </c>
      <c r="L980" t="s">
        <v>48</v>
      </c>
      <c r="M980" t="s">
        <v>49</v>
      </c>
      <c r="O980" t="s">
        <v>4815</v>
      </c>
      <c r="P980" t="s">
        <v>49</v>
      </c>
      <c r="Q980" t="s">
        <v>4816</v>
      </c>
      <c r="R980" t="s">
        <v>4817</v>
      </c>
      <c r="S980" t="s">
        <v>87</v>
      </c>
      <c r="T980" t="s">
        <v>1030</v>
      </c>
      <c r="U980" t="s">
        <v>4588</v>
      </c>
      <c r="V980" t="s">
        <v>91</v>
      </c>
    </row>
    <row r="981" spans="1:22" x14ac:dyDescent="0.35">
      <c r="A981" t="s">
        <v>4818</v>
      </c>
      <c r="B981" t="s">
        <v>1112</v>
      </c>
      <c r="C981" t="s">
        <v>449</v>
      </c>
      <c r="D981" t="s">
        <v>28</v>
      </c>
      <c r="E981" t="s">
        <v>28</v>
      </c>
      <c r="F981" t="s">
        <v>34</v>
      </c>
      <c r="G981" t="s">
        <v>34</v>
      </c>
      <c r="H981" t="s">
        <v>28</v>
      </c>
      <c r="I981" t="s">
        <v>46</v>
      </c>
      <c r="K981" t="s">
        <v>4819</v>
      </c>
      <c r="L981" t="s">
        <v>49</v>
      </c>
      <c r="M981" t="s">
        <v>48</v>
      </c>
      <c r="N981" t="s">
        <v>39</v>
      </c>
      <c r="O981" t="s">
        <v>4820</v>
      </c>
      <c r="P981" t="s">
        <v>40</v>
      </c>
      <c r="Q981" t="s">
        <v>4821</v>
      </c>
      <c r="R981" t="s">
        <v>4822</v>
      </c>
      <c r="S981" t="s">
        <v>53</v>
      </c>
      <c r="T981" t="s">
        <v>4484</v>
      </c>
      <c r="U981" t="s">
        <v>1054</v>
      </c>
      <c r="V981" t="s">
        <v>91</v>
      </c>
    </row>
    <row r="982" spans="1:22" x14ac:dyDescent="0.35">
      <c r="A982" t="s">
        <v>4823</v>
      </c>
      <c r="B982" t="s">
        <v>4238</v>
      </c>
      <c r="C982" t="s">
        <v>344</v>
      </c>
      <c r="D982" t="s">
        <v>197</v>
      </c>
      <c r="E982" t="s">
        <v>28</v>
      </c>
      <c r="F982" t="s">
        <v>173</v>
      </c>
      <c r="G982" t="s">
        <v>30</v>
      </c>
      <c r="H982" t="s">
        <v>61</v>
      </c>
      <c r="I982" t="s">
        <v>36</v>
      </c>
      <c r="K982" t="s">
        <v>4824</v>
      </c>
      <c r="L982" t="s">
        <v>49</v>
      </c>
      <c r="M982" t="s">
        <v>48</v>
      </c>
      <c r="N982" t="s">
        <v>49</v>
      </c>
      <c r="O982" t="s">
        <v>4825</v>
      </c>
      <c r="P982" t="s">
        <v>49</v>
      </c>
      <c r="Q982" t="s">
        <v>4826</v>
      </c>
      <c r="R982" t="s">
        <v>4827</v>
      </c>
      <c r="S982" t="s">
        <v>53</v>
      </c>
      <c r="T982" t="s">
        <v>1030</v>
      </c>
      <c r="U982" t="s">
        <v>4567</v>
      </c>
      <c r="V982" t="s">
        <v>91</v>
      </c>
    </row>
    <row r="983" spans="1:22" x14ac:dyDescent="0.35">
      <c r="A983" t="s">
        <v>4828</v>
      </c>
      <c r="B983" t="s">
        <v>4829</v>
      </c>
      <c r="C983" t="s">
        <v>28</v>
      </c>
      <c r="D983" t="s">
        <v>28</v>
      </c>
      <c r="E983" t="s">
        <v>28</v>
      </c>
      <c r="F983" t="s">
        <v>28</v>
      </c>
      <c r="G983" t="s">
        <v>34</v>
      </c>
      <c r="H983" t="s">
        <v>74</v>
      </c>
      <c r="I983" t="s">
        <v>46</v>
      </c>
      <c r="K983" t="s">
        <v>3555</v>
      </c>
      <c r="L983" t="s">
        <v>48</v>
      </c>
      <c r="M983" t="s">
        <v>48</v>
      </c>
      <c r="N983" t="s">
        <v>48</v>
      </c>
      <c r="O983" t="s">
        <v>4830</v>
      </c>
      <c r="P983" t="s">
        <v>48</v>
      </c>
      <c r="Q983" t="s">
        <v>4831</v>
      </c>
      <c r="R983" t="s">
        <v>86</v>
      </c>
      <c r="S983" t="s">
        <v>135</v>
      </c>
      <c r="T983" t="s">
        <v>834</v>
      </c>
      <c r="U983" t="s">
        <v>4829</v>
      </c>
      <c r="V983" t="s">
        <v>57</v>
      </c>
    </row>
    <row r="984" spans="1:22" x14ac:dyDescent="0.35">
      <c r="A984" t="s">
        <v>4833</v>
      </c>
      <c r="B984" t="s">
        <v>4834</v>
      </c>
      <c r="C984" t="s">
        <v>28</v>
      </c>
      <c r="D984" t="s">
        <v>28</v>
      </c>
      <c r="E984" t="s">
        <v>284</v>
      </c>
      <c r="F984" t="s">
        <v>28</v>
      </c>
      <c r="G984" t="s">
        <v>94</v>
      </c>
      <c r="H984" t="s">
        <v>73</v>
      </c>
      <c r="I984" t="s">
        <v>36</v>
      </c>
      <c r="K984" t="s">
        <v>4835</v>
      </c>
      <c r="L984" t="s">
        <v>49</v>
      </c>
      <c r="M984" t="s">
        <v>38</v>
      </c>
      <c r="N984" t="s">
        <v>39</v>
      </c>
      <c r="O984" t="s">
        <v>4836</v>
      </c>
      <c r="P984" t="s">
        <v>48</v>
      </c>
      <c r="Q984" t="s">
        <v>4837</v>
      </c>
      <c r="R984" t="s">
        <v>4838</v>
      </c>
      <c r="S984" t="s">
        <v>65</v>
      </c>
      <c r="T984" t="s">
        <v>4484</v>
      </c>
      <c r="U984" t="s">
        <v>1605</v>
      </c>
      <c r="V984" t="s">
        <v>129</v>
      </c>
    </row>
    <row r="985" spans="1:22" x14ac:dyDescent="0.35">
      <c r="A985" t="s">
        <v>4839</v>
      </c>
      <c r="B985" t="s">
        <v>4598</v>
      </c>
      <c r="C985" t="s">
        <v>28</v>
      </c>
      <c r="D985" t="s">
        <v>158</v>
      </c>
      <c r="E985" t="s">
        <v>206</v>
      </c>
      <c r="F985" t="s">
        <v>158</v>
      </c>
      <c r="G985" t="s">
        <v>94</v>
      </c>
      <c r="H985" t="s">
        <v>368</v>
      </c>
      <c r="I985" t="s">
        <v>46</v>
      </c>
      <c r="K985" t="s">
        <v>4840</v>
      </c>
      <c r="L985" t="s">
        <v>49</v>
      </c>
      <c r="M985" t="s">
        <v>49</v>
      </c>
      <c r="N985" t="s">
        <v>49</v>
      </c>
      <c r="O985" t="s">
        <v>4841</v>
      </c>
      <c r="P985" t="s">
        <v>48</v>
      </c>
      <c r="Q985" t="s">
        <v>4842</v>
      </c>
      <c r="R985" t="s">
        <v>4843</v>
      </c>
      <c r="S985" t="s">
        <v>53</v>
      </c>
      <c r="T985" t="s">
        <v>1030</v>
      </c>
      <c r="U985" t="s">
        <v>4376</v>
      </c>
      <c r="V985" t="s">
        <v>129</v>
      </c>
    </row>
    <row r="986" spans="1:22" x14ac:dyDescent="0.35">
      <c r="A986" t="s">
        <v>4844</v>
      </c>
      <c r="B986" t="s">
        <v>4283</v>
      </c>
      <c r="C986" t="s">
        <v>29</v>
      </c>
      <c r="D986" t="s">
        <v>33</v>
      </c>
      <c r="E986" t="s">
        <v>60</v>
      </c>
      <c r="F986" t="s">
        <v>28</v>
      </c>
      <c r="G986" t="s">
        <v>45</v>
      </c>
      <c r="H986" t="s">
        <v>45</v>
      </c>
      <c r="I986" t="s">
        <v>36</v>
      </c>
      <c r="K986" t="s">
        <v>4790</v>
      </c>
      <c r="L986" t="s">
        <v>48</v>
      </c>
      <c r="M986" t="s">
        <v>38</v>
      </c>
      <c r="N986" t="s">
        <v>39</v>
      </c>
      <c r="O986" t="s">
        <v>4845</v>
      </c>
      <c r="P986" t="s">
        <v>49</v>
      </c>
      <c r="Q986" t="s">
        <v>4846</v>
      </c>
      <c r="R986" t="s">
        <v>4847</v>
      </c>
      <c r="S986" t="s">
        <v>87</v>
      </c>
      <c r="T986" t="s">
        <v>4484</v>
      </c>
      <c r="U986" t="s">
        <v>4413</v>
      </c>
      <c r="V986" t="s">
        <v>91</v>
      </c>
    </row>
    <row r="987" spans="1:22" x14ac:dyDescent="0.35">
      <c r="A987" t="s">
        <v>4848</v>
      </c>
      <c r="B987" t="s">
        <v>4392</v>
      </c>
      <c r="C987" t="s">
        <v>28</v>
      </c>
      <c r="D987" t="s">
        <v>44</v>
      </c>
      <c r="E987" t="s">
        <v>206</v>
      </c>
      <c r="F987" t="s">
        <v>28</v>
      </c>
      <c r="G987" t="s">
        <v>368</v>
      </c>
      <c r="H987" t="s">
        <v>73</v>
      </c>
      <c r="I987" t="s">
        <v>46</v>
      </c>
      <c r="K987" t="s">
        <v>4849</v>
      </c>
      <c r="L987" t="s">
        <v>49</v>
      </c>
      <c r="M987" t="s">
        <v>49</v>
      </c>
      <c r="N987" t="s">
        <v>39</v>
      </c>
      <c r="O987" t="s">
        <v>4850</v>
      </c>
      <c r="Q987" t="s">
        <v>4851</v>
      </c>
      <c r="R987" t="s">
        <v>4852</v>
      </c>
      <c r="S987" t="s">
        <v>135</v>
      </c>
      <c r="T987" t="s">
        <v>4484</v>
      </c>
      <c r="U987" t="s">
        <v>4397</v>
      </c>
      <c r="V987" t="s">
        <v>91</v>
      </c>
    </row>
    <row r="988" spans="1:22" x14ac:dyDescent="0.35">
      <c r="A988" t="s">
        <v>4853</v>
      </c>
      <c r="B988" t="s">
        <v>4854</v>
      </c>
      <c r="C988" t="s">
        <v>60</v>
      </c>
      <c r="D988" t="s">
        <v>44</v>
      </c>
      <c r="E988" t="s">
        <v>29</v>
      </c>
      <c r="F988" t="s">
        <v>197</v>
      </c>
      <c r="G988" t="s">
        <v>103</v>
      </c>
      <c r="H988" t="s">
        <v>292</v>
      </c>
      <c r="I988" t="s">
        <v>36</v>
      </c>
      <c r="K988" t="s">
        <v>4855</v>
      </c>
      <c r="L988" t="s">
        <v>48</v>
      </c>
      <c r="M988" t="s">
        <v>49</v>
      </c>
      <c r="N988" t="s">
        <v>49</v>
      </c>
      <c r="O988" t="s">
        <v>4856</v>
      </c>
      <c r="P988" t="s">
        <v>38</v>
      </c>
      <c r="Q988" t="s">
        <v>4857</v>
      </c>
      <c r="R988" t="s">
        <v>4858</v>
      </c>
      <c r="S988" t="s">
        <v>87</v>
      </c>
      <c r="T988" t="s">
        <v>1030</v>
      </c>
      <c r="U988" t="s">
        <v>4859</v>
      </c>
      <c r="V988" t="s">
        <v>91</v>
      </c>
    </row>
    <row r="989" spans="1:22" x14ac:dyDescent="0.35">
      <c r="A989" t="s">
        <v>4860</v>
      </c>
      <c r="B989" t="s">
        <v>4861</v>
      </c>
      <c r="C989" t="s">
        <v>28</v>
      </c>
      <c r="D989" t="s">
        <v>197</v>
      </c>
      <c r="E989" t="s">
        <v>206</v>
      </c>
      <c r="F989" t="s">
        <v>197</v>
      </c>
      <c r="G989" t="s">
        <v>94</v>
      </c>
      <c r="H989" t="s">
        <v>73</v>
      </c>
      <c r="I989" t="s">
        <v>36</v>
      </c>
      <c r="K989" t="s">
        <v>4862</v>
      </c>
      <c r="L989" t="s">
        <v>38</v>
      </c>
      <c r="M989" t="s">
        <v>38</v>
      </c>
      <c r="N989" t="s">
        <v>49</v>
      </c>
      <c r="O989" t="s">
        <v>4863</v>
      </c>
      <c r="P989" t="s">
        <v>48</v>
      </c>
      <c r="Q989" t="s">
        <v>4864</v>
      </c>
      <c r="R989" t="s">
        <v>4865</v>
      </c>
      <c r="S989" t="s">
        <v>87</v>
      </c>
      <c r="T989" t="s">
        <v>4484</v>
      </c>
      <c r="U989" t="s">
        <v>4866</v>
      </c>
      <c r="V989" t="s">
        <v>91</v>
      </c>
    </row>
    <row r="990" spans="1:22" x14ac:dyDescent="0.35">
      <c r="A990" t="s">
        <v>4867</v>
      </c>
      <c r="B990" t="s">
        <v>4721</v>
      </c>
      <c r="C990" t="s">
        <v>44</v>
      </c>
      <c r="D990" t="s">
        <v>197</v>
      </c>
      <c r="E990" t="s">
        <v>206</v>
      </c>
      <c r="F990" t="s">
        <v>197</v>
      </c>
      <c r="G990" t="s">
        <v>94</v>
      </c>
      <c r="H990" t="s">
        <v>94</v>
      </c>
      <c r="I990" t="s">
        <v>46</v>
      </c>
      <c r="K990" t="s">
        <v>4868</v>
      </c>
      <c r="L990" t="s">
        <v>49</v>
      </c>
      <c r="M990" t="s">
        <v>49</v>
      </c>
      <c r="N990" t="s">
        <v>49</v>
      </c>
      <c r="O990" t="s">
        <v>4869</v>
      </c>
      <c r="P990" t="s">
        <v>48</v>
      </c>
      <c r="Q990" t="s">
        <v>4870</v>
      </c>
      <c r="R990" t="s">
        <v>4871</v>
      </c>
      <c r="S990" t="s">
        <v>87</v>
      </c>
      <c r="T990" t="s">
        <v>1030</v>
      </c>
      <c r="U990" t="s">
        <v>4616</v>
      </c>
      <c r="V990" t="s">
        <v>91</v>
      </c>
    </row>
    <row r="991" spans="1:22" x14ac:dyDescent="0.35">
      <c r="A991" t="s">
        <v>4872</v>
      </c>
      <c r="B991" t="s">
        <v>4238</v>
      </c>
      <c r="C991" t="s">
        <v>449</v>
      </c>
      <c r="D991" t="s">
        <v>28</v>
      </c>
      <c r="E991" t="s">
        <v>28</v>
      </c>
      <c r="F991" t="s">
        <v>34</v>
      </c>
      <c r="G991" t="s">
        <v>30</v>
      </c>
      <c r="H991" t="s">
        <v>28</v>
      </c>
      <c r="I991" t="s">
        <v>36</v>
      </c>
      <c r="K991" t="s">
        <v>4807</v>
      </c>
      <c r="L991" t="s">
        <v>38</v>
      </c>
      <c r="M991" t="s">
        <v>48</v>
      </c>
      <c r="N991" t="s">
        <v>40</v>
      </c>
      <c r="O991" t="s">
        <v>4873</v>
      </c>
      <c r="P991" t="s">
        <v>38</v>
      </c>
      <c r="Q991" t="s">
        <v>4874</v>
      </c>
      <c r="R991" t="s">
        <v>4875</v>
      </c>
      <c r="S991" t="s">
        <v>79</v>
      </c>
      <c r="T991" t="s">
        <v>4484</v>
      </c>
      <c r="U991" t="s">
        <v>759</v>
      </c>
      <c r="V991" t="s">
        <v>91</v>
      </c>
    </row>
    <row r="992" spans="1:22" x14ac:dyDescent="0.35">
      <c r="A992" t="s">
        <v>4876</v>
      </c>
      <c r="B992" t="s">
        <v>4877</v>
      </c>
      <c r="C992" t="s">
        <v>449</v>
      </c>
      <c r="D992" t="s">
        <v>44</v>
      </c>
      <c r="E992" t="s">
        <v>60</v>
      </c>
      <c r="F992" t="s">
        <v>30</v>
      </c>
      <c r="G992" t="s">
        <v>30</v>
      </c>
      <c r="H992" t="s">
        <v>292</v>
      </c>
      <c r="I992" t="s">
        <v>46</v>
      </c>
      <c r="K992" t="s">
        <v>4878</v>
      </c>
      <c r="L992" t="s">
        <v>49</v>
      </c>
      <c r="M992" t="s">
        <v>48</v>
      </c>
      <c r="N992" t="s">
        <v>49</v>
      </c>
      <c r="O992" t="s">
        <v>4879</v>
      </c>
      <c r="P992" t="s">
        <v>49</v>
      </c>
      <c r="Q992" t="s">
        <v>4880</v>
      </c>
      <c r="R992" t="s">
        <v>4881</v>
      </c>
      <c r="S992" t="s">
        <v>87</v>
      </c>
      <c r="T992" t="s">
        <v>1030</v>
      </c>
      <c r="U992" t="s">
        <v>4413</v>
      </c>
      <c r="V992" t="s">
        <v>129</v>
      </c>
    </row>
    <row r="993" spans="1:22" x14ac:dyDescent="0.35">
      <c r="A993" t="s">
        <v>4882</v>
      </c>
      <c r="B993" t="s">
        <v>4883</v>
      </c>
      <c r="C993" t="s">
        <v>28</v>
      </c>
      <c r="D993" t="s">
        <v>28</v>
      </c>
      <c r="E993" t="s">
        <v>206</v>
      </c>
      <c r="F993" t="s">
        <v>28</v>
      </c>
      <c r="G993" t="s">
        <v>368</v>
      </c>
      <c r="H993" t="s">
        <v>73</v>
      </c>
      <c r="I993" t="s">
        <v>46</v>
      </c>
      <c r="K993" t="s">
        <v>4790</v>
      </c>
      <c r="L993" t="s">
        <v>49</v>
      </c>
      <c r="M993" t="s">
        <v>49</v>
      </c>
      <c r="N993" t="s">
        <v>40</v>
      </c>
      <c r="O993" t="s">
        <v>4884</v>
      </c>
      <c r="P993" t="s">
        <v>48</v>
      </c>
      <c r="Q993" t="s">
        <v>4885</v>
      </c>
      <c r="R993" t="s">
        <v>4886</v>
      </c>
      <c r="S993" t="s">
        <v>79</v>
      </c>
      <c r="T993" t="s">
        <v>4484</v>
      </c>
      <c r="U993" t="s">
        <v>1532</v>
      </c>
      <c r="V993" t="s">
        <v>91</v>
      </c>
    </row>
    <row r="994" spans="1:22" x14ac:dyDescent="0.35">
      <c r="A994" t="s">
        <v>4887</v>
      </c>
      <c r="B994" t="s">
        <v>4727</v>
      </c>
      <c r="C994" t="s">
        <v>29</v>
      </c>
      <c r="D994" t="s">
        <v>33</v>
      </c>
      <c r="E994" t="s">
        <v>33</v>
      </c>
      <c r="F994" t="s">
        <v>28</v>
      </c>
      <c r="G994" t="s">
        <v>28</v>
      </c>
      <c r="H994" t="s">
        <v>28</v>
      </c>
      <c r="I994" t="s">
        <v>36</v>
      </c>
      <c r="K994" t="s">
        <v>4479</v>
      </c>
      <c r="L994" t="s">
        <v>48</v>
      </c>
      <c r="M994" t="s">
        <v>49</v>
      </c>
      <c r="N994" t="s">
        <v>38</v>
      </c>
      <c r="O994" t="s">
        <v>4888</v>
      </c>
      <c r="P994" t="s">
        <v>38</v>
      </c>
      <c r="Q994" t="s">
        <v>4889</v>
      </c>
      <c r="R994" t="s">
        <v>4890</v>
      </c>
      <c r="S994" t="s">
        <v>53</v>
      </c>
      <c r="T994" t="s">
        <v>4484</v>
      </c>
      <c r="U994" t="s">
        <v>759</v>
      </c>
      <c r="V994" t="s">
        <v>91</v>
      </c>
    </row>
    <row r="995" spans="1:22" x14ac:dyDescent="0.35">
      <c r="A995" t="s">
        <v>4891</v>
      </c>
      <c r="B995" t="s">
        <v>1320</v>
      </c>
      <c r="C995" t="s">
        <v>377</v>
      </c>
      <c r="D995" t="s">
        <v>196</v>
      </c>
      <c r="E995" t="s">
        <v>157</v>
      </c>
      <c r="F995" t="s">
        <v>196</v>
      </c>
      <c r="G995" t="s">
        <v>103</v>
      </c>
      <c r="H995" t="s">
        <v>61</v>
      </c>
      <c r="I995" t="s">
        <v>46</v>
      </c>
      <c r="K995" t="s">
        <v>4892</v>
      </c>
      <c r="L995" t="s">
        <v>49</v>
      </c>
      <c r="M995" t="s">
        <v>49</v>
      </c>
      <c r="N995" t="s">
        <v>48</v>
      </c>
      <c r="O995" t="s">
        <v>4893</v>
      </c>
      <c r="P995" t="s">
        <v>49</v>
      </c>
      <c r="Q995" t="s">
        <v>4894</v>
      </c>
      <c r="R995" t="s">
        <v>4895</v>
      </c>
      <c r="S995" t="s">
        <v>87</v>
      </c>
      <c r="T995" t="s">
        <v>1030</v>
      </c>
      <c r="U995" t="s">
        <v>1325</v>
      </c>
      <c r="V995" t="s">
        <v>91</v>
      </c>
    </row>
    <row r="996" spans="1:22" x14ac:dyDescent="0.35">
      <c r="A996" t="s">
        <v>4896</v>
      </c>
      <c r="B996" t="s">
        <v>4225</v>
      </c>
      <c r="C996" t="s">
        <v>344</v>
      </c>
      <c r="D996" t="s">
        <v>197</v>
      </c>
      <c r="E996" t="s">
        <v>28</v>
      </c>
      <c r="F996" t="s">
        <v>173</v>
      </c>
      <c r="G996" t="s">
        <v>30</v>
      </c>
      <c r="H996" t="s">
        <v>292</v>
      </c>
      <c r="I996" t="s">
        <v>36</v>
      </c>
      <c r="K996" t="s">
        <v>4897</v>
      </c>
      <c r="L996" t="s">
        <v>49</v>
      </c>
      <c r="M996" t="s">
        <v>48</v>
      </c>
      <c r="N996" t="s">
        <v>49</v>
      </c>
      <c r="O996" t="s">
        <v>4898</v>
      </c>
      <c r="P996" t="s">
        <v>49</v>
      </c>
      <c r="Q996" t="s">
        <v>4899</v>
      </c>
      <c r="R996" t="s">
        <v>4900</v>
      </c>
      <c r="S996" t="s">
        <v>87</v>
      </c>
      <c r="T996" t="s">
        <v>1030</v>
      </c>
      <c r="U996" t="s">
        <v>647</v>
      </c>
      <c r="V996" t="s">
        <v>129</v>
      </c>
    </row>
    <row r="997" spans="1:22" x14ac:dyDescent="0.35">
      <c r="A997" t="s">
        <v>4901</v>
      </c>
      <c r="B997" t="s">
        <v>4225</v>
      </c>
      <c r="C997" t="s">
        <v>449</v>
      </c>
      <c r="D997" t="s">
        <v>28</v>
      </c>
      <c r="E997" t="s">
        <v>28</v>
      </c>
      <c r="F997" t="s">
        <v>34</v>
      </c>
      <c r="G997" t="s">
        <v>34</v>
      </c>
      <c r="H997" t="s">
        <v>28</v>
      </c>
      <c r="I997" t="s">
        <v>46</v>
      </c>
      <c r="K997" t="s">
        <v>4902</v>
      </c>
      <c r="L997" t="s">
        <v>49</v>
      </c>
      <c r="M997" t="s">
        <v>48</v>
      </c>
      <c r="N997" t="s">
        <v>38</v>
      </c>
      <c r="O997" t="s">
        <v>4903</v>
      </c>
      <c r="P997" t="s">
        <v>38</v>
      </c>
      <c r="Q997" t="s">
        <v>4904</v>
      </c>
      <c r="R997" t="s">
        <v>4905</v>
      </c>
      <c r="S997" t="s">
        <v>79</v>
      </c>
      <c r="T997" t="s">
        <v>4484</v>
      </c>
      <c r="U997" t="s">
        <v>1090</v>
      </c>
      <c r="V997" t="s">
        <v>129</v>
      </c>
    </row>
    <row r="998" spans="1:22" x14ac:dyDescent="0.35">
      <c r="A998" t="s">
        <v>4906</v>
      </c>
      <c r="B998" t="s">
        <v>4907</v>
      </c>
      <c r="C998" t="s">
        <v>60</v>
      </c>
      <c r="D998" t="s">
        <v>60</v>
      </c>
      <c r="E998" t="s">
        <v>284</v>
      </c>
      <c r="F998" t="s">
        <v>173</v>
      </c>
      <c r="G998" t="s">
        <v>368</v>
      </c>
      <c r="H998" t="s">
        <v>94</v>
      </c>
      <c r="I998" t="s">
        <v>46</v>
      </c>
      <c r="K998" t="s">
        <v>4908</v>
      </c>
      <c r="L998" t="s">
        <v>49</v>
      </c>
      <c r="M998" t="s">
        <v>49</v>
      </c>
      <c r="N998" t="s">
        <v>49</v>
      </c>
      <c r="O998" t="s">
        <v>4909</v>
      </c>
      <c r="P998" t="s">
        <v>48</v>
      </c>
      <c r="Q998" t="s">
        <v>4910</v>
      </c>
      <c r="R998" t="s">
        <v>4911</v>
      </c>
      <c r="S998" t="s">
        <v>79</v>
      </c>
      <c r="T998" t="s">
        <v>1030</v>
      </c>
      <c r="U998" t="s">
        <v>694</v>
      </c>
      <c r="V998" t="s">
        <v>129</v>
      </c>
    </row>
    <row r="999" spans="1:22" x14ac:dyDescent="0.35">
      <c r="A999" t="s">
        <v>4912</v>
      </c>
      <c r="B999" t="s">
        <v>1041</v>
      </c>
      <c r="C999" t="s">
        <v>28</v>
      </c>
      <c r="D999" t="s">
        <v>44</v>
      </c>
      <c r="E999" t="s">
        <v>206</v>
      </c>
      <c r="F999" t="s">
        <v>103</v>
      </c>
      <c r="G999" t="s">
        <v>94</v>
      </c>
      <c r="H999" t="s">
        <v>73</v>
      </c>
      <c r="I999" t="s">
        <v>36</v>
      </c>
      <c r="K999" t="s">
        <v>4913</v>
      </c>
      <c r="L999" t="s">
        <v>49</v>
      </c>
      <c r="M999" t="s">
        <v>49</v>
      </c>
      <c r="N999" t="s">
        <v>40</v>
      </c>
      <c r="O999" t="s">
        <v>4914</v>
      </c>
      <c r="P999" t="s">
        <v>48</v>
      </c>
      <c r="Q999" t="s">
        <v>4915</v>
      </c>
      <c r="R999" t="s">
        <v>4916</v>
      </c>
      <c r="S999" t="s">
        <v>135</v>
      </c>
      <c r="T999" t="s">
        <v>4484</v>
      </c>
      <c r="U999" t="s">
        <v>4567</v>
      </c>
      <c r="V999" t="s">
        <v>91</v>
      </c>
    </row>
    <row r="1000" spans="1:22" x14ac:dyDescent="0.35">
      <c r="A1000" t="s">
        <v>4917</v>
      </c>
      <c r="B1000" t="s">
        <v>4918</v>
      </c>
      <c r="C1000" t="s">
        <v>29</v>
      </c>
      <c r="D1000" t="s">
        <v>29</v>
      </c>
      <c r="E1000" t="s">
        <v>29</v>
      </c>
      <c r="F1000" t="s">
        <v>197</v>
      </c>
      <c r="G1000" t="s">
        <v>103</v>
      </c>
      <c r="H1000" t="s">
        <v>292</v>
      </c>
      <c r="I1000" t="s">
        <v>36</v>
      </c>
      <c r="K1000" t="s">
        <v>4919</v>
      </c>
      <c r="L1000" t="s">
        <v>48</v>
      </c>
      <c r="M1000" t="s">
        <v>49</v>
      </c>
      <c r="N1000" t="s">
        <v>49</v>
      </c>
      <c r="O1000" t="s">
        <v>4920</v>
      </c>
      <c r="P1000" t="s">
        <v>49</v>
      </c>
      <c r="Q1000" t="s">
        <v>4921</v>
      </c>
      <c r="R1000" t="s">
        <v>4922</v>
      </c>
      <c r="S1000" t="s">
        <v>135</v>
      </c>
      <c r="T1000" t="s">
        <v>1030</v>
      </c>
      <c r="U1000" t="s">
        <v>4923</v>
      </c>
      <c r="V1000" t="s">
        <v>170</v>
      </c>
    </row>
    <row r="1001" spans="1:22" x14ac:dyDescent="0.35">
      <c r="A1001" t="s">
        <v>4924</v>
      </c>
      <c r="B1001" t="s">
        <v>4925</v>
      </c>
      <c r="C1001" t="s">
        <v>28</v>
      </c>
      <c r="D1001" t="s">
        <v>44</v>
      </c>
      <c r="E1001" t="s">
        <v>206</v>
      </c>
      <c r="F1001" t="s">
        <v>173</v>
      </c>
      <c r="G1001" t="s">
        <v>94</v>
      </c>
      <c r="H1001" t="s">
        <v>73</v>
      </c>
      <c r="I1001" t="s">
        <v>46</v>
      </c>
      <c r="K1001" t="s">
        <v>4835</v>
      </c>
      <c r="L1001" t="s">
        <v>49</v>
      </c>
      <c r="M1001" t="s">
        <v>49</v>
      </c>
      <c r="N1001" t="s">
        <v>40</v>
      </c>
      <c r="O1001" t="s">
        <v>4926</v>
      </c>
      <c r="P1001" t="s">
        <v>48</v>
      </c>
      <c r="Q1001" t="s">
        <v>4927</v>
      </c>
      <c r="R1001" t="s">
        <v>4928</v>
      </c>
      <c r="S1001" t="s">
        <v>87</v>
      </c>
      <c r="T1001" t="s">
        <v>4484</v>
      </c>
      <c r="U1001" t="s">
        <v>4397</v>
      </c>
      <c r="V1001" t="s">
        <v>91</v>
      </c>
    </row>
    <row r="1002" spans="1:22" x14ac:dyDescent="0.35">
      <c r="A1002" t="s">
        <v>4929</v>
      </c>
      <c r="B1002" t="s">
        <v>4312</v>
      </c>
      <c r="C1002" t="s">
        <v>344</v>
      </c>
      <c r="D1002" t="s">
        <v>28</v>
      </c>
      <c r="E1002" t="s">
        <v>28</v>
      </c>
      <c r="F1002" t="s">
        <v>34</v>
      </c>
      <c r="G1002" t="s">
        <v>34</v>
      </c>
      <c r="H1002" t="s">
        <v>28</v>
      </c>
      <c r="I1002" t="s">
        <v>36</v>
      </c>
      <c r="K1002" t="s">
        <v>4930</v>
      </c>
      <c r="L1002" t="s">
        <v>49</v>
      </c>
      <c r="M1002" t="s">
        <v>48</v>
      </c>
      <c r="N1002" t="s">
        <v>38</v>
      </c>
      <c r="O1002" t="s">
        <v>4931</v>
      </c>
      <c r="P1002" t="s">
        <v>38</v>
      </c>
      <c r="Q1002" t="s">
        <v>4932</v>
      </c>
      <c r="R1002" t="s">
        <v>4933</v>
      </c>
      <c r="S1002" t="s">
        <v>65</v>
      </c>
      <c r="T1002" t="s">
        <v>4484</v>
      </c>
      <c r="U1002" t="s">
        <v>4800</v>
      </c>
      <c r="V1002" t="s">
        <v>91</v>
      </c>
    </row>
    <row r="1003" spans="1:22" x14ac:dyDescent="0.35">
      <c r="A1003" t="s">
        <v>4934</v>
      </c>
      <c r="B1003" t="s">
        <v>4935</v>
      </c>
      <c r="C1003" t="s">
        <v>449</v>
      </c>
      <c r="D1003" t="s">
        <v>44</v>
      </c>
      <c r="E1003" t="s">
        <v>206</v>
      </c>
      <c r="F1003" t="s">
        <v>158</v>
      </c>
      <c r="G1003" t="s">
        <v>368</v>
      </c>
      <c r="H1003" t="s">
        <v>94</v>
      </c>
      <c r="I1003" t="s">
        <v>46</v>
      </c>
      <c r="K1003" t="s">
        <v>4936</v>
      </c>
      <c r="L1003" t="s">
        <v>49</v>
      </c>
      <c r="M1003" t="s">
        <v>49</v>
      </c>
      <c r="N1003" t="s">
        <v>49</v>
      </c>
      <c r="O1003" t="s">
        <v>4937</v>
      </c>
      <c r="P1003" t="s">
        <v>48</v>
      </c>
      <c r="Q1003" t="s">
        <v>4938</v>
      </c>
      <c r="R1003" t="s">
        <v>4939</v>
      </c>
      <c r="S1003" t="s">
        <v>87</v>
      </c>
      <c r="T1003" t="s">
        <v>1030</v>
      </c>
      <c r="U1003" t="s">
        <v>4940</v>
      </c>
      <c r="V1003" t="s">
        <v>91</v>
      </c>
    </row>
    <row r="1004" spans="1:22" x14ac:dyDescent="0.35">
      <c r="A1004" t="s">
        <v>4941</v>
      </c>
      <c r="B1004" t="s">
        <v>4369</v>
      </c>
      <c r="C1004" t="s">
        <v>28</v>
      </c>
      <c r="D1004" t="s">
        <v>28</v>
      </c>
      <c r="E1004" t="s">
        <v>206</v>
      </c>
      <c r="F1004" t="s">
        <v>28</v>
      </c>
      <c r="G1004" t="s">
        <v>94</v>
      </c>
      <c r="H1004" t="s">
        <v>73</v>
      </c>
      <c r="I1004" t="s">
        <v>46</v>
      </c>
      <c r="K1004" t="s">
        <v>4862</v>
      </c>
      <c r="L1004" t="s">
        <v>38</v>
      </c>
      <c r="M1004" t="s">
        <v>49</v>
      </c>
      <c r="N1004" t="s">
        <v>40</v>
      </c>
      <c r="O1004" t="s">
        <v>4942</v>
      </c>
      <c r="P1004" t="s">
        <v>48</v>
      </c>
      <c r="Q1004" t="s">
        <v>4943</v>
      </c>
      <c r="R1004" t="s">
        <v>4944</v>
      </c>
      <c r="S1004" t="s">
        <v>87</v>
      </c>
      <c r="T1004" t="s">
        <v>4484</v>
      </c>
      <c r="U1004" t="s">
        <v>694</v>
      </c>
      <c r="V1004" t="s">
        <v>91</v>
      </c>
    </row>
    <row r="1005" spans="1:22" x14ac:dyDescent="0.35">
      <c r="A1005" t="s">
        <v>4945</v>
      </c>
      <c r="B1005" t="s">
        <v>4663</v>
      </c>
      <c r="C1005" t="s">
        <v>344</v>
      </c>
      <c r="D1005" t="s">
        <v>44</v>
      </c>
      <c r="E1005" t="s">
        <v>28</v>
      </c>
      <c r="F1005" t="s">
        <v>34</v>
      </c>
      <c r="G1005" t="s">
        <v>30</v>
      </c>
      <c r="H1005" t="s">
        <v>28</v>
      </c>
      <c r="I1005" t="s">
        <v>36</v>
      </c>
      <c r="K1005" t="s">
        <v>4796</v>
      </c>
      <c r="L1005" t="s">
        <v>49</v>
      </c>
      <c r="M1005" t="s">
        <v>48</v>
      </c>
      <c r="N1005" t="s">
        <v>49</v>
      </c>
      <c r="O1005" t="s">
        <v>4946</v>
      </c>
      <c r="P1005" t="s">
        <v>49</v>
      </c>
      <c r="Q1005" t="s">
        <v>4947</v>
      </c>
      <c r="R1005" t="s">
        <v>4948</v>
      </c>
      <c r="S1005" t="s">
        <v>87</v>
      </c>
      <c r="T1005" t="s">
        <v>4484</v>
      </c>
      <c r="U1005" t="s">
        <v>1090</v>
      </c>
      <c r="V1005" t="s">
        <v>91</v>
      </c>
    </row>
    <row r="1006" spans="1:22" x14ac:dyDescent="0.35">
      <c r="A1006" t="s">
        <v>4949</v>
      </c>
      <c r="B1006" t="s">
        <v>4950</v>
      </c>
      <c r="C1006" t="s">
        <v>344</v>
      </c>
      <c r="D1006" t="s">
        <v>60</v>
      </c>
      <c r="E1006" t="s">
        <v>60</v>
      </c>
      <c r="F1006" t="s">
        <v>30</v>
      </c>
      <c r="G1006" t="s">
        <v>30</v>
      </c>
      <c r="H1006" t="s">
        <v>45</v>
      </c>
      <c r="I1006" t="s">
        <v>36</v>
      </c>
      <c r="K1006" t="s">
        <v>4951</v>
      </c>
      <c r="L1006" t="s">
        <v>49</v>
      </c>
      <c r="M1006" t="s">
        <v>48</v>
      </c>
      <c r="N1006" t="s">
        <v>49</v>
      </c>
      <c r="O1006" t="s">
        <v>4952</v>
      </c>
      <c r="P1006" t="s">
        <v>49</v>
      </c>
      <c r="Q1006" t="s">
        <v>4953</v>
      </c>
      <c r="R1006" t="s">
        <v>4954</v>
      </c>
      <c r="S1006" t="s">
        <v>87</v>
      </c>
      <c r="T1006" t="s">
        <v>1030</v>
      </c>
      <c r="U1006" t="s">
        <v>1090</v>
      </c>
      <c r="V1006" t="s">
        <v>91</v>
      </c>
    </row>
    <row r="1007" spans="1:22" x14ac:dyDescent="0.35">
      <c r="A1007" t="s">
        <v>4955</v>
      </c>
      <c r="B1007" t="s">
        <v>4265</v>
      </c>
      <c r="C1007" t="s">
        <v>28</v>
      </c>
      <c r="D1007" t="s">
        <v>28</v>
      </c>
      <c r="E1007" t="s">
        <v>206</v>
      </c>
      <c r="F1007" t="s">
        <v>28</v>
      </c>
      <c r="G1007" t="s">
        <v>94</v>
      </c>
      <c r="H1007" t="s">
        <v>73</v>
      </c>
      <c r="I1007" t="s">
        <v>46</v>
      </c>
      <c r="K1007" t="s">
        <v>4777</v>
      </c>
      <c r="L1007" t="s">
        <v>49</v>
      </c>
      <c r="M1007" t="s">
        <v>49</v>
      </c>
      <c r="N1007" t="s">
        <v>38</v>
      </c>
      <c r="O1007" t="s">
        <v>4956</v>
      </c>
      <c r="P1007" t="s">
        <v>48</v>
      </c>
      <c r="Q1007" t="s">
        <v>4957</v>
      </c>
      <c r="R1007" t="s">
        <v>4958</v>
      </c>
      <c r="S1007" t="s">
        <v>79</v>
      </c>
      <c r="T1007" t="s">
        <v>4484</v>
      </c>
      <c r="U1007" t="s">
        <v>4959</v>
      </c>
      <c r="V1007" t="s">
        <v>91</v>
      </c>
    </row>
    <row r="1008" spans="1:22" x14ac:dyDescent="0.35">
      <c r="A1008" t="s">
        <v>4960</v>
      </c>
      <c r="B1008" t="s">
        <v>4961</v>
      </c>
      <c r="C1008" t="s">
        <v>28</v>
      </c>
      <c r="D1008" t="s">
        <v>28</v>
      </c>
      <c r="E1008" t="s">
        <v>206</v>
      </c>
      <c r="F1008" t="s">
        <v>28</v>
      </c>
      <c r="G1008" t="s">
        <v>94</v>
      </c>
      <c r="H1008" t="s">
        <v>94</v>
      </c>
      <c r="I1008" t="s">
        <v>46</v>
      </c>
      <c r="K1008" t="s">
        <v>4962</v>
      </c>
      <c r="L1008" t="s">
        <v>49</v>
      </c>
      <c r="M1008" t="s">
        <v>49</v>
      </c>
      <c r="N1008" t="s">
        <v>49</v>
      </c>
      <c r="O1008" t="s">
        <v>4963</v>
      </c>
      <c r="P1008" t="s">
        <v>48</v>
      </c>
      <c r="Q1008" t="s">
        <v>4964</v>
      </c>
      <c r="R1008" t="s">
        <v>4965</v>
      </c>
      <c r="S1008" t="s">
        <v>53</v>
      </c>
      <c r="T1008" t="s">
        <v>1030</v>
      </c>
      <c r="U1008" t="s">
        <v>4966</v>
      </c>
      <c r="V1008" t="s">
        <v>129</v>
      </c>
    </row>
    <row r="1009" spans="1:22" x14ac:dyDescent="0.35">
      <c r="A1009" t="s">
        <v>1740</v>
      </c>
      <c r="B1009" t="s">
        <v>4967</v>
      </c>
      <c r="C1009" t="s">
        <v>60</v>
      </c>
      <c r="D1009" t="s">
        <v>29</v>
      </c>
      <c r="E1009" t="s">
        <v>29</v>
      </c>
      <c r="F1009" t="s">
        <v>173</v>
      </c>
      <c r="G1009" t="s">
        <v>173</v>
      </c>
      <c r="H1009" t="s">
        <v>35</v>
      </c>
      <c r="I1009" t="s">
        <v>36</v>
      </c>
      <c r="K1009" t="s">
        <v>555</v>
      </c>
      <c r="L1009" t="s">
        <v>48</v>
      </c>
      <c r="M1009" t="s">
        <v>49</v>
      </c>
      <c r="N1009" t="s">
        <v>49</v>
      </c>
      <c r="O1009" t="s">
        <v>4968</v>
      </c>
      <c r="P1009" t="s">
        <v>49</v>
      </c>
      <c r="Q1009" t="s">
        <v>4969</v>
      </c>
      <c r="R1009" t="s">
        <v>4970</v>
      </c>
      <c r="S1009" t="s">
        <v>53</v>
      </c>
      <c r="T1009" t="s">
        <v>1030</v>
      </c>
      <c r="U1009" t="s">
        <v>4971</v>
      </c>
      <c r="V1009" t="s">
        <v>91</v>
      </c>
    </row>
    <row r="1010" spans="1:22" x14ac:dyDescent="0.35">
      <c r="A1010" t="s">
        <v>4972</v>
      </c>
      <c r="B1010" t="s">
        <v>4973</v>
      </c>
      <c r="C1010" t="s">
        <v>60</v>
      </c>
      <c r="D1010" t="s">
        <v>60</v>
      </c>
      <c r="E1010" t="s">
        <v>284</v>
      </c>
      <c r="F1010" t="s">
        <v>173</v>
      </c>
      <c r="G1010" t="s">
        <v>368</v>
      </c>
      <c r="H1010" t="s">
        <v>94</v>
      </c>
      <c r="I1010" t="s">
        <v>46</v>
      </c>
      <c r="K1010" t="s">
        <v>4974</v>
      </c>
      <c r="L1010" t="s">
        <v>49</v>
      </c>
      <c r="M1010" t="s">
        <v>49</v>
      </c>
      <c r="N1010" t="s">
        <v>49</v>
      </c>
      <c r="O1010" t="s">
        <v>4975</v>
      </c>
      <c r="P1010" t="s">
        <v>48</v>
      </c>
      <c r="Q1010" t="s">
        <v>4976</v>
      </c>
      <c r="R1010" t="s">
        <v>4977</v>
      </c>
      <c r="S1010" t="s">
        <v>79</v>
      </c>
      <c r="T1010" t="s">
        <v>1030</v>
      </c>
      <c r="U1010" t="s">
        <v>4376</v>
      </c>
      <c r="V1010" t="s">
        <v>129</v>
      </c>
    </row>
    <row r="1011" spans="1:22" x14ac:dyDescent="0.35">
      <c r="A1011" t="s">
        <v>4978</v>
      </c>
      <c r="B1011" t="s">
        <v>4979</v>
      </c>
      <c r="C1011" t="s">
        <v>29</v>
      </c>
      <c r="D1011" t="s">
        <v>29</v>
      </c>
      <c r="E1011" t="s">
        <v>29</v>
      </c>
      <c r="F1011" t="s">
        <v>30</v>
      </c>
      <c r="G1011" t="s">
        <v>30</v>
      </c>
      <c r="H1011" t="s">
        <v>61</v>
      </c>
      <c r="I1011" t="s">
        <v>36</v>
      </c>
      <c r="K1011" t="s">
        <v>4980</v>
      </c>
      <c r="L1011" t="s">
        <v>49</v>
      </c>
      <c r="M1011" t="s">
        <v>49</v>
      </c>
      <c r="N1011" t="s">
        <v>49</v>
      </c>
      <c r="O1011" t="s">
        <v>4981</v>
      </c>
      <c r="P1011" t="s">
        <v>49</v>
      </c>
      <c r="Q1011" t="s">
        <v>86</v>
      </c>
      <c r="R1011" t="s">
        <v>86</v>
      </c>
      <c r="S1011" t="s">
        <v>135</v>
      </c>
      <c r="T1011" t="s">
        <v>118</v>
      </c>
      <c r="U1011" t="s">
        <v>4983</v>
      </c>
      <c r="V1011" t="s">
        <v>91</v>
      </c>
    </row>
    <row r="1012" spans="1:22" x14ac:dyDescent="0.35">
      <c r="A1012" t="s">
        <v>4984</v>
      </c>
      <c r="B1012" t="s">
        <v>4985</v>
      </c>
      <c r="C1012" t="s">
        <v>28</v>
      </c>
      <c r="D1012" t="s">
        <v>28</v>
      </c>
      <c r="E1012" t="s">
        <v>28</v>
      </c>
      <c r="F1012" t="s">
        <v>28</v>
      </c>
      <c r="G1012" t="s">
        <v>28</v>
      </c>
      <c r="H1012" t="s">
        <v>28</v>
      </c>
      <c r="I1012" t="s">
        <v>46</v>
      </c>
      <c r="K1012" t="s">
        <v>383</v>
      </c>
      <c r="L1012" t="s">
        <v>49</v>
      </c>
      <c r="M1012" t="s">
        <v>49</v>
      </c>
      <c r="N1012" t="s">
        <v>49</v>
      </c>
      <c r="O1012" t="s">
        <v>4986</v>
      </c>
      <c r="P1012" t="s">
        <v>49</v>
      </c>
      <c r="Q1012" t="s">
        <v>4987</v>
      </c>
      <c r="R1012" t="s">
        <v>4988</v>
      </c>
      <c r="S1012" t="s">
        <v>135</v>
      </c>
      <c r="T1012" t="s">
        <v>109</v>
      </c>
      <c r="U1012" t="s">
        <v>56</v>
      </c>
      <c r="V1012" t="s">
        <v>129</v>
      </c>
    </row>
    <row r="1013" spans="1:22" x14ac:dyDescent="0.35">
      <c r="A1013" t="s">
        <v>4990</v>
      </c>
      <c r="B1013" t="s">
        <v>4991</v>
      </c>
      <c r="C1013" t="s">
        <v>377</v>
      </c>
      <c r="D1013" t="s">
        <v>28</v>
      </c>
      <c r="E1013" t="s">
        <v>28</v>
      </c>
      <c r="F1013" t="s">
        <v>30</v>
      </c>
      <c r="G1013" t="s">
        <v>28</v>
      </c>
      <c r="H1013" t="s">
        <v>28</v>
      </c>
      <c r="I1013" t="s">
        <v>36</v>
      </c>
      <c r="K1013" t="s">
        <v>4992</v>
      </c>
      <c r="L1013" t="s">
        <v>49</v>
      </c>
      <c r="M1013" t="s">
        <v>48</v>
      </c>
      <c r="N1013" t="s">
        <v>49</v>
      </c>
      <c r="O1013" t="s">
        <v>4993</v>
      </c>
      <c r="P1013" t="s">
        <v>49</v>
      </c>
      <c r="Q1013" t="s">
        <v>4994</v>
      </c>
      <c r="R1013" t="s">
        <v>4995</v>
      </c>
      <c r="S1013" t="s">
        <v>87</v>
      </c>
      <c r="T1013" t="s">
        <v>109</v>
      </c>
      <c r="U1013" t="s">
        <v>4996</v>
      </c>
      <c r="V1013" t="s">
        <v>91</v>
      </c>
    </row>
    <row r="1014" spans="1:22" x14ac:dyDescent="0.35">
      <c r="A1014" t="s">
        <v>4997</v>
      </c>
      <c r="B1014" t="s">
        <v>1724</v>
      </c>
      <c r="C1014" t="s">
        <v>28</v>
      </c>
      <c r="D1014" t="s">
        <v>28</v>
      </c>
      <c r="E1014" t="s">
        <v>206</v>
      </c>
      <c r="F1014" t="s">
        <v>28</v>
      </c>
      <c r="G1014" t="s">
        <v>94</v>
      </c>
      <c r="H1014" t="s">
        <v>73</v>
      </c>
      <c r="I1014" t="s">
        <v>46</v>
      </c>
      <c r="K1014" t="s">
        <v>4152</v>
      </c>
      <c r="L1014" t="s">
        <v>48</v>
      </c>
      <c r="M1014" t="s">
        <v>38</v>
      </c>
      <c r="N1014" t="s">
        <v>38</v>
      </c>
      <c r="O1014" t="s">
        <v>4998</v>
      </c>
      <c r="P1014" t="s">
        <v>48</v>
      </c>
      <c r="Q1014" t="s">
        <v>4999</v>
      </c>
      <c r="R1014" t="s">
        <v>5000</v>
      </c>
      <c r="S1014" t="s">
        <v>65</v>
      </c>
      <c r="T1014" t="s">
        <v>4148</v>
      </c>
      <c r="U1014" t="s">
        <v>1532</v>
      </c>
      <c r="V1014" t="s">
        <v>91</v>
      </c>
    </row>
    <row r="1015" spans="1:22" x14ac:dyDescent="0.35">
      <c r="A1015" t="s">
        <v>5002</v>
      </c>
      <c r="B1015" t="s">
        <v>1041</v>
      </c>
      <c r="C1015" t="s">
        <v>60</v>
      </c>
      <c r="D1015" t="s">
        <v>29</v>
      </c>
      <c r="E1015" t="s">
        <v>44</v>
      </c>
      <c r="F1015" t="s">
        <v>173</v>
      </c>
      <c r="G1015" t="s">
        <v>368</v>
      </c>
      <c r="H1015" t="s">
        <v>368</v>
      </c>
      <c r="I1015" t="s">
        <v>36</v>
      </c>
      <c r="K1015" t="s">
        <v>4152</v>
      </c>
      <c r="L1015" t="s">
        <v>48</v>
      </c>
      <c r="M1015" t="s">
        <v>38</v>
      </c>
      <c r="N1015" t="s">
        <v>39</v>
      </c>
      <c r="O1015" t="s">
        <v>5003</v>
      </c>
      <c r="P1015" t="s">
        <v>48</v>
      </c>
      <c r="Q1015" t="s">
        <v>5004</v>
      </c>
      <c r="R1015" t="s">
        <v>5005</v>
      </c>
      <c r="S1015" t="s">
        <v>53</v>
      </c>
      <c r="T1015" t="s">
        <v>4148</v>
      </c>
      <c r="U1015" t="s">
        <v>4567</v>
      </c>
      <c r="V1015" t="s">
        <v>91</v>
      </c>
    </row>
    <row r="1016" spans="1:22" x14ac:dyDescent="0.35">
      <c r="A1016" t="s">
        <v>5007</v>
      </c>
      <c r="B1016" t="s">
        <v>4663</v>
      </c>
      <c r="C1016" t="s">
        <v>71</v>
      </c>
      <c r="D1016" t="s">
        <v>28</v>
      </c>
      <c r="E1016" t="s">
        <v>28</v>
      </c>
      <c r="F1016" t="s">
        <v>34</v>
      </c>
      <c r="G1016" t="s">
        <v>34</v>
      </c>
      <c r="H1016" t="s">
        <v>28</v>
      </c>
      <c r="I1016" t="s">
        <v>46</v>
      </c>
      <c r="K1016" t="s">
        <v>4163</v>
      </c>
      <c r="L1016" t="s">
        <v>38</v>
      </c>
      <c r="M1016" t="s">
        <v>48</v>
      </c>
      <c r="N1016" t="s">
        <v>38</v>
      </c>
      <c r="O1016" t="s">
        <v>5008</v>
      </c>
      <c r="P1016" t="s">
        <v>38</v>
      </c>
      <c r="Q1016" t="s">
        <v>5009</v>
      </c>
      <c r="R1016" t="s">
        <v>5010</v>
      </c>
      <c r="S1016" t="s">
        <v>79</v>
      </c>
      <c r="T1016" t="s">
        <v>4148</v>
      </c>
      <c r="U1016" t="s">
        <v>1090</v>
      </c>
      <c r="V1016" t="s">
        <v>91</v>
      </c>
    </row>
    <row r="1017" spans="1:22" x14ac:dyDescent="0.35">
      <c r="A1017" t="s">
        <v>5012</v>
      </c>
      <c r="B1017" t="s">
        <v>4225</v>
      </c>
      <c r="C1017" t="s">
        <v>28</v>
      </c>
      <c r="D1017" t="s">
        <v>28</v>
      </c>
      <c r="E1017" t="s">
        <v>206</v>
      </c>
      <c r="F1017" t="s">
        <v>28</v>
      </c>
      <c r="G1017" t="s">
        <v>368</v>
      </c>
      <c r="H1017" t="s">
        <v>73</v>
      </c>
      <c r="I1017" t="s">
        <v>36</v>
      </c>
      <c r="K1017" t="s">
        <v>4180</v>
      </c>
      <c r="L1017" t="s">
        <v>49</v>
      </c>
      <c r="M1017" t="s">
        <v>49</v>
      </c>
      <c r="N1017" t="s">
        <v>39</v>
      </c>
      <c r="O1017" t="s">
        <v>5013</v>
      </c>
      <c r="P1017" t="s">
        <v>48</v>
      </c>
      <c r="Q1017" t="s">
        <v>5014</v>
      </c>
      <c r="R1017" t="s">
        <v>5015</v>
      </c>
      <c r="S1017" t="s">
        <v>53</v>
      </c>
      <c r="T1017" t="s">
        <v>4148</v>
      </c>
      <c r="U1017" t="s">
        <v>1090</v>
      </c>
      <c r="V1017" t="s">
        <v>129</v>
      </c>
    </row>
    <row r="1018" spans="1:22" x14ac:dyDescent="0.35">
      <c r="A1018" t="s">
        <v>5017</v>
      </c>
      <c r="B1018" t="s">
        <v>4369</v>
      </c>
      <c r="C1018" t="s">
        <v>60</v>
      </c>
      <c r="D1018" t="s">
        <v>33</v>
      </c>
      <c r="E1018" t="s">
        <v>29</v>
      </c>
      <c r="F1018" t="s">
        <v>28</v>
      </c>
      <c r="G1018" t="s">
        <v>28</v>
      </c>
      <c r="H1018" t="s">
        <v>28</v>
      </c>
      <c r="I1018" t="s">
        <v>46</v>
      </c>
      <c r="K1018" t="s">
        <v>4143</v>
      </c>
      <c r="L1018" t="s">
        <v>48</v>
      </c>
      <c r="M1018" t="s">
        <v>49</v>
      </c>
      <c r="N1018" t="s">
        <v>40</v>
      </c>
      <c r="O1018" t="s">
        <v>5018</v>
      </c>
      <c r="P1018" t="s">
        <v>38</v>
      </c>
      <c r="Q1018" t="s">
        <v>5019</v>
      </c>
      <c r="R1018" t="s">
        <v>5020</v>
      </c>
      <c r="S1018" t="s">
        <v>53</v>
      </c>
      <c r="T1018" t="s">
        <v>4148</v>
      </c>
      <c r="U1018" t="s">
        <v>694</v>
      </c>
      <c r="V1018" t="s">
        <v>91</v>
      </c>
    </row>
    <row r="1019" spans="1:22" x14ac:dyDescent="0.35">
      <c r="A1019" t="s">
        <v>5022</v>
      </c>
      <c r="B1019" t="s">
        <v>4727</v>
      </c>
      <c r="C1019" t="s">
        <v>344</v>
      </c>
      <c r="D1019" t="s">
        <v>28</v>
      </c>
      <c r="E1019" t="s">
        <v>28</v>
      </c>
      <c r="F1019" t="s">
        <v>34</v>
      </c>
      <c r="G1019" t="s">
        <v>34</v>
      </c>
      <c r="H1019" t="s">
        <v>28</v>
      </c>
      <c r="I1019" t="s">
        <v>36</v>
      </c>
      <c r="K1019" t="s">
        <v>5023</v>
      </c>
      <c r="L1019" t="s">
        <v>49</v>
      </c>
      <c r="M1019" t="s">
        <v>48</v>
      </c>
      <c r="N1019" t="s">
        <v>39</v>
      </c>
      <c r="O1019" t="s">
        <v>5024</v>
      </c>
      <c r="P1019" t="s">
        <v>38</v>
      </c>
      <c r="Q1019" t="s">
        <v>5025</v>
      </c>
      <c r="R1019" t="s">
        <v>5026</v>
      </c>
      <c r="S1019" t="s">
        <v>65</v>
      </c>
      <c r="T1019" t="s">
        <v>4148</v>
      </c>
      <c r="U1019" t="s">
        <v>759</v>
      </c>
      <c r="V1019" t="s">
        <v>91</v>
      </c>
    </row>
    <row r="1020" spans="1:22" x14ac:dyDescent="0.35">
      <c r="A1020" t="s">
        <v>5028</v>
      </c>
      <c r="B1020" t="s">
        <v>5029</v>
      </c>
      <c r="C1020" t="s">
        <v>28</v>
      </c>
      <c r="D1020" t="s">
        <v>28</v>
      </c>
      <c r="E1020" t="s">
        <v>206</v>
      </c>
      <c r="F1020" t="s">
        <v>28</v>
      </c>
      <c r="G1020" t="s">
        <v>368</v>
      </c>
      <c r="H1020" t="s">
        <v>73</v>
      </c>
      <c r="I1020" t="s">
        <v>46</v>
      </c>
      <c r="K1020" t="s">
        <v>5030</v>
      </c>
      <c r="L1020" t="s">
        <v>49</v>
      </c>
      <c r="M1020" t="s">
        <v>49</v>
      </c>
      <c r="N1020" t="s">
        <v>38</v>
      </c>
      <c r="O1020" t="s">
        <v>5031</v>
      </c>
      <c r="P1020" t="s">
        <v>48</v>
      </c>
      <c r="Q1020" t="s">
        <v>5032</v>
      </c>
      <c r="R1020" t="s">
        <v>5033</v>
      </c>
      <c r="S1020" t="s">
        <v>135</v>
      </c>
      <c r="T1020" t="s">
        <v>4148</v>
      </c>
      <c r="U1020" t="s">
        <v>4635</v>
      </c>
      <c r="V1020" t="s">
        <v>91</v>
      </c>
    </row>
    <row r="1021" spans="1:22" x14ac:dyDescent="0.35">
      <c r="A1021" t="s">
        <v>5028</v>
      </c>
      <c r="B1021" t="s">
        <v>5029</v>
      </c>
      <c r="C1021" t="s">
        <v>28</v>
      </c>
      <c r="D1021" t="s">
        <v>158</v>
      </c>
      <c r="E1021" t="s">
        <v>73</v>
      </c>
      <c r="F1021" t="s">
        <v>158</v>
      </c>
      <c r="G1021" t="s">
        <v>94</v>
      </c>
      <c r="H1021" t="s">
        <v>368</v>
      </c>
      <c r="I1021" t="s">
        <v>46</v>
      </c>
      <c r="K1021" t="s">
        <v>5030</v>
      </c>
      <c r="L1021" t="s">
        <v>49</v>
      </c>
      <c r="M1021" t="s">
        <v>49</v>
      </c>
      <c r="N1021" t="s">
        <v>49</v>
      </c>
      <c r="O1021" t="s">
        <v>5031</v>
      </c>
      <c r="P1021" t="s">
        <v>48</v>
      </c>
      <c r="Q1021" t="s">
        <v>5032</v>
      </c>
      <c r="R1021" t="s">
        <v>5033</v>
      </c>
      <c r="S1021" t="s">
        <v>135</v>
      </c>
      <c r="T1021" t="s">
        <v>4148</v>
      </c>
      <c r="U1021" t="s">
        <v>4635</v>
      </c>
      <c r="V1021" t="s">
        <v>91</v>
      </c>
    </row>
    <row r="1022" spans="1:22" x14ac:dyDescent="0.35">
      <c r="A1022" t="s">
        <v>5035</v>
      </c>
      <c r="B1022" t="s">
        <v>4277</v>
      </c>
      <c r="C1022" t="s">
        <v>60</v>
      </c>
      <c r="D1022" t="s">
        <v>60</v>
      </c>
      <c r="E1022" t="s">
        <v>29</v>
      </c>
      <c r="F1022" t="s">
        <v>28</v>
      </c>
      <c r="G1022" t="s">
        <v>28</v>
      </c>
      <c r="H1022" t="s">
        <v>28</v>
      </c>
      <c r="I1022" t="s">
        <v>46</v>
      </c>
      <c r="K1022" t="s">
        <v>5036</v>
      </c>
      <c r="L1022" t="s">
        <v>48</v>
      </c>
      <c r="M1022" t="s">
        <v>49</v>
      </c>
      <c r="N1022" t="s">
        <v>38</v>
      </c>
      <c r="O1022" t="s">
        <v>5037</v>
      </c>
      <c r="P1022" t="s">
        <v>38</v>
      </c>
      <c r="Q1022" t="s">
        <v>5038</v>
      </c>
      <c r="R1022" t="s">
        <v>5039</v>
      </c>
      <c r="S1022" t="s">
        <v>87</v>
      </c>
      <c r="T1022" t="s">
        <v>4148</v>
      </c>
      <c r="U1022" t="s">
        <v>4397</v>
      </c>
      <c r="V1022" t="s">
        <v>91</v>
      </c>
    </row>
    <row r="1023" spans="1:22" x14ac:dyDescent="0.35">
      <c r="A1023" t="s">
        <v>5041</v>
      </c>
      <c r="B1023" t="s">
        <v>5042</v>
      </c>
      <c r="C1023" t="s">
        <v>449</v>
      </c>
      <c r="D1023" t="s">
        <v>28</v>
      </c>
      <c r="E1023" t="s">
        <v>28</v>
      </c>
      <c r="F1023" t="s">
        <v>34</v>
      </c>
      <c r="G1023" t="s">
        <v>173</v>
      </c>
      <c r="H1023" t="s">
        <v>28</v>
      </c>
      <c r="I1023" t="s">
        <v>36</v>
      </c>
      <c r="K1023" t="s">
        <v>5043</v>
      </c>
      <c r="L1023" t="s">
        <v>38</v>
      </c>
      <c r="M1023" t="s">
        <v>48</v>
      </c>
      <c r="N1023" t="s">
        <v>40</v>
      </c>
      <c r="O1023" t="s">
        <v>5044</v>
      </c>
      <c r="P1023" t="s">
        <v>38</v>
      </c>
      <c r="Q1023" t="s">
        <v>5045</v>
      </c>
      <c r="R1023" t="s">
        <v>5046</v>
      </c>
      <c r="S1023" t="s">
        <v>79</v>
      </c>
      <c r="T1023" t="s">
        <v>4148</v>
      </c>
      <c r="U1023" t="s">
        <v>5048</v>
      </c>
      <c r="V1023" t="s">
        <v>91</v>
      </c>
    </row>
    <row r="1024" spans="1:22" x14ac:dyDescent="0.35">
      <c r="A1024" t="s">
        <v>5049</v>
      </c>
      <c r="B1024" t="s">
        <v>1520</v>
      </c>
      <c r="C1024" t="s">
        <v>449</v>
      </c>
      <c r="D1024" t="s">
        <v>28</v>
      </c>
      <c r="E1024" t="s">
        <v>284</v>
      </c>
      <c r="F1024" t="s">
        <v>30</v>
      </c>
      <c r="G1024" t="s">
        <v>28</v>
      </c>
      <c r="H1024" t="s">
        <v>94</v>
      </c>
      <c r="I1024" t="s">
        <v>46</v>
      </c>
      <c r="K1024" t="s">
        <v>5050</v>
      </c>
      <c r="L1024" t="s">
        <v>38</v>
      </c>
      <c r="M1024" t="s">
        <v>48</v>
      </c>
      <c r="N1024" t="s">
        <v>39</v>
      </c>
      <c r="O1024" t="s">
        <v>5051</v>
      </c>
      <c r="P1024" t="s">
        <v>49</v>
      </c>
      <c r="Q1024" t="s">
        <v>5052</v>
      </c>
      <c r="R1024" t="s">
        <v>5053</v>
      </c>
      <c r="S1024" t="s">
        <v>53</v>
      </c>
      <c r="T1024" t="s">
        <v>4148</v>
      </c>
      <c r="U1024" t="s">
        <v>1235</v>
      </c>
      <c r="V1024" t="s">
        <v>91</v>
      </c>
    </row>
    <row r="1025" spans="1:22" x14ac:dyDescent="0.35">
      <c r="A1025" t="s">
        <v>5055</v>
      </c>
      <c r="B1025" t="s">
        <v>1112</v>
      </c>
      <c r="C1025" t="s">
        <v>28</v>
      </c>
      <c r="D1025" t="s">
        <v>29</v>
      </c>
      <c r="E1025" t="s">
        <v>60</v>
      </c>
      <c r="F1025" t="s">
        <v>30</v>
      </c>
      <c r="G1025" t="s">
        <v>103</v>
      </c>
      <c r="H1025" t="s">
        <v>28</v>
      </c>
      <c r="I1025" t="s">
        <v>36</v>
      </c>
      <c r="K1025" t="s">
        <v>4170</v>
      </c>
      <c r="L1025" t="s">
        <v>48</v>
      </c>
      <c r="M1025" t="s">
        <v>48</v>
      </c>
      <c r="N1025" t="s">
        <v>38</v>
      </c>
      <c r="O1025" t="s">
        <v>5056</v>
      </c>
      <c r="P1025" t="s">
        <v>38</v>
      </c>
      <c r="Q1025" t="s">
        <v>5057</v>
      </c>
      <c r="R1025" t="s">
        <v>5058</v>
      </c>
      <c r="S1025" t="s">
        <v>53</v>
      </c>
      <c r="T1025" t="s">
        <v>4148</v>
      </c>
      <c r="U1025" t="s">
        <v>1532</v>
      </c>
      <c r="V1025" t="s">
        <v>91</v>
      </c>
    </row>
    <row r="1026" spans="1:22" x14ac:dyDescent="0.35">
      <c r="A1026" t="s">
        <v>5060</v>
      </c>
      <c r="B1026" t="s">
        <v>1077</v>
      </c>
      <c r="C1026" t="s">
        <v>344</v>
      </c>
      <c r="D1026" t="s">
        <v>60</v>
      </c>
      <c r="E1026" t="s">
        <v>44</v>
      </c>
      <c r="F1026" t="s">
        <v>30</v>
      </c>
      <c r="G1026" t="s">
        <v>30</v>
      </c>
      <c r="H1026" t="s">
        <v>35</v>
      </c>
      <c r="I1026" t="s">
        <v>36</v>
      </c>
      <c r="K1026" t="s">
        <v>1395</v>
      </c>
      <c r="L1026" t="s">
        <v>49</v>
      </c>
      <c r="M1026" t="s">
        <v>48</v>
      </c>
      <c r="N1026" t="s">
        <v>49</v>
      </c>
      <c r="O1026" t="s">
        <v>5061</v>
      </c>
      <c r="P1026" t="s">
        <v>49</v>
      </c>
      <c r="Q1026" t="s">
        <v>5062</v>
      </c>
      <c r="R1026" t="s">
        <v>5063</v>
      </c>
      <c r="S1026" t="s">
        <v>87</v>
      </c>
      <c r="T1026" t="s">
        <v>2246</v>
      </c>
      <c r="U1026" t="s">
        <v>5064</v>
      </c>
      <c r="V1026" t="s">
        <v>91</v>
      </c>
    </row>
    <row r="1027" spans="1:22" x14ac:dyDescent="0.35">
      <c r="A1027" t="s">
        <v>5065</v>
      </c>
      <c r="B1027" t="s">
        <v>4283</v>
      </c>
      <c r="C1027" t="s">
        <v>449</v>
      </c>
      <c r="D1027" t="s">
        <v>28</v>
      </c>
      <c r="E1027" t="s">
        <v>206</v>
      </c>
      <c r="F1027" t="s">
        <v>30</v>
      </c>
      <c r="G1027" t="s">
        <v>28</v>
      </c>
      <c r="H1027" t="s">
        <v>73</v>
      </c>
      <c r="I1027" t="s">
        <v>36</v>
      </c>
      <c r="K1027" t="s">
        <v>5066</v>
      </c>
      <c r="L1027" t="s">
        <v>49</v>
      </c>
      <c r="M1027" t="s">
        <v>49</v>
      </c>
      <c r="N1027" t="s">
        <v>39</v>
      </c>
      <c r="O1027" t="s">
        <v>5067</v>
      </c>
      <c r="P1027" t="s">
        <v>48</v>
      </c>
      <c r="Q1027" t="s">
        <v>5068</v>
      </c>
      <c r="R1027" t="s">
        <v>5069</v>
      </c>
      <c r="S1027" t="s">
        <v>53</v>
      </c>
      <c r="T1027" t="s">
        <v>4148</v>
      </c>
      <c r="U1027" t="s">
        <v>759</v>
      </c>
      <c r="V1027" t="s">
        <v>91</v>
      </c>
    </row>
    <row r="1028" spans="1:22" x14ac:dyDescent="0.35">
      <c r="A1028" t="s">
        <v>5071</v>
      </c>
      <c r="B1028" t="s">
        <v>5072</v>
      </c>
      <c r="C1028" t="s">
        <v>344</v>
      </c>
      <c r="D1028" t="s">
        <v>44</v>
      </c>
      <c r="E1028" t="s">
        <v>44</v>
      </c>
      <c r="F1028" t="s">
        <v>30</v>
      </c>
      <c r="G1028" t="s">
        <v>30</v>
      </c>
      <c r="H1028" t="s">
        <v>28</v>
      </c>
      <c r="I1028" t="s">
        <v>46</v>
      </c>
      <c r="K1028" t="s">
        <v>1381</v>
      </c>
      <c r="L1028" t="s">
        <v>49</v>
      </c>
      <c r="M1028" t="s">
        <v>48</v>
      </c>
      <c r="N1028" t="s">
        <v>49</v>
      </c>
      <c r="O1028" t="s">
        <v>5073</v>
      </c>
      <c r="P1028" t="s">
        <v>49</v>
      </c>
      <c r="Q1028" t="s">
        <v>5074</v>
      </c>
      <c r="R1028" t="s">
        <v>5075</v>
      </c>
      <c r="S1028" t="s">
        <v>53</v>
      </c>
      <c r="T1028" t="s">
        <v>2246</v>
      </c>
      <c r="U1028" t="s">
        <v>1532</v>
      </c>
      <c r="V1028" t="s">
        <v>129</v>
      </c>
    </row>
    <row r="1029" spans="1:22" x14ac:dyDescent="0.35">
      <c r="A1029" t="s">
        <v>5076</v>
      </c>
      <c r="B1029" t="s">
        <v>5077</v>
      </c>
      <c r="C1029" t="s">
        <v>44</v>
      </c>
      <c r="D1029" t="s">
        <v>197</v>
      </c>
      <c r="E1029" t="s">
        <v>44</v>
      </c>
      <c r="F1029" t="s">
        <v>197</v>
      </c>
      <c r="G1029" t="s">
        <v>103</v>
      </c>
      <c r="H1029" t="s">
        <v>61</v>
      </c>
      <c r="I1029" t="s">
        <v>36</v>
      </c>
      <c r="K1029" t="s">
        <v>1390</v>
      </c>
      <c r="L1029" t="s">
        <v>49</v>
      </c>
      <c r="M1029" t="s">
        <v>49</v>
      </c>
      <c r="N1029" t="s">
        <v>48</v>
      </c>
      <c r="O1029" t="s">
        <v>5078</v>
      </c>
      <c r="P1029" t="s">
        <v>49</v>
      </c>
      <c r="Q1029" t="s">
        <v>5079</v>
      </c>
      <c r="R1029" t="s">
        <v>5080</v>
      </c>
      <c r="S1029" t="s">
        <v>79</v>
      </c>
      <c r="T1029" t="s">
        <v>2246</v>
      </c>
      <c r="U1029" t="s">
        <v>5081</v>
      </c>
      <c r="V1029" t="s">
        <v>129</v>
      </c>
    </row>
    <row r="1030" spans="1:22" x14ac:dyDescent="0.35">
      <c r="A1030" t="s">
        <v>5082</v>
      </c>
      <c r="B1030" t="s">
        <v>5083</v>
      </c>
      <c r="C1030" t="s">
        <v>449</v>
      </c>
      <c r="D1030" t="s">
        <v>197</v>
      </c>
      <c r="E1030" t="s">
        <v>44</v>
      </c>
      <c r="F1030" t="s">
        <v>197</v>
      </c>
      <c r="G1030" t="s">
        <v>103</v>
      </c>
      <c r="H1030" t="s">
        <v>61</v>
      </c>
      <c r="I1030" t="s">
        <v>36</v>
      </c>
      <c r="K1030" t="s">
        <v>1470</v>
      </c>
      <c r="L1030" t="s">
        <v>49</v>
      </c>
      <c r="M1030" t="s">
        <v>49</v>
      </c>
      <c r="N1030" t="s">
        <v>48</v>
      </c>
      <c r="O1030" t="s">
        <v>5084</v>
      </c>
      <c r="P1030" t="s">
        <v>49</v>
      </c>
      <c r="Q1030" t="s">
        <v>5085</v>
      </c>
      <c r="R1030" t="s">
        <v>5086</v>
      </c>
      <c r="S1030" t="s">
        <v>87</v>
      </c>
      <c r="T1030" t="s">
        <v>2246</v>
      </c>
      <c r="U1030" t="s">
        <v>5087</v>
      </c>
      <c r="V1030" t="s">
        <v>91</v>
      </c>
    </row>
    <row r="1031" spans="1:22" x14ac:dyDescent="0.35">
      <c r="A1031" t="s">
        <v>5088</v>
      </c>
      <c r="B1031" t="s">
        <v>3596</v>
      </c>
      <c r="C1031" t="s">
        <v>28</v>
      </c>
      <c r="D1031" t="s">
        <v>33</v>
      </c>
      <c r="E1031" t="s">
        <v>60</v>
      </c>
      <c r="F1031" t="s">
        <v>30</v>
      </c>
      <c r="G1031" t="s">
        <v>173</v>
      </c>
      <c r="H1031" t="s">
        <v>28</v>
      </c>
      <c r="I1031" t="s">
        <v>46</v>
      </c>
      <c r="K1031" t="s">
        <v>5089</v>
      </c>
      <c r="L1031" t="s">
        <v>48</v>
      </c>
      <c r="M1031" t="s">
        <v>48</v>
      </c>
      <c r="N1031" t="s">
        <v>39</v>
      </c>
      <c r="O1031" t="s">
        <v>5090</v>
      </c>
      <c r="P1031" t="s">
        <v>38</v>
      </c>
      <c r="Q1031" t="s">
        <v>5091</v>
      </c>
      <c r="R1031" t="s">
        <v>5092</v>
      </c>
      <c r="S1031" t="s">
        <v>65</v>
      </c>
      <c r="T1031" t="s">
        <v>4148</v>
      </c>
      <c r="U1031" t="s">
        <v>1532</v>
      </c>
      <c r="V1031" t="s">
        <v>129</v>
      </c>
    </row>
    <row r="1032" spans="1:22" x14ac:dyDescent="0.35">
      <c r="A1032" t="s">
        <v>5094</v>
      </c>
      <c r="B1032" t="s">
        <v>4265</v>
      </c>
      <c r="C1032" t="s">
        <v>28</v>
      </c>
      <c r="D1032" t="s">
        <v>28</v>
      </c>
      <c r="E1032" t="s">
        <v>284</v>
      </c>
      <c r="F1032" t="s">
        <v>28</v>
      </c>
      <c r="G1032" t="s">
        <v>45</v>
      </c>
      <c r="H1032" t="s">
        <v>73</v>
      </c>
      <c r="I1032" t="s">
        <v>36</v>
      </c>
      <c r="K1032" t="s">
        <v>5095</v>
      </c>
      <c r="L1032" t="s">
        <v>38</v>
      </c>
      <c r="M1032" t="s">
        <v>49</v>
      </c>
      <c r="N1032" t="s">
        <v>40</v>
      </c>
      <c r="O1032" t="s">
        <v>5096</v>
      </c>
      <c r="P1032" t="s">
        <v>48</v>
      </c>
      <c r="Q1032" t="s">
        <v>5097</v>
      </c>
      <c r="R1032" t="s">
        <v>5098</v>
      </c>
      <c r="S1032" t="s">
        <v>53</v>
      </c>
      <c r="T1032" t="s">
        <v>4148</v>
      </c>
      <c r="U1032" t="s">
        <v>4421</v>
      </c>
      <c r="V1032" t="s">
        <v>91</v>
      </c>
    </row>
    <row r="1033" spans="1:22" x14ac:dyDescent="0.35">
      <c r="A1033" t="s">
        <v>5100</v>
      </c>
      <c r="B1033" t="s">
        <v>1154</v>
      </c>
      <c r="C1033" t="s">
        <v>449</v>
      </c>
      <c r="D1033" t="s">
        <v>44</v>
      </c>
      <c r="E1033" t="s">
        <v>157</v>
      </c>
      <c r="F1033" t="s">
        <v>30</v>
      </c>
      <c r="G1033" t="s">
        <v>30</v>
      </c>
      <c r="H1033" t="s">
        <v>368</v>
      </c>
      <c r="I1033" t="s">
        <v>36</v>
      </c>
      <c r="K1033" t="s">
        <v>1448</v>
      </c>
      <c r="L1033" t="s">
        <v>49</v>
      </c>
      <c r="M1033" t="s">
        <v>48</v>
      </c>
      <c r="N1033" t="s">
        <v>38</v>
      </c>
      <c r="O1033" t="s">
        <v>5101</v>
      </c>
      <c r="P1033" t="s">
        <v>49</v>
      </c>
      <c r="Q1033" t="s">
        <v>5102</v>
      </c>
      <c r="R1033" t="s">
        <v>5103</v>
      </c>
      <c r="S1033" t="s">
        <v>87</v>
      </c>
      <c r="T1033" t="s">
        <v>2246</v>
      </c>
      <c r="U1033" t="s">
        <v>1310</v>
      </c>
      <c r="V1033" t="s">
        <v>91</v>
      </c>
    </row>
    <row r="1034" spans="1:22" x14ac:dyDescent="0.35">
      <c r="A1034" t="s">
        <v>5104</v>
      </c>
      <c r="B1034" t="s">
        <v>5105</v>
      </c>
      <c r="C1034" t="s">
        <v>60</v>
      </c>
      <c r="D1034" t="s">
        <v>28</v>
      </c>
      <c r="E1034" t="s">
        <v>29</v>
      </c>
      <c r="F1034" t="s">
        <v>197</v>
      </c>
      <c r="G1034" t="s">
        <v>28</v>
      </c>
      <c r="H1034" t="s">
        <v>292</v>
      </c>
      <c r="I1034" t="s">
        <v>46</v>
      </c>
      <c r="K1034" t="s">
        <v>4190</v>
      </c>
      <c r="L1034" t="s">
        <v>48</v>
      </c>
      <c r="M1034" t="s">
        <v>38</v>
      </c>
      <c r="N1034" t="s">
        <v>48</v>
      </c>
      <c r="O1034" t="s">
        <v>5106</v>
      </c>
      <c r="P1034" t="s">
        <v>38</v>
      </c>
      <c r="Q1034" t="s">
        <v>5107</v>
      </c>
      <c r="R1034" t="s">
        <v>5108</v>
      </c>
      <c r="S1034" t="s">
        <v>65</v>
      </c>
      <c r="T1034" t="s">
        <v>4148</v>
      </c>
      <c r="U1034" t="s">
        <v>4635</v>
      </c>
      <c r="V1034" t="s">
        <v>129</v>
      </c>
    </row>
    <row r="1035" spans="1:22" x14ac:dyDescent="0.35">
      <c r="A1035" t="s">
        <v>1228</v>
      </c>
      <c r="B1035" t="s">
        <v>1112</v>
      </c>
      <c r="C1035" t="s">
        <v>28</v>
      </c>
      <c r="D1035" t="s">
        <v>44</v>
      </c>
      <c r="E1035" t="s">
        <v>284</v>
      </c>
      <c r="F1035" t="s">
        <v>103</v>
      </c>
      <c r="G1035" t="s">
        <v>368</v>
      </c>
      <c r="H1035" t="s">
        <v>368</v>
      </c>
      <c r="I1035" t="s">
        <v>46</v>
      </c>
      <c r="K1035" t="s">
        <v>5110</v>
      </c>
      <c r="L1035" t="s">
        <v>49</v>
      </c>
      <c r="M1035" t="s">
        <v>49</v>
      </c>
      <c r="N1035" t="s">
        <v>49</v>
      </c>
      <c r="O1035" t="s">
        <v>5111</v>
      </c>
      <c r="P1035" t="s">
        <v>48</v>
      </c>
      <c r="Q1035" t="s">
        <v>5112</v>
      </c>
      <c r="R1035" t="s">
        <v>5113</v>
      </c>
      <c r="S1035" t="s">
        <v>135</v>
      </c>
      <c r="T1035" t="s">
        <v>118</v>
      </c>
      <c r="U1035" t="s">
        <v>1054</v>
      </c>
      <c r="V1035" t="s">
        <v>170</v>
      </c>
    </row>
    <row r="1036" spans="1:22" x14ac:dyDescent="0.35">
      <c r="A1036" t="s">
        <v>5114</v>
      </c>
      <c r="B1036" t="s">
        <v>4210</v>
      </c>
      <c r="C1036" t="s">
        <v>28</v>
      </c>
      <c r="D1036" t="s">
        <v>33</v>
      </c>
      <c r="E1036" t="s">
        <v>60</v>
      </c>
      <c r="F1036" t="s">
        <v>173</v>
      </c>
      <c r="G1036" t="s">
        <v>173</v>
      </c>
      <c r="H1036" t="s">
        <v>28</v>
      </c>
      <c r="I1036" t="s">
        <v>36</v>
      </c>
      <c r="K1036" t="s">
        <v>4835</v>
      </c>
      <c r="L1036" t="s">
        <v>48</v>
      </c>
      <c r="M1036" t="s">
        <v>48</v>
      </c>
      <c r="N1036" t="s">
        <v>40</v>
      </c>
      <c r="O1036" t="s">
        <v>5115</v>
      </c>
      <c r="P1036" t="s">
        <v>38</v>
      </c>
      <c r="Q1036" t="s">
        <v>5116</v>
      </c>
      <c r="R1036" t="s">
        <v>5117</v>
      </c>
      <c r="S1036" t="s">
        <v>79</v>
      </c>
      <c r="T1036" t="s">
        <v>4148</v>
      </c>
      <c r="U1036" t="s">
        <v>4149</v>
      </c>
      <c r="V1036" t="s">
        <v>170</v>
      </c>
    </row>
    <row r="1037" spans="1:22" x14ac:dyDescent="0.35">
      <c r="A1037" t="s">
        <v>5119</v>
      </c>
      <c r="B1037" t="s">
        <v>1077</v>
      </c>
      <c r="C1037" t="s">
        <v>28</v>
      </c>
      <c r="D1037" t="s">
        <v>158</v>
      </c>
      <c r="E1037" t="s">
        <v>284</v>
      </c>
      <c r="F1037" t="s">
        <v>158</v>
      </c>
      <c r="G1037" t="s">
        <v>45</v>
      </c>
      <c r="H1037" t="s">
        <v>28</v>
      </c>
      <c r="I1037" t="s">
        <v>46</v>
      </c>
      <c r="K1037" t="s">
        <v>4152</v>
      </c>
      <c r="L1037" t="s">
        <v>49</v>
      </c>
      <c r="M1037" t="s">
        <v>49</v>
      </c>
      <c r="N1037" t="s">
        <v>48</v>
      </c>
      <c r="O1037" t="s">
        <v>5120</v>
      </c>
      <c r="P1037" t="s">
        <v>48</v>
      </c>
      <c r="Q1037" t="s">
        <v>5121</v>
      </c>
      <c r="R1037" t="s">
        <v>5122</v>
      </c>
      <c r="S1037" t="s">
        <v>53</v>
      </c>
      <c r="T1037" t="s">
        <v>4148</v>
      </c>
      <c r="U1037" t="s">
        <v>1235</v>
      </c>
      <c r="V1037" t="s">
        <v>91</v>
      </c>
    </row>
    <row r="1038" spans="1:22" x14ac:dyDescent="0.35">
      <c r="A1038" t="s">
        <v>5124</v>
      </c>
      <c r="B1038" t="s">
        <v>4967</v>
      </c>
      <c r="C1038" t="s">
        <v>28</v>
      </c>
      <c r="D1038" t="s">
        <v>196</v>
      </c>
      <c r="E1038" t="s">
        <v>28</v>
      </c>
      <c r="F1038" t="s">
        <v>196</v>
      </c>
      <c r="G1038" t="s">
        <v>28</v>
      </c>
      <c r="H1038" t="s">
        <v>61</v>
      </c>
      <c r="I1038" t="s">
        <v>36</v>
      </c>
      <c r="K1038" t="s">
        <v>5125</v>
      </c>
      <c r="L1038" t="s">
        <v>49</v>
      </c>
      <c r="M1038" t="s">
        <v>49</v>
      </c>
      <c r="N1038" t="s">
        <v>48</v>
      </c>
      <c r="O1038" t="s">
        <v>5126</v>
      </c>
      <c r="P1038" t="s">
        <v>49</v>
      </c>
      <c r="Q1038" t="s">
        <v>5127</v>
      </c>
      <c r="R1038" t="s">
        <v>5128</v>
      </c>
      <c r="S1038" t="s">
        <v>53</v>
      </c>
      <c r="T1038" t="s">
        <v>118</v>
      </c>
      <c r="U1038" t="s">
        <v>4971</v>
      </c>
      <c r="V1038" t="s">
        <v>91</v>
      </c>
    </row>
    <row r="1039" spans="1:22" x14ac:dyDescent="0.35">
      <c r="A1039" t="s">
        <v>5129</v>
      </c>
      <c r="B1039" t="s">
        <v>4238</v>
      </c>
      <c r="C1039" t="s">
        <v>44</v>
      </c>
      <c r="D1039" t="s">
        <v>60</v>
      </c>
      <c r="E1039" t="s">
        <v>28</v>
      </c>
      <c r="F1039" t="s">
        <v>28</v>
      </c>
      <c r="G1039" t="s">
        <v>45</v>
      </c>
      <c r="H1039" t="s">
        <v>368</v>
      </c>
      <c r="I1039" t="s">
        <v>36</v>
      </c>
      <c r="K1039" t="s">
        <v>5023</v>
      </c>
      <c r="L1039" t="s">
        <v>48</v>
      </c>
      <c r="M1039" t="s">
        <v>49</v>
      </c>
      <c r="N1039" t="s">
        <v>38</v>
      </c>
      <c r="O1039" t="s">
        <v>5130</v>
      </c>
      <c r="P1039" t="s">
        <v>48</v>
      </c>
      <c r="Q1039" t="s">
        <v>5131</v>
      </c>
      <c r="R1039" t="s">
        <v>5132</v>
      </c>
      <c r="S1039" t="s">
        <v>53</v>
      </c>
      <c r="T1039" t="s">
        <v>4148</v>
      </c>
      <c r="U1039" t="s">
        <v>1047</v>
      </c>
      <c r="V1039" t="s">
        <v>91</v>
      </c>
    </row>
    <row r="1040" spans="1:22" x14ac:dyDescent="0.35">
      <c r="A1040" t="s">
        <v>5134</v>
      </c>
      <c r="B1040" t="s">
        <v>4577</v>
      </c>
      <c r="C1040" t="s">
        <v>449</v>
      </c>
      <c r="D1040" t="s">
        <v>197</v>
      </c>
      <c r="E1040" t="s">
        <v>44</v>
      </c>
      <c r="F1040" t="s">
        <v>197</v>
      </c>
      <c r="G1040" t="s">
        <v>173</v>
      </c>
      <c r="H1040" t="s">
        <v>61</v>
      </c>
      <c r="I1040" t="s">
        <v>36</v>
      </c>
      <c r="K1040" t="s">
        <v>5135</v>
      </c>
      <c r="L1040" t="s">
        <v>49</v>
      </c>
      <c r="M1040" t="s">
        <v>49</v>
      </c>
      <c r="N1040" t="s">
        <v>48</v>
      </c>
      <c r="O1040" t="s">
        <v>5136</v>
      </c>
      <c r="P1040" t="s">
        <v>49</v>
      </c>
      <c r="Q1040" t="s">
        <v>5137</v>
      </c>
      <c r="R1040" t="s">
        <v>5138</v>
      </c>
      <c r="S1040" t="s">
        <v>135</v>
      </c>
      <c r="T1040" t="s">
        <v>118</v>
      </c>
      <c r="U1040" t="s">
        <v>1090</v>
      </c>
      <c r="V1040" t="s">
        <v>91</v>
      </c>
    </row>
    <row r="1041" spans="1:22" x14ac:dyDescent="0.35">
      <c r="A1041" t="s">
        <v>5139</v>
      </c>
      <c r="B1041" t="s">
        <v>5140</v>
      </c>
      <c r="C1041" t="s">
        <v>28</v>
      </c>
      <c r="D1041" t="s">
        <v>60</v>
      </c>
      <c r="E1041" t="s">
        <v>28</v>
      </c>
      <c r="F1041" t="s">
        <v>30</v>
      </c>
      <c r="G1041" t="s">
        <v>28</v>
      </c>
      <c r="H1041" t="s">
        <v>94</v>
      </c>
      <c r="I1041" t="s">
        <v>46</v>
      </c>
      <c r="K1041" t="s">
        <v>4170</v>
      </c>
      <c r="L1041" t="s">
        <v>48</v>
      </c>
      <c r="M1041" t="s">
        <v>48</v>
      </c>
      <c r="N1041" t="s">
        <v>40</v>
      </c>
      <c r="O1041" t="s">
        <v>5141</v>
      </c>
      <c r="P1041" t="s">
        <v>48</v>
      </c>
      <c r="Q1041" t="s">
        <v>5142</v>
      </c>
      <c r="R1041" t="s">
        <v>5143</v>
      </c>
      <c r="S1041" t="s">
        <v>65</v>
      </c>
      <c r="T1041" t="s">
        <v>4148</v>
      </c>
      <c r="U1041" t="s">
        <v>5145</v>
      </c>
      <c r="V1041" t="s">
        <v>129</v>
      </c>
    </row>
    <row r="1042" spans="1:22" x14ac:dyDescent="0.35">
      <c r="A1042" t="s">
        <v>1098</v>
      </c>
      <c r="B1042" t="s">
        <v>5146</v>
      </c>
      <c r="C1042" t="s">
        <v>344</v>
      </c>
      <c r="D1042" t="s">
        <v>197</v>
      </c>
      <c r="E1042" t="s">
        <v>284</v>
      </c>
      <c r="F1042" t="s">
        <v>30</v>
      </c>
      <c r="G1042" t="s">
        <v>30</v>
      </c>
      <c r="H1042" t="s">
        <v>28</v>
      </c>
      <c r="I1042" t="s">
        <v>36</v>
      </c>
      <c r="K1042" t="s">
        <v>5147</v>
      </c>
      <c r="L1042" t="s">
        <v>49</v>
      </c>
      <c r="M1042" t="s">
        <v>48</v>
      </c>
      <c r="N1042" t="s">
        <v>49</v>
      </c>
      <c r="O1042" t="s">
        <v>5148</v>
      </c>
      <c r="P1042" t="s">
        <v>49</v>
      </c>
      <c r="Q1042" t="s">
        <v>5149</v>
      </c>
      <c r="R1042" t="s">
        <v>5150</v>
      </c>
      <c r="S1042" t="s">
        <v>87</v>
      </c>
      <c r="T1042" t="s">
        <v>118</v>
      </c>
      <c r="U1042" t="s">
        <v>4567</v>
      </c>
      <c r="V1042" t="s">
        <v>91</v>
      </c>
    </row>
    <row r="1043" spans="1:22" x14ac:dyDescent="0.35">
      <c r="A1043" t="s">
        <v>5151</v>
      </c>
      <c r="B1043" t="s">
        <v>4721</v>
      </c>
      <c r="C1043" t="s">
        <v>29</v>
      </c>
      <c r="D1043" t="s">
        <v>29</v>
      </c>
      <c r="E1043" t="s">
        <v>29</v>
      </c>
      <c r="F1043" t="s">
        <v>103</v>
      </c>
      <c r="G1043" t="s">
        <v>103</v>
      </c>
      <c r="H1043" t="s">
        <v>45</v>
      </c>
      <c r="I1043" t="s">
        <v>46</v>
      </c>
      <c r="K1043" t="s">
        <v>5152</v>
      </c>
      <c r="L1043" t="s">
        <v>48</v>
      </c>
      <c r="M1043" t="s">
        <v>49</v>
      </c>
      <c r="N1043" t="s">
        <v>49</v>
      </c>
      <c r="O1043" t="s">
        <v>5153</v>
      </c>
      <c r="P1043" t="s">
        <v>49</v>
      </c>
      <c r="Q1043" t="s">
        <v>5154</v>
      </c>
      <c r="R1043" t="s">
        <v>5155</v>
      </c>
      <c r="S1043" t="s">
        <v>53</v>
      </c>
      <c r="T1043" t="s">
        <v>118</v>
      </c>
      <c r="U1043" t="s">
        <v>4616</v>
      </c>
      <c r="V1043" t="s">
        <v>91</v>
      </c>
    </row>
    <row r="1044" spans="1:22" x14ac:dyDescent="0.35">
      <c r="A1044" t="s">
        <v>5156</v>
      </c>
      <c r="B1044" t="s">
        <v>1506</v>
      </c>
      <c r="C1044" t="s">
        <v>28</v>
      </c>
      <c r="D1044" t="s">
        <v>29</v>
      </c>
      <c r="E1044" t="s">
        <v>29</v>
      </c>
      <c r="F1044" t="s">
        <v>30</v>
      </c>
      <c r="G1044" t="s">
        <v>30</v>
      </c>
      <c r="H1044" t="s">
        <v>28</v>
      </c>
      <c r="I1044" t="s">
        <v>36</v>
      </c>
      <c r="K1044" t="s">
        <v>4152</v>
      </c>
      <c r="L1044" t="s">
        <v>48</v>
      </c>
      <c r="M1044" t="s">
        <v>48</v>
      </c>
      <c r="N1044" t="s">
        <v>38</v>
      </c>
      <c r="O1044" t="s">
        <v>5157</v>
      </c>
      <c r="P1044" t="s">
        <v>38</v>
      </c>
      <c r="Q1044" t="s">
        <v>5158</v>
      </c>
      <c r="R1044" t="s">
        <v>5159</v>
      </c>
      <c r="S1044" t="s">
        <v>79</v>
      </c>
      <c r="T1044" t="s">
        <v>4148</v>
      </c>
      <c r="U1044" t="s">
        <v>1097</v>
      </c>
      <c r="V1044" t="s">
        <v>91</v>
      </c>
    </row>
    <row r="1045" spans="1:22" x14ac:dyDescent="0.35">
      <c r="A1045" t="s">
        <v>5161</v>
      </c>
      <c r="B1045" t="s">
        <v>5162</v>
      </c>
      <c r="C1045" t="s">
        <v>28</v>
      </c>
      <c r="D1045" t="s">
        <v>28</v>
      </c>
      <c r="E1045" t="s">
        <v>284</v>
      </c>
      <c r="F1045" t="s">
        <v>28</v>
      </c>
      <c r="G1045" t="s">
        <v>368</v>
      </c>
      <c r="H1045" t="s">
        <v>94</v>
      </c>
      <c r="I1045" t="s">
        <v>46</v>
      </c>
      <c r="K1045" t="s">
        <v>304</v>
      </c>
      <c r="L1045" t="s">
        <v>38</v>
      </c>
      <c r="M1045" t="s">
        <v>38</v>
      </c>
      <c r="N1045" t="s">
        <v>39</v>
      </c>
      <c r="O1045" t="s">
        <v>5163</v>
      </c>
      <c r="P1045" t="s">
        <v>48</v>
      </c>
      <c r="Q1045" t="s">
        <v>5164</v>
      </c>
      <c r="R1045" t="s">
        <v>5165</v>
      </c>
      <c r="S1045" t="s">
        <v>53</v>
      </c>
      <c r="T1045" t="s">
        <v>109</v>
      </c>
      <c r="U1045" t="s">
        <v>5166</v>
      </c>
      <c r="V1045" t="s">
        <v>91</v>
      </c>
    </row>
    <row r="1046" spans="1:22" x14ac:dyDescent="0.35">
      <c r="A1046" t="s">
        <v>5167</v>
      </c>
      <c r="B1046" t="s">
        <v>4877</v>
      </c>
      <c r="C1046" t="s">
        <v>28</v>
      </c>
      <c r="D1046" t="s">
        <v>197</v>
      </c>
      <c r="E1046" t="s">
        <v>206</v>
      </c>
      <c r="F1046" t="s">
        <v>103</v>
      </c>
      <c r="G1046" t="s">
        <v>94</v>
      </c>
      <c r="H1046" t="s">
        <v>94</v>
      </c>
      <c r="I1046" t="s">
        <v>36</v>
      </c>
      <c r="K1046" t="s">
        <v>534</v>
      </c>
      <c r="L1046" t="s">
        <v>49</v>
      </c>
      <c r="M1046" t="s">
        <v>49</v>
      </c>
      <c r="N1046" t="s">
        <v>49</v>
      </c>
      <c r="O1046" t="s">
        <v>5168</v>
      </c>
      <c r="P1046" t="s">
        <v>48</v>
      </c>
      <c r="Q1046" t="s">
        <v>5169</v>
      </c>
      <c r="R1046" t="s">
        <v>5170</v>
      </c>
      <c r="S1046" t="s">
        <v>79</v>
      </c>
      <c r="T1046" t="s">
        <v>1030</v>
      </c>
      <c r="U1046" t="s">
        <v>4413</v>
      </c>
      <c r="V1046" t="s">
        <v>129</v>
      </c>
    </row>
    <row r="1047" spans="1:22" x14ac:dyDescent="0.35">
      <c r="A1047" t="s">
        <v>5171</v>
      </c>
      <c r="B1047" t="s">
        <v>4907</v>
      </c>
      <c r="C1047" t="s">
        <v>60</v>
      </c>
      <c r="D1047" t="s">
        <v>29</v>
      </c>
      <c r="E1047" t="s">
        <v>60</v>
      </c>
      <c r="F1047" t="s">
        <v>28</v>
      </c>
      <c r="G1047" t="s">
        <v>28</v>
      </c>
      <c r="H1047" t="s">
        <v>28</v>
      </c>
      <c r="I1047" t="s">
        <v>46</v>
      </c>
      <c r="K1047" t="s">
        <v>37</v>
      </c>
      <c r="L1047" t="s">
        <v>48</v>
      </c>
      <c r="M1047" t="s">
        <v>38</v>
      </c>
      <c r="N1047" t="s">
        <v>38</v>
      </c>
      <c r="O1047" t="s">
        <v>5172</v>
      </c>
      <c r="P1047" t="s">
        <v>38</v>
      </c>
      <c r="Q1047" t="s">
        <v>5173</v>
      </c>
      <c r="R1047" t="s">
        <v>5174</v>
      </c>
      <c r="S1047" t="s">
        <v>79</v>
      </c>
      <c r="T1047" t="s">
        <v>109</v>
      </c>
      <c r="U1047" t="s">
        <v>694</v>
      </c>
      <c r="V1047" t="s">
        <v>129</v>
      </c>
    </row>
    <row r="1048" spans="1:22" x14ac:dyDescent="0.35">
      <c r="A1048" t="s">
        <v>5175</v>
      </c>
      <c r="B1048" t="s">
        <v>5176</v>
      </c>
      <c r="C1048" t="s">
        <v>28</v>
      </c>
      <c r="D1048" t="s">
        <v>28</v>
      </c>
      <c r="E1048" t="s">
        <v>284</v>
      </c>
      <c r="F1048" t="s">
        <v>28</v>
      </c>
      <c r="G1048" t="s">
        <v>368</v>
      </c>
      <c r="H1048" t="s">
        <v>94</v>
      </c>
      <c r="I1048" t="s">
        <v>46</v>
      </c>
      <c r="K1048" t="s">
        <v>104</v>
      </c>
      <c r="L1048" t="s">
        <v>38</v>
      </c>
      <c r="M1048" t="s">
        <v>38</v>
      </c>
      <c r="N1048" t="s">
        <v>40</v>
      </c>
      <c r="O1048" t="s">
        <v>5177</v>
      </c>
      <c r="P1048" t="s">
        <v>48</v>
      </c>
      <c r="Q1048" t="s">
        <v>5178</v>
      </c>
      <c r="R1048" t="s">
        <v>5179</v>
      </c>
      <c r="S1048" t="s">
        <v>87</v>
      </c>
      <c r="T1048" t="s">
        <v>109</v>
      </c>
      <c r="U1048" t="s">
        <v>5180</v>
      </c>
      <c r="V1048" t="s">
        <v>129</v>
      </c>
    </row>
    <row r="1049" spans="1:22" x14ac:dyDescent="0.35">
      <c r="A1049" t="s">
        <v>5181</v>
      </c>
      <c r="B1049" t="s">
        <v>5182</v>
      </c>
      <c r="C1049" t="s">
        <v>44</v>
      </c>
      <c r="D1049" t="s">
        <v>158</v>
      </c>
      <c r="E1049" t="s">
        <v>28</v>
      </c>
      <c r="F1049" t="s">
        <v>158</v>
      </c>
      <c r="G1049" t="s">
        <v>28</v>
      </c>
      <c r="H1049" t="s">
        <v>35</v>
      </c>
      <c r="I1049" t="s">
        <v>36</v>
      </c>
      <c r="K1049" t="s">
        <v>555</v>
      </c>
      <c r="L1049" t="s">
        <v>49</v>
      </c>
      <c r="M1049" t="s">
        <v>49</v>
      </c>
      <c r="N1049" t="s">
        <v>48</v>
      </c>
      <c r="O1049" t="s">
        <v>5183</v>
      </c>
      <c r="P1049" t="s">
        <v>49</v>
      </c>
      <c r="Q1049" t="s">
        <v>5184</v>
      </c>
      <c r="R1049" t="s">
        <v>5185</v>
      </c>
      <c r="S1049" t="s">
        <v>87</v>
      </c>
      <c r="T1049" t="s">
        <v>1030</v>
      </c>
      <c r="U1049" t="s">
        <v>5186</v>
      </c>
      <c r="V1049" t="s">
        <v>91</v>
      </c>
    </row>
    <row r="1050" spans="1:22" x14ac:dyDescent="0.35">
      <c r="A1050" t="s">
        <v>5187</v>
      </c>
      <c r="B1050" t="s">
        <v>5188</v>
      </c>
      <c r="C1050" t="s">
        <v>449</v>
      </c>
      <c r="D1050" t="s">
        <v>28</v>
      </c>
      <c r="E1050" t="s">
        <v>28</v>
      </c>
      <c r="F1050" t="s">
        <v>34</v>
      </c>
      <c r="G1050" t="s">
        <v>30</v>
      </c>
      <c r="H1050" t="s">
        <v>28</v>
      </c>
      <c r="I1050" t="s">
        <v>36</v>
      </c>
      <c r="K1050" t="s">
        <v>3528</v>
      </c>
      <c r="L1050" t="s">
        <v>38</v>
      </c>
      <c r="M1050" t="s">
        <v>48</v>
      </c>
      <c r="N1050" t="s">
        <v>38</v>
      </c>
      <c r="O1050" t="s">
        <v>5189</v>
      </c>
      <c r="P1050" t="s">
        <v>38</v>
      </c>
      <c r="Q1050" t="s">
        <v>5190</v>
      </c>
      <c r="R1050" t="s">
        <v>5191</v>
      </c>
      <c r="S1050" t="s">
        <v>87</v>
      </c>
      <c r="T1050" t="s">
        <v>109</v>
      </c>
      <c r="U1050" t="s">
        <v>4940</v>
      </c>
      <c r="V1050" t="s">
        <v>129</v>
      </c>
    </row>
    <row r="1051" spans="1:22" x14ac:dyDescent="0.35">
      <c r="A1051" t="s">
        <v>5192</v>
      </c>
      <c r="B1051" t="s">
        <v>4918</v>
      </c>
      <c r="C1051" t="s">
        <v>449</v>
      </c>
      <c r="D1051" t="s">
        <v>44</v>
      </c>
      <c r="E1051" t="s">
        <v>284</v>
      </c>
      <c r="F1051" t="s">
        <v>103</v>
      </c>
      <c r="G1051" t="s">
        <v>368</v>
      </c>
      <c r="H1051" t="s">
        <v>94</v>
      </c>
      <c r="I1051" t="s">
        <v>36</v>
      </c>
      <c r="K1051" t="s">
        <v>4840</v>
      </c>
      <c r="L1051" t="s">
        <v>49</v>
      </c>
      <c r="M1051" t="s">
        <v>49</v>
      </c>
      <c r="N1051" t="s">
        <v>49</v>
      </c>
      <c r="O1051" t="s">
        <v>5193</v>
      </c>
      <c r="P1051" t="s">
        <v>48</v>
      </c>
      <c r="Q1051" t="s">
        <v>5194</v>
      </c>
      <c r="R1051" t="s">
        <v>5195</v>
      </c>
      <c r="S1051" t="s">
        <v>135</v>
      </c>
      <c r="T1051" t="s">
        <v>1030</v>
      </c>
      <c r="U1051" t="s">
        <v>4923</v>
      </c>
      <c r="V1051" t="s">
        <v>91</v>
      </c>
    </row>
    <row r="1052" spans="1:22" x14ac:dyDescent="0.35">
      <c r="A1052" t="s">
        <v>5196</v>
      </c>
      <c r="B1052" t="s">
        <v>4973</v>
      </c>
      <c r="C1052" t="s">
        <v>344</v>
      </c>
      <c r="D1052" t="s">
        <v>28</v>
      </c>
      <c r="E1052" t="s">
        <v>28</v>
      </c>
      <c r="F1052" t="s">
        <v>34</v>
      </c>
      <c r="G1052" t="s">
        <v>34</v>
      </c>
      <c r="H1052" t="s">
        <v>28</v>
      </c>
      <c r="I1052" t="s">
        <v>46</v>
      </c>
      <c r="K1052" t="s">
        <v>3517</v>
      </c>
      <c r="L1052" t="s">
        <v>49</v>
      </c>
      <c r="M1052" t="s">
        <v>48</v>
      </c>
      <c r="N1052" t="s">
        <v>39</v>
      </c>
      <c r="O1052" t="s">
        <v>5197</v>
      </c>
      <c r="P1052" t="s">
        <v>38</v>
      </c>
      <c r="Q1052" t="s">
        <v>5198</v>
      </c>
      <c r="R1052" t="s">
        <v>5199</v>
      </c>
      <c r="S1052" t="s">
        <v>53</v>
      </c>
      <c r="T1052" t="s">
        <v>109</v>
      </c>
      <c r="U1052" t="s">
        <v>4376</v>
      </c>
      <c r="V1052" t="s">
        <v>129</v>
      </c>
    </row>
    <row r="1053" spans="1:22" x14ac:dyDescent="0.35">
      <c r="A1053" t="s">
        <v>5200</v>
      </c>
      <c r="B1053" t="s">
        <v>5201</v>
      </c>
      <c r="C1053" t="s">
        <v>377</v>
      </c>
      <c r="D1053" t="s">
        <v>197</v>
      </c>
      <c r="E1053" t="s">
        <v>44</v>
      </c>
      <c r="F1053" t="s">
        <v>197</v>
      </c>
      <c r="G1053" t="s">
        <v>103</v>
      </c>
      <c r="H1053" t="s">
        <v>292</v>
      </c>
      <c r="I1053" t="s">
        <v>46</v>
      </c>
      <c r="K1053" t="s">
        <v>4855</v>
      </c>
      <c r="L1053" t="s">
        <v>49</v>
      </c>
      <c r="M1053" t="s">
        <v>49</v>
      </c>
      <c r="N1053" t="s">
        <v>48</v>
      </c>
      <c r="O1053" t="s">
        <v>5202</v>
      </c>
      <c r="P1053" t="s">
        <v>49</v>
      </c>
      <c r="Q1053" t="s">
        <v>5203</v>
      </c>
      <c r="R1053" t="s">
        <v>5204</v>
      </c>
      <c r="S1053" t="s">
        <v>53</v>
      </c>
      <c r="T1053" t="s">
        <v>1030</v>
      </c>
      <c r="U1053" t="s">
        <v>5205</v>
      </c>
      <c r="V1053" t="s">
        <v>91</v>
      </c>
    </row>
    <row r="1054" spans="1:22" x14ac:dyDescent="0.35">
      <c r="A1054" t="s">
        <v>5206</v>
      </c>
      <c r="B1054" t="s">
        <v>4598</v>
      </c>
      <c r="C1054" t="s">
        <v>377</v>
      </c>
      <c r="D1054" t="s">
        <v>44</v>
      </c>
      <c r="E1054" t="s">
        <v>206</v>
      </c>
      <c r="F1054" t="s">
        <v>103</v>
      </c>
      <c r="G1054" t="s">
        <v>94</v>
      </c>
      <c r="H1054" t="s">
        <v>94</v>
      </c>
      <c r="I1054" t="s">
        <v>46</v>
      </c>
      <c r="K1054" t="s">
        <v>4936</v>
      </c>
      <c r="L1054" t="s">
        <v>49</v>
      </c>
      <c r="M1054" t="s">
        <v>49</v>
      </c>
      <c r="N1054" t="s">
        <v>49</v>
      </c>
      <c r="O1054" t="s">
        <v>5207</v>
      </c>
      <c r="P1054" t="s">
        <v>48</v>
      </c>
      <c r="Q1054" t="s">
        <v>5208</v>
      </c>
      <c r="R1054" t="s">
        <v>5209</v>
      </c>
      <c r="S1054" t="s">
        <v>65</v>
      </c>
      <c r="T1054" t="s">
        <v>1030</v>
      </c>
      <c r="U1054" t="s">
        <v>4376</v>
      </c>
      <c r="V1054" t="s">
        <v>129</v>
      </c>
    </row>
    <row r="1055" spans="1:22" x14ac:dyDescent="0.35">
      <c r="A1055" t="s">
        <v>5210</v>
      </c>
      <c r="B1055" t="s">
        <v>598</v>
      </c>
      <c r="C1055" t="s">
        <v>344</v>
      </c>
      <c r="D1055" t="s">
        <v>158</v>
      </c>
      <c r="E1055" t="s">
        <v>44</v>
      </c>
      <c r="F1055" t="s">
        <v>158</v>
      </c>
      <c r="G1055" t="s">
        <v>368</v>
      </c>
      <c r="H1055" t="s">
        <v>94</v>
      </c>
      <c r="I1055" t="s">
        <v>46</v>
      </c>
      <c r="K1055" t="s">
        <v>375</v>
      </c>
      <c r="L1055" t="s">
        <v>48</v>
      </c>
      <c r="M1055" t="s">
        <v>49</v>
      </c>
      <c r="N1055" t="s">
        <v>48</v>
      </c>
      <c r="O1055" t="s">
        <v>5211</v>
      </c>
      <c r="P1055" t="s">
        <v>48</v>
      </c>
      <c r="Q1055" t="s">
        <v>106</v>
      </c>
      <c r="R1055" t="s">
        <v>5212</v>
      </c>
      <c r="S1055" t="s">
        <v>53</v>
      </c>
      <c r="T1055" t="s">
        <v>81</v>
      </c>
      <c r="U1055" t="s">
        <v>258</v>
      </c>
      <c r="V1055" t="s">
        <v>129</v>
      </c>
    </row>
    <row r="1056" spans="1:22" x14ac:dyDescent="0.35">
      <c r="A1056" t="s">
        <v>5214</v>
      </c>
      <c r="B1056" t="s">
        <v>5215</v>
      </c>
      <c r="C1056" t="s">
        <v>28</v>
      </c>
      <c r="D1056" t="s">
        <v>33</v>
      </c>
      <c r="E1056" t="s">
        <v>284</v>
      </c>
      <c r="F1056" t="s">
        <v>196</v>
      </c>
      <c r="G1056" t="s">
        <v>94</v>
      </c>
      <c r="H1056" t="s">
        <v>61</v>
      </c>
      <c r="I1056" t="s">
        <v>46</v>
      </c>
      <c r="K1056" t="s">
        <v>3555</v>
      </c>
      <c r="L1056" t="s">
        <v>48</v>
      </c>
      <c r="M1056" t="s">
        <v>48</v>
      </c>
      <c r="N1056" t="s">
        <v>48</v>
      </c>
      <c r="P1056" t="s">
        <v>49</v>
      </c>
      <c r="S1056" t="s">
        <v>135</v>
      </c>
      <c r="T1056" t="s">
        <v>348</v>
      </c>
      <c r="U1056" t="s">
        <v>5217</v>
      </c>
      <c r="V1056" t="s">
        <v>91</v>
      </c>
    </row>
    <row r="1057" spans="1:22" x14ac:dyDescent="0.35">
      <c r="A1057" t="s">
        <v>5218</v>
      </c>
      <c r="B1057" t="s">
        <v>232</v>
      </c>
      <c r="C1057" t="s">
        <v>44</v>
      </c>
      <c r="D1057" t="s">
        <v>28</v>
      </c>
      <c r="E1057" t="s">
        <v>29</v>
      </c>
      <c r="F1057" t="s">
        <v>158</v>
      </c>
      <c r="G1057" t="s">
        <v>30</v>
      </c>
      <c r="H1057" t="s">
        <v>35</v>
      </c>
      <c r="I1057" t="s">
        <v>36</v>
      </c>
      <c r="K1057" t="s">
        <v>5219</v>
      </c>
      <c r="L1057" t="s">
        <v>49</v>
      </c>
      <c r="M1057" t="s">
        <v>38</v>
      </c>
      <c r="N1057" t="s">
        <v>49</v>
      </c>
      <c r="P1057" t="s">
        <v>38</v>
      </c>
      <c r="S1057" t="s">
        <v>135</v>
      </c>
      <c r="T1057" t="s">
        <v>250</v>
      </c>
      <c r="U1057" t="s">
        <v>56</v>
      </c>
      <c r="V1057" t="s">
        <v>129</v>
      </c>
    </row>
    <row r="1058" spans="1:22" x14ac:dyDescent="0.35">
      <c r="A1058" t="s">
        <v>5220</v>
      </c>
      <c r="B1058" t="s">
        <v>5215</v>
      </c>
      <c r="C1058" t="s">
        <v>449</v>
      </c>
      <c r="D1058" t="s">
        <v>44</v>
      </c>
      <c r="E1058" t="s">
        <v>44</v>
      </c>
      <c r="F1058" t="s">
        <v>28</v>
      </c>
      <c r="G1058" t="s">
        <v>368</v>
      </c>
      <c r="H1058" t="s">
        <v>35</v>
      </c>
      <c r="I1058" t="s">
        <v>46</v>
      </c>
      <c r="K1058" t="s">
        <v>5221</v>
      </c>
      <c r="L1058" t="s">
        <v>49</v>
      </c>
      <c r="M1058" t="s">
        <v>49</v>
      </c>
      <c r="N1058" t="s">
        <v>49</v>
      </c>
      <c r="P1058" t="s">
        <v>48</v>
      </c>
      <c r="S1058" t="s">
        <v>135</v>
      </c>
      <c r="T1058" t="s">
        <v>250</v>
      </c>
      <c r="U1058" t="s">
        <v>5222</v>
      </c>
      <c r="V1058" t="s">
        <v>91</v>
      </c>
    </row>
    <row r="1059" spans="1:22" x14ac:dyDescent="0.35">
      <c r="A1059" t="s">
        <v>5223</v>
      </c>
      <c r="B1059" t="s">
        <v>5224</v>
      </c>
      <c r="C1059" t="s">
        <v>29</v>
      </c>
      <c r="D1059" t="s">
        <v>29</v>
      </c>
      <c r="E1059" t="s">
        <v>29</v>
      </c>
      <c r="F1059" t="s">
        <v>30</v>
      </c>
      <c r="G1059" t="s">
        <v>30</v>
      </c>
      <c r="H1059" t="s">
        <v>61</v>
      </c>
      <c r="I1059" t="s">
        <v>46</v>
      </c>
      <c r="K1059" t="s">
        <v>5225</v>
      </c>
      <c r="L1059" t="s">
        <v>48</v>
      </c>
      <c r="M1059" t="s">
        <v>48</v>
      </c>
      <c r="N1059" t="s">
        <v>38</v>
      </c>
      <c r="O1059" t="s">
        <v>5226</v>
      </c>
      <c r="P1059" t="s">
        <v>49</v>
      </c>
      <c r="Q1059" t="s">
        <v>5227</v>
      </c>
      <c r="R1059" t="s">
        <v>5228</v>
      </c>
      <c r="S1059" t="s">
        <v>53</v>
      </c>
      <c r="T1059" t="s">
        <v>250</v>
      </c>
      <c r="U1059" t="s">
        <v>5230</v>
      </c>
      <c r="V1059" t="s">
        <v>91</v>
      </c>
    </row>
    <row r="1060" spans="1:22" x14ac:dyDescent="0.35">
      <c r="A1060" t="s">
        <v>5231</v>
      </c>
      <c r="B1060" t="s">
        <v>205</v>
      </c>
      <c r="C1060" t="s">
        <v>449</v>
      </c>
      <c r="D1060" t="s">
        <v>196</v>
      </c>
      <c r="E1060" t="s">
        <v>284</v>
      </c>
      <c r="F1060" t="s">
        <v>103</v>
      </c>
      <c r="G1060" t="s">
        <v>173</v>
      </c>
      <c r="H1060" t="s">
        <v>61</v>
      </c>
      <c r="I1060" t="s">
        <v>46</v>
      </c>
      <c r="K1060" t="s">
        <v>442</v>
      </c>
      <c r="L1060" t="s">
        <v>49</v>
      </c>
      <c r="M1060" t="s">
        <v>40</v>
      </c>
      <c r="N1060" t="s">
        <v>40</v>
      </c>
      <c r="P1060" t="s">
        <v>38</v>
      </c>
      <c r="S1060" t="s">
        <v>87</v>
      </c>
      <c r="T1060" t="s">
        <v>447</v>
      </c>
      <c r="U1060" t="s">
        <v>193</v>
      </c>
      <c r="V1060" t="s">
        <v>129</v>
      </c>
    </row>
    <row r="1061" spans="1:22" x14ac:dyDescent="0.35">
      <c r="A1061" t="s">
        <v>5233</v>
      </c>
      <c r="B1061" t="s">
        <v>5234</v>
      </c>
      <c r="C1061" t="s">
        <v>28</v>
      </c>
      <c r="D1061" t="s">
        <v>28</v>
      </c>
      <c r="E1061" t="s">
        <v>44</v>
      </c>
      <c r="F1061" t="s">
        <v>103</v>
      </c>
      <c r="G1061" t="s">
        <v>103</v>
      </c>
      <c r="H1061" t="s">
        <v>35</v>
      </c>
      <c r="I1061" t="s">
        <v>36</v>
      </c>
      <c r="K1061" t="s">
        <v>375</v>
      </c>
      <c r="L1061" t="s">
        <v>49</v>
      </c>
      <c r="M1061" t="s">
        <v>49</v>
      </c>
      <c r="N1061" t="s">
        <v>38</v>
      </c>
      <c r="O1061" t="s">
        <v>5235</v>
      </c>
      <c r="P1061" t="s">
        <v>49</v>
      </c>
      <c r="Q1061" t="s">
        <v>5236</v>
      </c>
      <c r="R1061" t="s">
        <v>5237</v>
      </c>
      <c r="S1061" t="s">
        <v>53</v>
      </c>
      <c r="T1061" t="s">
        <v>81</v>
      </c>
      <c r="U1061">
        <v>0</v>
      </c>
      <c r="V1061" t="s">
        <v>129</v>
      </c>
    </row>
    <row r="1062" spans="1:22" x14ac:dyDescent="0.35">
      <c r="A1062" t="s">
        <v>5239</v>
      </c>
      <c r="B1062" t="s">
        <v>5240</v>
      </c>
      <c r="C1062" t="s">
        <v>377</v>
      </c>
      <c r="D1062" t="s">
        <v>158</v>
      </c>
      <c r="E1062" t="s">
        <v>44</v>
      </c>
      <c r="F1062" t="s">
        <v>103</v>
      </c>
      <c r="G1062" t="s">
        <v>103</v>
      </c>
      <c r="H1062" t="s">
        <v>45</v>
      </c>
      <c r="I1062" t="s">
        <v>46</v>
      </c>
      <c r="K1062" t="s">
        <v>5241</v>
      </c>
      <c r="L1062" t="s">
        <v>49</v>
      </c>
      <c r="M1062" t="s">
        <v>49</v>
      </c>
      <c r="N1062" t="s">
        <v>49</v>
      </c>
      <c r="O1062" t="s">
        <v>5242</v>
      </c>
      <c r="P1062" t="s">
        <v>49</v>
      </c>
      <c r="Q1062" t="s">
        <v>5243</v>
      </c>
      <c r="R1062" t="s">
        <v>5244</v>
      </c>
      <c r="S1062" t="s">
        <v>53</v>
      </c>
      <c r="T1062" t="s">
        <v>81</v>
      </c>
      <c r="U1062" t="s">
        <v>5246</v>
      </c>
      <c r="V1062" t="s">
        <v>91</v>
      </c>
    </row>
    <row r="1063" spans="1:22" x14ac:dyDescent="0.35">
      <c r="A1063" t="s">
        <v>5247</v>
      </c>
      <c r="B1063" t="s">
        <v>84</v>
      </c>
      <c r="C1063" t="s">
        <v>33</v>
      </c>
      <c r="D1063" t="s">
        <v>33</v>
      </c>
      <c r="E1063" t="s">
        <v>33</v>
      </c>
      <c r="F1063" t="s">
        <v>30</v>
      </c>
      <c r="G1063" t="s">
        <v>30</v>
      </c>
      <c r="H1063" t="s">
        <v>74</v>
      </c>
      <c r="I1063" t="s">
        <v>46</v>
      </c>
      <c r="K1063" t="s">
        <v>95</v>
      </c>
      <c r="L1063" t="s">
        <v>48</v>
      </c>
      <c r="M1063" t="s">
        <v>48</v>
      </c>
      <c r="N1063" t="s">
        <v>49</v>
      </c>
      <c r="P1063" t="s">
        <v>49</v>
      </c>
      <c r="S1063" t="s">
        <v>65</v>
      </c>
      <c r="T1063" t="s">
        <v>100</v>
      </c>
      <c r="U1063" t="s">
        <v>5249</v>
      </c>
      <c r="V1063" t="s">
        <v>129</v>
      </c>
    </row>
    <row r="1064" spans="1:22" x14ac:dyDescent="0.35">
      <c r="A1064" t="s">
        <v>5250</v>
      </c>
      <c r="B1064" t="s">
        <v>172</v>
      </c>
      <c r="C1064" t="s">
        <v>33</v>
      </c>
      <c r="D1064" t="s">
        <v>60</v>
      </c>
      <c r="E1064" t="s">
        <v>44</v>
      </c>
      <c r="F1064" t="s">
        <v>30</v>
      </c>
      <c r="G1064" t="s">
        <v>34</v>
      </c>
      <c r="H1064" t="s">
        <v>292</v>
      </c>
      <c r="I1064" t="s">
        <v>36</v>
      </c>
      <c r="K1064" t="s">
        <v>442</v>
      </c>
      <c r="L1064" t="s">
        <v>49</v>
      </c>
      <c r="M1064" t="s">
        <v>49</v>
      </c>
      <c r="N1064" t="s">
        <v>49</v>
      </c>
      <c r="O1064" t="s">
        <v>5251</v>
      </c>
      <c r="P1064" t="s">
        <v>49</v>
      </c>
      <c r="Q1064" t="s">
        <v>5252</v>
      </c>
      <c r="R1064" t="s">
        <v>5253</v>
      </c>
      <c r="S1064" t="s">
        <v>65</v>
      </c>
      <c r="T1064" t="s">
        <v>603</v>
      </c>
      <c r="U1064" t="s">
        <v>5255</v>
      </c>
      <c r="V1064" t="s">
        <v>129</v>
      </c>
    </row>
    <row r="1065" spans="1:22" x14ac:dyDescent="0.35">
      <c r="A1065" t="s">
        <v>5256</v>
      </c>
      <c r="B1065" t="s">
        <v>172</v>
      </c>
      <c r="C1065" t="s">
        <v>44</v>
      </c>
      <c r="D1065" t="s">
        <v>29</v>
      </c>
      <c r="E1065" t="s">
        <v>33</v>
      </c>
      <c r="F1065" t="s">
        <v>30</v>
      </c>
      <c r="G1065" t="s">
        <v>173</v>
      </c>
      <c r="H1065" t="s">
        <v>35</v>
      </c>
      <c r="I1065" t="s">
        <v>36</v>
      </c>
      <c r="K1065" t="s">
        <v>642</v>
      </c>
      <c r="L1065" t="s">
        <v>49</v>
      </c>
      <c r="M1065" t="s">
        <v>48</v>
      </c>
      <c r="N1065" t="s">
        <v>48</v>
      </c>
      <c r="P1065" t="s">
        <v>38</v>
      </c>
      <c r="S1065" t="s">
        <v>79</v>
      </c>
      <c r="T1065" t="s">
        <v>603</v>
      </c>
      <c r="U1065" t="s">
        <v>5258</v>
      </c>
      <c r="V1065" t="s">
        <v>91</v>
      </c>
    </row>
    <row r="1066" spans="1:22" x14ac:dyDescent="0.35">
      <c r="A1066" t="s">
        <v>5259</v>
      </c>
      <c r="B1066" t="s">
        <v>172</v>
      </c>
      <c r="C1066" t="s">
        <v>28</v>
      </c>
      <c r="D1066" t="s">
        <v>44</v>
      </c>
      <c r="E1066" t="s">
        <v>60</v>
      </c>
      <c r="F1066" t="s">
        <v>30</v>
      </c>
      <c r="G1066" t="s">
        <v>94</v>
      </c>
      <c r="H1066" t="s">
        <v>368</v>
      </c>
      <c r="I1066" t="s">
        <v>46</v>
      </c>
      <c r="K1066" t="s">
        <v>2077</v>
      </c>
      <c r="L1066" t="s">
        <v>48</v>
      </c>
      <c r="M1066" t="s">
        <v>48</v>
      </c>
      <c r="N1066" t="s">
        <v>48</v>
      </c>
      <c r="P1066" t="s">
        <v>40</v>
      </c>
      <c r="S1066" t="s">
        <v>87</v>
      </c>
      <c r="T1066" t="s">
        <v>2077</v>
      </c>
      <c r="U1066" t="s">
        <v>5261</v>
      </c>
      <c r="V1066" t="s">
        <v>91</v>
      </c>
    </row>
    <row r="1067" spans="1:22" x14ac:dyDescent="0.35">
      <c r="A1067" t="s">
        <v>5262</v>
      </c>
      <c r="B1067" t="s">
        <v>5263</v>
      </c>
      <c r="C1067" t="s">
        <v>71</v>
      </c>
      <c r="D1067" t="s">
        <v>197</v>
      </c>
      <c r="E1067" t="s">
        <v>157</v>
      </c>
      <c r="F1067" t="s">
        <v>103</v>
      </c>
      <c r="G1067" t="s">
        <v>28</v>
      </c>
      <c r="H1067" t="s">
        <v>35</v>
      </c>
      <c r="I1067" t="s">
        <v>36</v>
      </c>
      <c r="K1067" t="s">
        <v>3403</v>
      </c>
      <c r="L1067" t="s">
        <v>48</v>
      </c>
      <c r="M1067" t="s">
        <v>49</v>
      </c>
      <c r="N1067" t="s">
        <v>48</v>
      </c>
      <c r="P1067" t="s">
        <v>48</v>
      </c>
      <c r="S1067" t="s">
        <v>53</v>
      </c>
      <c r="T1067" t="s">
        <v>81</v>
      </c>
      <c r="U1067" t="s">
        <v>450</v>
      </c>
      <c r="V1067" t="s">
        <v>129</v>
      </c>
    </row>
    <row r="1068" spans="1:22" x14ac:dyDescent="0.35">
      <c r="A1068" t="s">
        <v>5265</v>
      </c>
      <c r="B1068" t="s">
        <v>5266</v>
      </c>
      <c r="C1068" t="s">
        <v>449</v>
      </c>
      <c r="D1068" t="s">
        <v>28</v>
      </c>
      <c r="E1068" t="s">
        <v>28</v>
      </c>
      <c r="F1068" t="s">
        <v>103</v>
      </c>
      <c r="G1068" t="s">
        <v>28</v>
      </c>
      <c r="H1068" t="s">
        <v>28</v>
      </c>
      <c r="I1068" t="s">
        <v>46</v>
      </c>
      <c r="K1068" t="s">
        <v>3597</v>
      </c>
      <c r="L1068" t="s">
        <v>48</v>
      </c>
      <c r="M1068" t="s">
        <v>49</v>
      </c>
      <c r="N1068" t="s">
        <v>48</v>
      </c>
      <c r="P1068" t="s">
        <v>38</v>
      </c>
      <c r="S1068" t="s">
        <v>79</v>
      </c>
      <c r="T1068" t="s">
        <v>100</v>
      </c>
      <c r="U1068" t="s">
        <v>3614</v>
      </c>
      <c r="V1068" t="s">
        <v>57</v>
      </c>
    </row>
    <row r="1069" spans="1:22" x14ac:dyDescent="0.35">
      <c r="A1069" t="s">
        <v>5268</v>
      </c>
      <c r="B1069" t="s">
        <v>5266</v>
      </c>
      <c r="C1069" t="s">
        <v>344</v>
      </c>
      <c r="D1069" t="s">
        <v>44</v>
      </c>
      <c r="E1069" t="s">
        <v>29</v>
      </c>
      <c r="F1069" t="s">
        <v>196</v>
      </c>
      <c r="G1069" t="s">
        <v>73</v>
      </c>
      <c r="H1069" t="s">
        <v>368</v>
      </c>
      <c r="I1069" t="s">
        <v>36</v>
      </c>
      <c r="K1069" t="s">
        <v>5241</v>
      </c>
      <c r="L1069" t="s">
        <v>48</v>
      </c>
      <c r="M1069" t="s">
        <v>48</v>
      </c>
      <c r="N1069" t="s">
        <v>38</v>
      </c>
      <c r="P1069" t="s">
        <v>48</v>
      </c>
      <c r="S1069" t="s">
        <v>65</v>
      </c>
      <c r="T1069" t="s">
        <v>81</v>
      </c>
      <c r="U1069" t="s">
        <v>5270</v>
      </c>
      <c r="V1069" t="s">
        <v>129</v>
      </c>
    </row>
    <row r="1070" spans="1:22" x14ac:dyDescent="0.35">
      <c r="A1070" t="s">
        <v>5271</v>
      </c>
      <c r="B1070" t="s">
        <v>5272</v>
      </c>
      <c r="C1070" t="s">
        <v>29</v>
      </c>
      <c r="D1070" t="s">
        <v>29</v>
      </c>
      <c r="E1070" t="s">
        <v>60</v>
      </c>
      <c r="F1070" t="s">
        <v>158</v>
      </c>
      <c r="G1070" t="s">
        <v>368</v>
      </c>
      <c r="H1070" t="s">
        <v>368</v>
      </c>
      <c r="I1070" t="s">
        <v>46</v>
      </c>
      <c r="K1070" t="s">
        <v>5273</v>
      </c>
      <c r="L1070" t="s">
        <v>48</v>
      </c>
      <c r="M1070" t="s">
        <v>38</v>
      </c>
      <c r="N1070" t="s">
        <v>48</v>
      </c>
      <c r="O1070" t="s">
        <v>5274</v>
      </c>
      <c r="P1070" t="s">
        <v>48</v>
      </c>
      <c r="Q1070" t="s">
        <v>5275</v>
      </c>
      <c r="R1070" t="s">
        <v>5276</v>
      </c>
      <c r="S1070" t="s">
        <v>65</v>
      </c>
      <c r="T1070" t="s">
        <v>2077</v>
      </c>
      <c r="U1070" t="s">
        <v>5278</v>
      </c>
      <c r="V1070" t="s">
        <v>129</v>
      </c>
    </row>
    <row r="1071" spans="1:22" x14ac:dyDescent="0.35">
      <c r="A1071" t="s">
        <v>5279</v>
      </c>
      <c r="B1071" t="s">
        <v>84</v>
      </c>
      <c r="C1071" t="s">
        <v>60</v>
      </c>
      <c r="D1071" t="s">
        <v>197</v>
      </c>
      <c r="E1071" t="s">
        <v>284</v>
      </c>
      <c r="F1071" t="s">
        <v>158</v>
      </c>
      <c r="G1071" t="s">
        <v>103</v>
      </c>
      <c r="H1071" t="s">
        <v>292</v>
      </c>
      <c r="I1071" t="s">
        <v>46</v>
      </c>
      <c r="K1071" t="s">
        <v>442</v>
      </c>
      <c r="L1071" t="s">
        <v>49</v>
      </c>
      <c r="M1071" t="s">
        <v>48</v>
      </c>
      <c r="N1071" t="s">
        <v>49</v>
      </c>
      <c r="O1071" t="s">
        <v>5280</v>
      </c>
      <c r="P1071" t="s">
        <v>48</v>
      </c>
      <c r="Q1071" t="s">
        <v>5281</v>
      </c>
      <c r="R1071" t="s">
        <v>5282</v>
      </c>
      <c r="S1071" t="s">
        <v>65</v>
      </c>
      <c r="T1071" t="s">
        <v>603</v>
      </c>
      <c r="U1071" t="s">
        <v>5284</v>
      </c>
      <c r="V1071" t="s">
        <v>129</v>
      </c>
    </row>
    <row r="1072" spans="1:22" x14ac:dyDescent="0.35">
      <c r="A1072" t="s">
        <v>5285</v>
      </c>
      <c r="B1072" t="s">
        <v>5286</v>
      </c>
      <c r="C1072" t="s">
        <v>29</v>
      </c>
      <c r="D1072" t="s">
        <v>28</v>
      </c>
      <c r="E1072" t="s">
        <v>28</v>
      </c>
      <c r="F1072" t="s">
        <v>28</v>
      </c>
      <c r="G1072" t="s">
        <v>28</v>
      </c>
      <c r="H1072" t="s">
        <v>28</v>
      </c>
      <c r="I1072" t="s">
        <v>46</v>
      </c>
      <c r="K1072" t="s">
        <v>442</v>
      </c>
      <c r="L1072" t="s">
        <v>48</v>
      </c>
      <c r="M1072" t="s">
        <v>48</v>
      </c>
      <c r="N1072" t="s">
        <v>49</v>
      </c>
      <c r="O1072" t="s">
        <v>5287</v>
      </c>
      <c r="P1072" t="s">
        <v>48</v>
      </c>
      <c r="Q1072" t="s">
        <v>5288</v>
      </c>
      <c r="R1072" t="s">
        <v>5289</v>
      </c>
      <c r="S1072" t="s">
        <v>65</v>
      </c>
      <c r="T1072" t="s">
        <v>603</v>
      </c>
      <c r="U1072" t="s">
        <v>5291</v>
      </c>
      <c r="V1072" t="s">
        <v>129</v>
      </c>
    </row>
    <row r="1073" spans="1:22" x14ac:dyDescent="0.35">
      <c r="A1073" t="s">
        <v>1723</v>
      </c>
      <c r="B1073" t="s">
        <v>172</v>
      </c>
      <c r="C1073" t="s">
        <v>377</v>
      </c>
      <c r="D1073" t="s">
        <v>28</v>
      </c>
      <c r="E1073" t="s">
        <v>28</v>
      </c>
      <c r="F1073" t="s">
        <v>28</v>
      </c>
      <c r="G1073" t="s">
        <v>28</v>
      </c>
      <c r="H1073" t="s">
        <v>28</v>
      </c>
      <c r="I1073" t="s">
        <v>46</v>
      </c>
      <c r="K1073" t="s">
        <v>5292</v>
      </c>
      <c r="L1073" t="s">
        <v>48</v>
      </c>
      <c r="M1073" t="s">
        <v>49</v>
      </c>
      <c r="N1073" t="s">
        <v>48</v>
      </c>
      <c r="P1073" t="s">
        <v>48</v>
      </c>
      <c r="S1073" t="s">
        <v>65</v>
      </c>
      <c r="T1073" t="s">
        <v>81</v>
      </c>
      <c r="U1073" t="s">
        <v>413</v>
      </c>
      <c r="V1073" t="s">
        <v>129</v>
      </c>
    </row>
    <row r="1074" spans="1:22" x14ac:dyDescent="0.35">
      <c r="A1074" t="s">
        <v>5294</v>
      </c>
      <c r="B1074" t="s">
        <v>84</v>
      </c>
      <c r="C1074" t="s">
        <v>28</v>
      </c>
      <c r="D1074" t="s">
        <v>28</v>
      </c>
      <c r="E1074" t="s">
        <v>28</v>
      </c>
      <c r="F1074" t="s">
        <v>28</v>
      </c>
      <c r="G1074" t="s">
        <v>45</v>
      </c>
      <c r="H1074" t="s">
        <v>35</v>
      </c>
      <c r="I1074" t="s">
        <v>36</v>
      </c>
      <c r="K1074" t="s">
        <v>95</v>
      </c>
      <c r="L1074" t="s">
        <v>48</v>
      </c>
      <c r="M1074" t="s">
        <v>48</v>
      </c>
      <c r="N1074" t="s">
        <v>48</v>
      </c>
      <c r="P1074" t="s">
        <v>48</v>
      </c>
      <c r="S1074" t="s">
        <v>53</v>
      </c>
      <c r="T1074" t="s">
        <v>100</v>
      </c>
      <c r="U1074" t="s">
        <v>5296</v>
      </c>
      <c r="V1074" t="s">
        <v>129</v>
      </c>
    </row>
    <row r="1075" spans="1:22" x14ac:dyDescent="0.35">
      <c r="A1075" t="s">
        <v>5297</v>
      </c>
      <c r="B1075" t="s">
        <v>205</v>
      </c>
      <c r="C1075" t="s">
        <v>33</v>
      </c>
      <c r="D1075" t="s">
        <v>29</v>
      </c>
      <c r="E1075" t="s">
        <v>29</v>
      </c>
      <c r="F1075" t="s">
        <v>30</v>
      </c>
      <c r="G1075" t="s">
        <v>173</v>
      </c>
      <c r="H1075" t="s">
        <v>292</v>
      </c>
      <c r="I1075" t="s">
        <v>36</v>
      </c>
      <c r="K1075" t="s">
        <v>442</v>
      </c>
      <c r="L1075" t="s">
        <v>49</v>
      </c>
      <c r="M1075" t="s">
        <v>48</v>
      </c>
      <c r="N1075" t="s">
        <v>49</v>
      </c>
      <c r="P1075" t="s">
        <v>48</v>
      </c>
      <c r="S1075" t="s">
        <v>79</v>
      </c>
      <c r="T1075" t="s">
        <v>603</v>
      </c>
      <c r="U1075" t="s">
        <v>5299</v>
      </c>
      <c r="V1075" t="s">
        <v>129</v>
      </c>
    </row>
    <row r="1076" spans="1:22" x14ac:dyDescent="0.35">
      <c r="A1076" t="s">
        <v>5300</v>
      </c>
      <c r="B1076" t="s">
        <v>5263</v>
      </c>
      <c r="C1076" t="s">
        <v>33</v>
      </c>
      <c r="D1076" t="s">
        <v>60</v>
      </c>
      <c r="E1076" t="s">
        <v>60</v>
      </c>
      <c r="F1076" t="s">
        <v>30</v>
      </c>
      <c r="G1076" t="s">
        <v>173</v>
      </c>
      <c r="H1076" t="s">
        <v>45</v>
      </c>
      <c r="I1076" t="s">
        <v>46</v>
      </c>
      <c r="K1076" t="s">
        <v>3597</v>
      </c>
      <c r="L1076" t="s">
        <v>38</v>
      </c>
      <c r="M1076" t="s">
        <v>49</v>
      </c>
      <c r="N1076" t="s">
        <v>48</v>
      </c>
      <c r="O1076" t="s">
        <v>5301</v>
      </c>
      <c r="P1076" t="s">
        <v>49</v>
      </c>
      <c r="Q1076" t="s">
        <v>5302</v>
      </c>
      <c r="R1076" t="s">
        <v>5303</v>
      </c>
      <c r="S1076" t="s">
        <v>79</v>
      </c>
      <c r="T1076" t="s">
        <v>100</v>
      </c>
      <c r="U1076" t="s">
        <v>5305</v>
      </c>
      <c r="V1076" t="s">
        <v>129</v>
      </c>
    </row>
    <row r="1077" spans="1:22" x14ac:dyDescent="0.35">
      <c r="A1077" t="s">
        <v>5306</v>
      </c>
      <c r="B1077" t="s">
        <v>5272</v>
      </c>
      <c r="C1077" t="s">
        <v>33</v>
      </c>
      <c r="D1077" t="s">
        <v>33</v>
      </c>
      <c r="E1077" t="s">
        <v>33</v>
      </c>
      <c r="F1077" t="s">
        <v>30</v>
      </c>
      <c r="G1077" t="s">
        <v>45</v>
      </c>
      <c r="H1077" t="s">
        <v>292</v>
      </c>
      <c r="I1077" t="s">
        <v>36</v>
      </c>
      <c r="K1077" t="s">
        <v>3403</v>
      </c>
      <c r="L1077" t="s">
        <v>38</v>
      </c>
      <c r="M1077" t="s">
        <v>48</v>
      </c>
      <c r="N1077" t="s">
        <v>48</v>
      </c>
      <c r="O1077" t="s">
        <v>5307</v>
      </c>
      <c r="P1077" t="s">
        <v>49</v>
      </c>
      <c r="Q1077" t="s">
        <v>5308</v>
      </c>
      <c r="R1077" t="s">
        <v>5309</v>
      </c>
      <c r="S1077" t="s">
        <v>53</v>
      </c>
      <c r="T1077" t="s">
        <v>81</v>
      </c>
      <c r="U1077" t="s">
        <v>5311</v>
      </c>
      <c r="V1077" t="s">
        <v>129</v>
      </c>
    </row>
    <row r="1078" spans="1:22" x14ac:dyDescent="0.35">
      <c r="A1078" t="s">
        <v>5312</v>
      </c>
      <c r="B1078" t="s">
        <v>205</v>
      </c>
      <c r="C1078" t="s">
        <v>33</v>
      </c>
      <c r="D1078" t="s">
        <v>29</v>
      </c>
      <c r="E1078" t="s">
        <v>33</v>
      </c>
      <c r="F1078" t="s">
        <v>34</v>
      </c>
      <c r="G1078" t="s">
        <v>34</v>
      </c>
      <c r="H1078" t="s">
        <v>74</v>
      </c>
      <c r="I1078" t="s">
        <v>46</v>
      </c>
      <c r="K1078" t="s">
        <v>3617</v>
      </c>
      <c r="L1078" t="s">
        <v>49</v>
      </c>
      <c r="M1078" t="s">
        <v>48</v>
      </c>
      <c r="N1078" t="s">
        <v>48</v>
      </c>
      <c r="O1078" t="s">
        <v>5313</v>
      </c>
      <c r="P1078" t="s">
        <v>49</v>
      </c>
      <c r="Q1078" t="s">
        <v>5314</v>
      </c>
      <c r="R1078" t="s">
        <v>5315</v>
      </c>
      <c r="S1078" t="s">
        <v>79</v>
      </c>
      <c r="T1078" t="s">
        <v>100</v>
      </c>
      <c r="U1078" t="s">
        <v>5317</v>
      </c>
      <c r="V1078" t="s">
        <v>91</v>
      </c>
    </row>
    <row r="1079" spans="1:22" x14ac:dyDescent="0.35">
      <c r="A1079" t="s">
        <v>5318</v>
      </c>
      <c r="B1079" t="s">
        <v>5319</v>
      </c>
      <c r="C1079" t="s">
        <v>33</v>
      </c>
      <c r="D1079" t="s">
        <v>29</v>
      </c>
      <c r="E1079" t="s">
        <v>33</v>
      </c>
      <c r="F1079" t="s">
        <v>30</v>
      </c>
      <c r="G1079" t="s">
        <v>173</v>
      </c>
      <c r="H1079" t="s">
        <v>45</v>
      </c>
      <c r="I1079" t="s">
        <v>36</v>
      </c>
      <c r="K1079" t="s">
        <v>5320</v>
      </c>
      <c r="L1079" t="s">
        <v>49</v>
      </c>
      <c r="M1079" t="s">
        <v>49</v>
      </c>
      <c r="N1079" t="s">
        <v>38</v>
      </c>
      <c r="O1079" t="s">
        <v>5321</v>
      </c>
      <c r="P1079" t="s">
        <v>48</v>
      </c>
      <c r="Q1079" t="s">
        <v>5322</v>
      </c>
      <c r="R1079" t="s">
        <v>5323</v>
      </c>
      <c r="S1079" t="s">
        <v>65</v>
      </c>
      <c r="T1079" t="s">
        <v>81</v>
      </c>
      <c r="U1079" t="s">
        <v>5325</v>
      </c>
      <c r="V1079" t="s">
        <v>91</v>
      </c>
    </row>
    <row r="1080" spans="1:22" x14ac:dyDescent="0.35">
      <c r="A1080" t="s">
        <v>5326</v>
      </c>
      <c r="B1080" t="s">
        <v>5327</v>
      </c>
      <c r="C1080" t="s">
        <v>33</v>
      </c>
      <c r="D1080" t="s">
        <v>29</v>
      </c>
      <c r="E1080" t="s">
        <v>60</v>
      </c>
      <c r="F1080" t="s">
        <v>103</v>
      </c>
      <c r="G1080" t="s">
        <v>368</v>
      </c>
      <c r="H1080" t="s">
        <v>368</v>
      </c>
      <c r="I1080" t="s">
        <v>46</v>
      </c>
      <c r="K1080" t="s">
        <v>2077</v>
      </c>
      <c r="L1080" t="s">
        <v>49</v>
      </c>
      <c r="M1080" t="s">
        <v>38</v>
      </c>
      <c r="N1080" t="s">
        <v>48</v>
      </c>
      <c r="O1080" t="s">
        <v>5328</v>
      </c>
      <c r="P1080" t="s">
        <v>48</v>
      </c>
      <c r="Q1080" t="s">
        <v>5329</v>
      </c>
      <c r="R1080" t="s">
        <v>5330</v>
      </c>
      <c r="S1080" t="s">
        <v>79</v>
      </c>
      <c r="T1080" t="s">
        <v>2077</v>
      </c>
      <c r="U1080" t="s">
        <v>5332</v>
      </c>
      <c r="V1080" t="s">
        <v>129</v>
      </c>
    </row>
    <row r="1081" spans="1:22" x14ac:dyDescent="0.35">
      <c r="A1081" t="s">
        <v>5333</v>
      </c>
      <c r="B1081" t="s">
        <v>5266</v>
      </c>
      <c r="C1081" t="s">
        <v>33</v>
      </c>
      <c r="D1081" t="s">
        <v>33</v>
      </c>
      <c r="E1081" t="s">
        <v>29</v>
      </c>
      <c r="F1081" t="s">
        <v>173</v>
      </c>
      <c r="G1081" t="s">
        <v>30</v>
      </c>
      <c r="H1081" t="s">
        <v>28</v>
      </c>
      <c r="I1081" t="s">
        <v>36</v>
      </c>
      <c r="K1081" t="s">
        <v>442</v>
      </c>
      <c r="L1081" t="s">
        <v>49</v>
      </c>
      <c r="M1081" t="s">
        <v>48</v>
      </c>
      <c r="N1081" t="s">
        <v>48</v>
      </c>
      <c r="O1081" t="s">
        <v>5334</v>
      </c>
      <c r="P1081" t="s">
        <v>49</v>
      </c>
      <c r="Q1081" t="s">
        <v>5335</v>
      </c>
      <c r="R1081" t="s">
        <v>5336</v>
      </c>
      <c r="S1081" t="s">
        <v>65</v>
      </c>
      <c r="T1081" t="s">
        <v>603</v>
      </c>
      <c r="U1081" t="s">
        <v>5338</v>
      </c>
      <c r="V1081" t="s">
        <v>129</v>
      </c>
    </row>
    <row r="1082" spans="1:22" x14ac:dyDescent="0.35">
      <c r="A1082" t="s">
        <v>5339</v>
      </c>
      <c r="B1082" t="s">
        <v>172</v>
      </c>
      <c r="C1082" t="s">
        <v>33</v>
      </c>
      <c r="D1082" t="s">
        <v>29</v>
      </c>
      <c r="E1082" t="s">
        <v>33</v>
      </c>
      <c r="F1082" t="s">
        <v>30</v>
      </c>
      <c r="G1082" t="s">
        <v>173</v>
      </c>
      <c r="H1082" t="s">
        <v>35</v>
      </c>
      <c r="I1082" t="s">
        <v>46</v>
      </c>
      <c r="K1082" t="s">
        <v>375</v>
      </c>
      <c r="L1082" t="s">
        <v>48</v>
      </c>
      <c r="M1082" t="s">
        <v>49</v>
      </c>
      <c r="N1082" t="s">
        <v>48</v>
      </c>
      <c r="O1082" t="s">
        <v>5340</v>
      </c>
      <c r="P1082" t="s">
        <v>40</v>
      </c>
      <c r="Q1082" t="s">
        <v>5341</v>
      </c>
      <c r="R1082" t="s">
        <v>5342</v>
      </c>
      <c r="S1082" t="s">
        <v>87</v>
      </c>
      <c r="T1082" t="s">
        <v>81</v>
      </c>
      <c r="U1082" t="s">
        <v>5344</v>
      </c>
      <c r="V1082" t="s">
        <v>129</v>
      </c>
    </row>
    <row r="1083" spans="1:22" x14ac:dyDescent="0.35">
      <c r="A1083" t="s">
        <v>5345</v>
      </c>
      <c r="B1083" t="s">
        <v>205</v>
      </c>
      <c r="C1083" t="s">
        <v>29</v>
      </c>
      <c r="D1083" t="s">
        <v>44</v>
      </c>
      <c r="E1083" t="s">
        <v>44</v>
      </c>
      <c r="F1083" t="s">
        <v>28</v>
      </c>
      <c r="G1083" t="s">
        <v>28</v>
      </c>
      <c r="H1083" t="s">
        <v>45</v>
      </c>
      <c r="I1083" t="s">
        <v>36</v>
      </c>
      <c r="K1083" t="s">
        <v>5346</v>
      </c>
      <c r="L1083" t="s">
        <v>48</v>
      </c>
      <c r="M1083" t="s">
        <v>49</v>
      </c>
      <c r="N1083" t="s">
        <v>38</v>
      </c>
      <c r="O1083" t="s">
        <v>5347</v>
      </c>
      <c r="P1083" t="s">
        <v>48</v>
      </c>
      <c r="Q1083" t="s">
        <v>5348</v>
      </c>
      <c r="R1083" t="s">
        <v>5342</v>
      </c>
      <c r="S1083" t="s">
        <v>87</v>
      </c>
      <c r="T1083" t="s">
        <v>2077</v>
      </c>
      <c r="U1083" t="s">
        <v>5350</v>
      </c>
      <c r="V1083" t="s">
        <v>129</v>
      </c>
    </row>
    <row r="1084" spans="1:22" x14ac:dyDescent="0.35">
      <c r="A1084" t="s">
        <v>5351</v>
      </c>
      <c r="B1084" t="s">
        <v>5272</v>
      </c>
      <c r="C1084" t="s">
        <v>33</v>
      </c>
      <c r="D1084" t="s">
        <v>60</v>
      </c>
      <c r="E1084" t="s">
        <v>33</v>
      </c>
      <c r="F1084" t="s">
        <v>30</v>
      </c>
      <c r="G1084" t="s">
        <v>173</v>
      </c>
      <c r="H1084" t="s">
        <v>292</v>
      </c>
      <c r="I1084" t="s">
        <v>46</v>
      </c>
      <c r="K1084" t="s">
        <v>3630</v>
      </c>
      <c r="L1084" t="s">
        <v>49</v>
      </c>
      <c r="M1084" t="s">
        <v>48</v>
      </c>
      <c r="N1084" t="s">
        <v>49</v>
      </c>
      <c r="O1084" t="s">
        <v>5352</v>
      </c>
      <c r="P1084" t="s">
        <v>48</v>
      </c>
      <c r="Q1084" t="s">
        <v>5353</v>
      </c>
      <c r="R1084" t="s">
        <v>5354</v>
      </c>
      <c r="S1084" t="s">
        <v>53</v>
      </c>
      <c r="T1084" t="s">
        <v>100</v>
      </c>
      <c r="U1084" t="s">
        <v>5356</v>
      </c>
      <c r="V1084" t="s">
        <v>129</v>
      </c>
    </row>
    <row r="1085" spans="1:22" x14ac:dyDescent="0.35">
      <c r="A1085" t="s">
        <v>5357</v>
      </c>
      <c r="B1085" t="s">
        <v>448</v>
      </c>
      <c r="C1085" t="s">
        <v>377</v>
      </c>
      <c r="D1085" t="s">
        <v>44</v>
      </c>
      <c r="E1085" t="s">
        <v>44</v>
      </c>
      <c r="F1085" t="s">
        <v>28</v>
      </c>
      <c r="G1085" t="s">
        <v>28</v>
      </c>
      <c r="H1085" t="s">
        <v>28</v>
      </c>
      <c r="I1085" t="s">
        <v>36</v>
      </c>
      <c r="K1085" t="s">
        <v>442</v>
      </c>
      <c r="L1085" t="s">
        <v>38</v>
      </c>
      <c r="M1085" t="s">
        <v>49</v>
      </c>
      <c r="N1085" t="s">
        <v>49</v>
      </c>
      <c r="O1085" t="s">
        <v>5358</v>
      </c>
      <c r="P1085" t="s">
        <v>49</v>
      </c>
      <c r="Q1085" t="s">
        <v>5359</v>
      </c>
      <c r="R1085" t="s">
        <v>5360</v>
      </c>
      <c r="S1085" t="s">
        <v>53</v>
      </c>
      <c r="T1085" t="s">
        <v>603</v>
      </c>
      <c r="U1085" t="s">
        <v>56</v>
      </c>
      <c r="V1085" t="s">
        <v>129</v>
      </c>
    </row>
    <row r="1086" spans="1:22" x14ac:dyDescent="0.35">
      <c r="A1086" t="s">
        <v>5362</v>
      </c>
      <c r="B1086" t="s">
        <v>5363</v>
      </c>
      <c r="C1086" t="s">
        <v>44</v>
      </c>
      <c r="D1086" t="s">
        <v>44</v>
      </c>
      <c r="E1086" t="s">
        <v>28</v>
      </c>
      <c r="F1086" t="s">
        <v>103</v>
      </c>
      <c r="G1086" t="s">
        <v>28</v>
      </c>
      <c r="H1086" t="s">
        <v>35</v>
      </c>
      <c r="I1086" t="s">
        <v>46</v>
      </c>
      <c r="K1086" t="s">
        <v>5241</v>
      </c>
      <c r="L1086" t="s">
        <v>38</v>
      </c>
      <c r="M1086" t="s">
        <v>49</v>
      </c>
      <c r="N1086" t="s">
        <v>49</v>
      </c>
      <c r="O1086" t="s">
        <v>5364</v>
      </c>
      <c r="P1086" t="s">
        <v>38</v>
      </c>
      <c r="Q1086" t="s">
        <v>5365</v>
      </c>
      <c r="R1086" t="s">
        <v>5366</v>
      </c>
      <c r="S1086" t="s">
        <v>87</v>
      </c>
      <c r="T1086" t="s">
        <v>81</v>
      </c>
      <c r="U1086" t="s">
        <v>56</v>
      </c>
      <c r="V1086" t="s">
        <v>129</v>
      </c>
    </row>
    <row r="1087" spans="1:22" x14ac:dyDescent="0.35">
      <c r="A1087" t="s">
        <v>5368</v>
      </c>
      <c r="B1087" t="s">
        <v>5369</v>
      </c>
      <c r="C1087" t="s">
        <v>28</v>
      </c>
      <c r="D1087" t="s">
        <v>28</v>
      </c>
      <c r="E1087" t="s">
        <v>28</v>
      </c>
      <c r="F1087" t="s">
        <v>28</v>
      </c>
      <c r="G1087" t="s">
        <v>28</v>
      </c>
      <c r="H1087" t="s">
        <v>35</v>
      </c>
      <c r="I1087" t="s">
        <v>46</v>
      </c>
      <c r="K1087" t="s">
        <v>5241</v>
      </c>
      <c r="L1087" t="s">
        <v>38</v>
      </c>
      <c r="M1087" t="s">
        <v>49</v>
      </c>
      <c r="N1087" t="s">
        <v>49</v>
      </c>
      <c r="O1087" t="s">
        <v>5370</v>
      </c>
      <c r="P1087" t="s">
        <v>49</v>
      </c>
      <c r="Q1087" t="s">
        <v>5371</v>
      </c>
      <c r="R1087" t="s">
        <v>5372</v>
      </c>
      <c r="S1087" t="s">
        <v>87</v>
      </c>
      <c r="T1087" t="s">
        <v>81</v>
      </c>
      <c r="U1087" t="s">
        <v>56</v>
      </c>
      <c r="V1087" t="s">
        <v>91</v>
      </c>
    </row>
    <row r="1088" spans="1:22" x14ac:dyDescent="0.35">
      <c r="A1088" t="s">
        <v>5374</v>
      </c>
      <c r="B1088" t="s">
        <v>84</v>
      </c>
      <c r="C1088" t="s">
        <v>33</v>
      </c>
      <c r="D1088" t="s">
        <v>33</v>
      </c>
      <c r="E1088" t="s">
        <v>33</v>
      </c>
      <c r="F1088" t="s">
        <v>34</v>
      </c>
      <c r="G1088" t="s">
        <v>34</v>
      </c>
      <c r="H1088" t="s">
        <v>74</v>
      </c>
      <c r="I1088" t="s">
        <v>36</v>
      </c>
      <c r="K1088" t="s">
        <v>442</v>
      </c>
      <c r="L1088" t="s">
        <v>48</v>
      </c>
      <c r="M1088" t="s">
        <v>48</v>
      </c>
      <c r="N1088" t="s">
        <v>49</v>
      </c>
      <c r="O1088" t="s">
        <v>5375</v>
      </c>
      <c r="P1088" t="s">
        <v>48</v>
      </c>
      <c r="Q1088" t="s">
        <v>5376</v>
      </c>
      <c r="R1088" t="s">
        <v>5377</v>
      </c>
      <c r="S1088" t="s">
        <v>65</v>
      </c>
      <c r="T1088" t="s">
        <v>603</v>
      </c>
      <c r="U1088" t="s">
        <v>5379</v>
      </c>
      <c r="V1088" t="s">
        <v>129</v>
      </c>
    </row>
    <row r="1089" spans="1:22" x14ac:dyDescent="0.35">
      <c r="A1089" t="s">
        <v>5380</v>
      </c>
      <c r="B1089" t="s">
        <v>5381</v>
      </c>
      <c r="C1089" t="s">
        <v>44</v>
      </c>
      <c r="D1089" t="s">
        <v>44</v>
      </c>
      <c r="E1089" t="s">
        <v>44</v>
      </c>
      <c r="F1089" t="s">
        <v>158</v>
      </c>
      <c r="G1089" t="s">
        <v>103</v>
      </c>
      <c r="H1089" t="s">
        <v>35</v>
      </c>
      <c r="I1089" t="s">
        <v>36</v>
      </c>
      <c r="K1089" t="s">
        <v>5241</v>
      </c>
      <c r="L1089" t="s">
        <v>49</v>
      </c>
      <c r="M1089" t="s">
        <v>49</v>
      </c>
      <c r="N1089" t="s">
        <v>49</v>
      </c>
      <c r="O1089" t="s">
        <v>5382</v>
      </c>
      <c r="P1089" t="s">
        <v>38</v>
      </c>
      <c r="Q1089" t="s">
        <v>5383</v>
      </c>
      <c r="R1089" t="s">
        <v>5384</v>
      </c>
      <c r="S1089" t="s">
        <v>53</v>
      </c>
      <c r="T1089" t="s">
        <v>81</v>
      </c>
      <c r="U1089" t="s">
        <v>56</v>
      </c>
      <c r="V1089" t="s">
        <v>129</v>
      </c>
    </row>
    <row r="1090" spans="1:22" x14ac:dyDescent="0.35">
      <c r="A1090" t="s">
        <v>5386</v>
      </c>
      <c r="B1090" t="s">
        <v>205</v>
      </c>
      <c r="C1090" t="s">
        <v>33</v>
      </c>
      <c r="D1090" t="s">
        <v>33</v>
      </c>
      <c r="E1090" t="s">
        <v>60</v>
      </c>
      <c r="F1090" t="s">
        <v>30</v>
      </c>
      <c r="G1090" t="s">
        <v>30</v>
      </c>
      <c r="H1090" t="s">
        <v>292</v>
      </c>
      <c r="I1090" t="s">
        <v>46</v>
      </c>
      <c r="K1090" t="s">
        <v>5387</v>
      </c>
      <c r="L1090" t="s">
        <v>48</v>
      </c>
      <c r="N1090" t="s">
        <v>48</v>
      </c>
      <c r="O1090" t="s">
        <v>5388</v>
      </c>
      <c r="P1090" t="s">
        <v>48</v>
      </c>
      <c r="Q1090" t="s">
        <v>5389</v>
      </c>
      <c r="R1090" t="s">
        <v>5390</v>
      </c>
      <c r="S1090" t="s">
        <v>65</v>
      </c>
      <c r="T1090" t="s">
        <v>81</v>
      </c>
      <c r="U1090" t="s">
        <v>5392</v>
      </c>
      <c r="V1090" t="s">
        <v>129</v>
      </c>
    </row>
    <row r="1091" spans="1:22" x14ac:dyDescent="0.35">
      <c r="A1091" t="s">
        <v>5393</v>
      </c>
      <c r="B1091" t="s">
        <v>448</v>
      </c>
      <c r="C1091" t="s">
        <v>60</v>
      </c>
      <c r="D1091" t="s">
        <v>28</v>
      </c>
      <c r="E1091" t="s">
        <v>28</v>
      </c>
      <c r="F1091" t="s">
        <v>28</v>
      </c>
      <c r="G1091" t="s">
        <v>45</v>
      </c>
      <c r="H1091" t="s">
        <v>28</v>
      </c>
      <c r="I1091" t="s">
        <v>36</v>
      </c>
      <c r="K1091" t="s">
        <v>5241</v>
      </c>
      <c r="L1091" t="s">
        <v>40</v>
      </c>
      <c r="M1091" t="s">
        <v>38</v>
      </c>
      <c r="N1091" t="s">
        <v>38</v>
      </c>
      <c r="O1091" t="s">
        <v>5394</v>
      </c>
      <c r="P1091" t="s">
        <v>38</v>
      </c>
      <c r="Q1091" t="s">
        <v>5395</v>
      </c>
      <c r="R1091" t="s">
        <v>5396</v>
      </c>
      <c r="S1091" t="s">
        <v>87</v>
      </c>
      <c r="T1091" t="s">
        <v>81</v>
      </c>
      <c r="U1091" t="s">
        <v>56</v>
      </c>
      <c r="V1091" t="s">
        <v>91</v>
      </c>
    </row>
    <row r="1092" spans="1:22" x14ac:dyDescent="0.35">
      <c r="A1092" t="s">
        <v>5398</v>
      </c>
      <c r="B1092" t="s">
        <v>5266</v>
      </c>
      <c r="C1092" t="s">
        <v>33</v>
      </c>
      <c r="D1092" t="s">
        <v>33</v>
      </c>
      <c r="E1092" t="s">
        <v>33</v>
      </c>
      <c r="F1092" t="s">
        <v>34</v>
      </c>
      <c r="G1092" t="s">
        <v>34</v>
      </c>
      <c r="H1092" t="s">
        <v>74</v>
      </c>
      <c r="I1092" t="s">
        <v>36</v>
      </c>
      <c r="K1092" t="s">
        <v>5399</v>
      </c>
      <c r="L1092" t="s">
        <v>48</v>
      </c>
      <c r="M1092" t="s">
        <v>48</v>
      </c>
      <c r="N1092" t="s">
        <v>48</v>
      </c>
      <c r="O1092" t="s">
        <v>5347</v>
      </c>
      <c r="P1092" t="s">
        <v>48</v>
      </c>
      <c r="Q1092" t="s">
        <v>5376</v>
      </c>
      <c r="R1092" t="s">
        <v>5400</v>
      </c>
      <c r="S1092" t="s">
        <v>65</v>
      </c>
      <c r="T1092" t="s">
        <v>2077</v>
      </c>
      <c r="U1092" t="s">
        <v>5402</v>
      </c>
      <c r="V1092" t="s">
        <v>129</v>
      </c>
    </row>
    <row r="1093" spans="1:22" x14ac:dyDescent="0.35">
      <c r="A1093" t="s">
        <v>5403</v>
      </c>
      <c r="B1093" t="s">
        <v>448</v>
      </c>
      <c r="C1093" t="s">
        <v>28</v>
      </c>
      <c r="D1093" t="s">
        <v>28</v>
      </c>
      <c r="E1093" t="s">
        <v>28</v>
      </c>
      <c r="F1093" t="s">
        <v>158</v>
      </c>
      <c r="G1093" t="s">
        <v>28</v>
      </c>
      <c r="H1093" t="s">
        <v>28</v>
      </c>
      <c r="I1093" t="s">
        <v>46</v>
      </c>
      <c r="K1093" t="s">
        <v>5404</v>
      </c>
      <c r="L1093" t="s">
        <v>49</v>
      </c>
      <c r="M1093" t="s">
        <v>48</v>
      </c>
      <c r="N1093" t="s">
        <v>49</v>
      </c>
      <c r="O1093" t="s">
        <v>5405</v>
      </c>
      <c r="P1093" t="s">
        <v>49</v>
      </c>
      <c r="Q1093" t="s">
        <v>5406</v>
      </c>
      <c r="R1093" t="s">
        <v>5407</v>
      </c>
      <c r="S1093" t="s">
        <v>87</v>
      </c>
      <c r="T1093" t="s">
        <v>81</v>
      </c>
      <c r="U1093" t="s">
        <v>56</v>
      </c>
      <c r="V1093" t="s">
        <v>129</v>
      </c>
    </row>
    <row r="1094" spans="1:22" x14ac:dyDescent="0.35">
      <c r="A1094" t="s">
        <v>5409</v>
      </c>
      <c r="B1094" t="s">
        <v>1775</v>
      </c>
      <c r="C1094" t="s">
        <v>33</v>
      </c>
      <c r="D1094" t="s">
        <v>33</v>
      </c>
      <c r="E1094" t="s">
        <v>33</v>
      </c>
      <c r="F1094" t="s">
        <v>30</v>
      </c>
      <c r="G1094" t="s">
        <v>30</v>
      </c>
      <c r="H1094" t="s">
        <v>74</v>
      </c>
      <c r="I1094" t="s">
        <v>46</v>
      </c>
      <c r="K1094" t="s">
        <v>5410</v>
      </c>
      <c r="L1094" t="s">
        <v>48</v>
      </c>
      <c r="M1094" t="s">
        <v>48</v>
      </c>
      <c r="N1094" t="s">
        <v>49</v>
      </c>
      <c r="O1094" t="s">
        <v>5411</v>
      </c>
      <c r="P1094" t="s">
        <v>49</v>
      </c>
      <c r="Q1094" t="s">
        <v>5412</v>
      </c>
      <c r="R1094" t="s">
        <v>5413</v>
      </c>
      <c r="S1094" t="s">
        <v>53</v>
      </c>
      <c r="T1094" t="s">
        <v>100</v>
      </c>
      <c r="U1094" t="s">
        <v>5415</v>
      </c>
      <c r="V1094" t="s">
        <v>57</v>
      </c>
    </row>
    <row r="1095" spans="1:22" x14ac:dyDescent="0.35">
      <c r="A1095" t="s">
        <v>5416</v>
      </c>
      <c r="B1095" t="s">
        <v>433</v>
      </c>
      <c r="C1095" t="s">
        <v>44</v>
      </c>
      <c r="D1095" t="s">
        <v>158</v>
      </c>
      <c r="E1095" t="s">
        <v>157</v>
      </c>
      <c r="F1095" t="s">
        <v>28</v>
      </c>
      <c r="G1095" t="s">
        <v>28</v>
      </c>
      <c r="H1095" t="s">
        <v>28</v>
      </c>
      <c r="I1095" t="s">
        <v>46</v>
      </c>
      <c r="K1095" t="s">
        <v>5417</v>
      </c>
      <c r="L1095" t="s">
        <v>38</v>
      </c>
      <c r="M1095" t="s">
        <v>49</v>
      </c>
      <c r="N1095" t="s">
        <v>38</v>
      </c>
      <c r="O1095" t="s">
        <v>5418</v>
      </c>
      <c r="P1095" t="s">
        <v>38</v>
      </c>
      <c r="Q1095" t="s">
        <v>5419</v>
      </c>
      <c r="R1095" t="s">
        <v>5420</v>
      </c>
      <c r="S1095" t="s">
        <v>87</v>
      </c>
      <c r="T1095" t="s">
        <v>81</v>
      </c>
      <c r="U1095" t="s">
        <v>56</v>
      </c>
      <c r="V1095" t="s">
        <v>91</v>
      </c>
    </row>
    <row r="1096" spans="1:22" x14ac:dyDescent="0.35">
      <c r="A1096" t="s">
        <v>5422</v>
      </c>
      <c r="B1096" t="s">
        <v>5272</v>
      </c>
      <c r="C1096" t="s">
        <v>33</v>
      </c>
      <c r="D1096" t="s">
        <v>33</v>
      </c>
      <c r="E1096" t="s">
        <v>33</v>
      </c>
      <c r="F1096" t="s">
        <v>30</v>
      </c>
      <c r="G1096" t="s">
        <v>34</v>
      </c>
      <c r="H1096" t="s">
        <v>74</v>
      </c>
      <c r="I1096" t="s">
        <v>36</v>
      </c>
      <c r="K1096" t="s">
        <v>605</v>
      </c>
      <c r="L1096" t="s">
        <v>48</v>
      </c>
      <c r="M1096" t="s">
        <v>49</v>
      </c>
      <c r="N1096" t="s">
        <v>48</v>
      </c>
      <c r="O1096" t="s">
        <v>5423</v>
      </c>
      <c r="P1096" t="s">
        <v>48</v>
      </c>
      <c r="Q1096" t="s">
        <v>5424</v>
      </c>
      <c r="R1096" t="s">
        <v>5425</v>
      </c>
      <c r="S1096" t="s">
        <v>79</v>
      </c>
      <c r="T1096" t="s">
        <v>603</v>
      </c>
      <c r="U1096" t="s">
        <v>5427</v>
      </c>
      <c r="V1096" t="s">
        <v>129</v>
      </c>
    </row>
    <row r="1097" spans="1:22" x14ac:dyDescent="0.35">
      <c r="A1097" t="s">
        <v>5428</v>
      </c>
      <c r="B1097" t="s">
        <v>172</v>
      </c>
      <c r="C1097" t="s">
        <v>33</v>
      </c>
      <c r="D1097" t="s">
        <v>33</v>
      </c>
      <c r="E1097" t="s">
        <v>60</v>
      </c>
      <c r="F1097" t="s">
        <v>34</v>
      </c>
      <c r="G1097" t="s">
        <v>30</v>
      </c>
      <c r="H1097" t="s">
        <v>74</v>
      </c>
      <c r="I1097" t="s">
        <v>46</v>
      </c>
      <c r="K1097" t="s">
        <v>494</v>
      </c>
      <c r="L1097" t="s">
        <v>48</v>
      </c>
      <c r="M1097" t="s">
        <v>48</v>
      </c>
      <c r="N1097" t="s">
        <v>48</v>
      </c>
      <c r="O1097" t="s">
        <v>5429</v>
      </c>
      <c r="P1097" t="s">
        <v>48</v>
      </c>
      <c r="Q1097" t="s">
        <v>5430</v>
      </c>
      <c r="R1097" t="s">
        <v>5431</v>
      </c>
      <c r="S1097" t="s">
        <v>87</v>
      </c>
      <c r="T1097" t="s">
        <v>81</v>
      </c>
      <c r="U1097" t="s">
        <v>5433</v>
      </c>
      <c r="V1097" t="s">
        <v>129</v>
      </c>
    </row>
    <row r="1098" spans="1:22" x14ac:dyDescent="0.35">
      <c r="A1098" t="s">
        <v>5434</v>
      </c>
      <c r="B1098" t="s">
        <v>5435</v>
      </c>
      <c r="C1098" t="s">
        <v>33</v>
      </c>
      <c r="D1098" t="s">
        <v>33</v>
      </c>
      <c r="E1098" t="s">
        <v>33</v>
      </c>
      <c r="F1098" t="s">
        <v>34</v>
      </c>
      <c r="G1098" t="s">
        <v>34</v>
      </c>
      <c r="H1098" t="s">
        <v>74</v>
      </c>
      <c r="I1098" t="s">
        <v>36</v>
      </c>
      <c r="K1098" t="s">
        <v>2077</v>
      </c>
      <c r="L1098" t="s">
        <v>49</v>
      </c>
      <c r="M1098" t="s">
        <v>49</v>
      </c>
      <c r="N1098" t="s">
        <v>49</v>
      </c>
      <c r="O1098" t="s">
        <v>5429</v>
      </c>
      <c r="P1098" t="s">
        <v>48</v>
      </c>
      <c r="Q1098" t="s">
        <v>5436</v>
      </c>
      <c r="R1098" t="s">
        <v>5431</v>
      </c>
      <c r="S1098" t="s">
        <v>79</v>
      </c>
      <c r="T1098" t="s">
        <v>2077</v>
      </c>
      <c r="U1098" t="s">
        <v>5438</v>
      </c>
      <c r="V1098" t="s">
        <v>129</v>
      </c>
    </row>
    <row r="1099" spans="1:22" x14ac:dyDescent="0.35">
      <c r="A1099" t="s">
        <v>5439</v>
      </c>
      <c r="B1099" t="s">
        <v>448</v>
      </c>
      <c r="C1099" t="s">
        <v>28</v>
      </c>
      <c r="D1099" t="s">
        <v>44</v>
      </c>
      <c r="E1099" t="s">
        <v>28</v>
      </c>
      <c r="F1099" t="s">
        <v>28</v>
      </c>
      <c r="G1099" t="s">
        <v>28</v>
      </c>
      <c r="H1099" t="s">
        <v>28</v>
      </c>
      <c r="I1099" t="s">
        <v>36</v>
      </c>
      <c r="K1099" t="s">
        <v>375</v>
      </c>
      <c r="L1099" t="s">
        <v>38</v>
      </c>
      <c r="M1099" t="s">
        <v>49</v>
      </c>
      <c r="N1099" t="s">
        <v>49</v>
      </c>
      <c r="O1099" t="s">
        <v>5440</v>
      </c>
      <c r="P1099" t="s">
        <v>49</v>
      </c>
      <c r="Q1099" t="s">
        <v>5441</v>
      </c>
      <c r="R1099" t="s">
        <v>5442</v>
      </c>
      <c r="S1099" t="s">
        <v>87</v>
      </c>
      <c r="T1099" t="s">
        <v>81</v>
      </c>
      <c r="U1099" t="s">
        <v>56</v>
      </c>
      <c r="V1099" t="s">
        <v>129</v>
      </c>
    </row>
    <row r="1100" spans="1:22" x14ac:dyDescent="0.35">
      <c r="A1100" t="s">
        <v>5444</v>
      </c>
      <c r="B1100" t="s">
        <v>172</v>
      </c>
      <c r="C1100" t="s">
        <v>33</v>
      </c>
      <c r="D1100" t="s">
        <v>33</v>
      </c>
      <c r="E1100" t="s">
        <v>33</v>
      </c>
      <c r="F1100" t="s">
        <v>30</v>
      </c>
      <c r="G1100" t="s">
        <v>34</v>
      </c>
      <c r="H1100" t="s">
        <v>74</v>
      </c>
      <c r="I1100" t="s">
        <v>46</v>
      </c>
      <c r="K1100" t="s">
        <v>375</v>
      </c>
      <c r="L1100" t="s">
        <v>48</v>
      </c>
      <c r="M1100" t="s">
        <v>48</v>
      </c>
      <c r="N1100" t="s">
        <v>49</v>
      </c>
      <c r="O1100" t="s">
        <v>5445</v>
      </c>
      <c r="P1100" t="s">
        <v>48</v>
      </c>
      <c r="Q1100" t="s">
        <v>5446</v>
      </c>
      <c r="R1100" t="s">
        <v>5447</v>
      </c>
      <c r="S1100" t="s">
        <v>53</v>
      </c>
      <c r="T1100" t="s">
        <v>81</v>
      </c>
      <c r="U1100" t="s">
        <v>5449</v>
      </c>
      <c r="V1100" t="s">
        <v>129</v>
      </c>
    </row>
    <row r="1101" spans="1:22" x14ac:dyDescent="0.35">
      <c r="A1101" t="s">
        <v>5256</v>
      </c>
      <c r="B1101" t="s">
        <v>205</v>
      </c>
      <c r="C1101" t="s">
        <v>33</v>
      </c>
      <c r="D1101" t="s">
        <v>29</v>
      </c>
      <c r="E1101" t="s">
        <v>28</v>
      </c>
      <c r="F1101" t="s">
        <v>30</v>
      </c>
      <c r="G1101" t="s">
        <v>30</v>
      </c>
      <c r="H1101" t="s">
        <v>292</v>
      </c>
      <c r="I1101" t="s">
        <v>36</v>
      </c>
      <c r="K1101" t="s">
        <v>5292</v>
      </c>
      <c r="L1101" t="s">
        <v>48</v>
      </c>
      <c r="M1101" t="s">
        <v>48</v>
      </c>
      <c r="N1101" t="s">
        <v>48</v>
      </c>
      <c r="O1101" t="s">
        <v>5450</v>
      </c>
      <c r="P1101" t="s">
        <v>48</v>
      </c>
      <c r="Q1101" t="s">
        <v>5451</v>
      </c>
      <c r="R1101" t="s">
        <v>5452</v>
      </c>
      <c r="S1101" t="s">
        <v>53</v>
      </c>
      <c r="T1101" t="s">
        <v>81</v>
      </c>
      <c r="U1101" t="s">
        <v>5454</v>
      </c>
      <c r="V1101" t="s">
        <v>129</v>
      </c>
    </row>
    <row r="1102" spans="1:22" x14ac:dyDescent="0.35">
      <c r="A1102" t="s">
        <v>5455</v>
      </c>
      <c r="B1102" t="s">
        <v>84</v>
      </c>
      <c r="C1102" t="s">
        <v>33</v>
      </c>
      <c r="D1102" t="s">
        <v>29</v>
      </c>
      <c r="E1102" t="s">
        <v>33</v>
      </c>
      <c r="F1102" t="s">
        <v>30</v>
      </c>
      <c r="G1102" t="s">
        <v>30</v>
      </c>
      <c r="H1102" t="s">
        <v>61</v>
      </c>
      <c r="I1102" t="s">
        <v>46</v>
      </c>
      <c r="K1102" t="s">
        <v>3403</v>
      </c>
      <c r="L1102" t="s">
        <v>48</v>
      </c>
      <c r="M1102" t="s">
        <v>49</v>
      </c>
      <c r="N1102" t="s">
        <v>49</v>
      </c>
      <c r="O1102" t="s">
        <v>5456</v>
      </c>
      <c r="P1102" t="s">
        <v>49</v>
      </c>
      <c r="Q1102" t="s">
        <v>5457</v>
      </c>
      <c r="R1102" t="s">
        <v>5458</v>
      </c>
      <c r="S1102" t="s">
        <v>65</v>
      </c>
      <c r="T1102" t="s">
        <v>81</v>
      </c>
      <c r="U1102" t="s">
        <v>5460</v>
      </c>
      <c r="V1102" t="s">
        <v>129</v>
      </c>
    </row>
    <row r="1103" spans="1:22" x14ac:dyDescent="0.35">
      <c r="A1103" t="s">
        <v>5461</v>
      </c>
      <c r="B1103" t="s">
        <v>5272</v>
      </c>
      <c r="C1103" t="s">
        <v>33</v>
      </c>
      <c r="D1103" t="s">
        <v>33</v>
      </c>
      <c r="E1103" t="s">
        <v>33</v>
      </c>
      <c r="F1103" t="s">
        <v>34</v>
      </c>
      <c r="G1103" t="s">
        <v>94</v>
      </c>
      <c r="H1103" t="s">
        <v>35</v>
      </c>
      <c r="I1103" t="s">
        <v>36</v>
      </c>
      <c r="K1103" t="s">
        <v>494</v>
      </c>
      <c r="L1103" t="s">
        <v>48</v>
      </c>
      <c r="M1103" t="s">
        <v>49</v>
      </c>
      <c r="N1103" t="s">
        <v>48</v>
      </c>
      <c r="O1103" t="s">
        <v>5462</v>
      </c>
      <c r="P1103" t="s">
        <v>49</v>
      </c>
      <c r="Q1103" t="s">
        <v>5463</v>
      </c>
      <c r="R1103" t="s">
        <v>5464</v>
      </c>
      <c r="S1103" t="s">
        <v>65</v>
      </c>
      <c r="T1103" t="s">
        <v>81</v>
      </c>
      <c r="U1103" t="s">
        <v>5466</v>
      </c>
      <c r="V1103" t="s">
        <v>129</v>
      </c>
    </row>
    <row r="1104" spans="1:22" x14ac:dyDescent="0.35">
      <c r="A1104" t="s">
        <v>5467</v>
      </c>
      <c r="B1104" t="s">
        <v>5319</v>
      </c>
      <c r="C1104" t="s">
        <v>33</v>
      </c>
      <c r="D1104" t="s">
        <v>29</v>
      </c>
      <c r="E1104" t="s">
        <v>33</v>
      </c>
      <c r="F1104" t="s">
        <v>34</v>
      </c>
      <c r="G1104" t="s">
        <v>34</v>
      </c>
      <c r="H1104" t="s">
        <v>61</v>
      </c>
      <c r="I1104" t="s">
        <v>36</v>
      </c>
      <c r="K1104" t="s">
        <v>5468</v>
      </c>
      <c r="L1104" t="s">
        <v>49</v>
      </c>
      <c r="M1104" t="s">
        <v>48</v>
      </c>
      <c r="N1104" t="s">
        <v>49</v>
      </c>
      <c r="O1104" t="s">
        <v>5469</v>
      </c>
      <c r="P1104" t="s">
        <v>49</v>
      </c>
      <c r="Q1104" t="s">
        <v>5470</v>
      </c>
      <c r="R1104" t="s">
        <v>5471</v>
      </c>
      <c r="S1104" t="s">
        <v>65</v>
      </c>
      <c r="T1104" t="s">
        <v>81</v>
      </c>
      <c r="U1104" t="s">
        <v>5473</v>
      </c>
      <c r="V1104" t="s">
        <v>129</v>
      </c>
    </row>
    <row r="1105" spans="1:22" x14ac:dyDescent="0.35">
      <c r="A1105" t="s">
        <v>5474</v>
      </c>
      <c r="B1105" t="s">
        <v>205</v>
      </c>
      <c r="C1105" t="s">
        <v>33</v>
      </c>
      <c r="D1105" t="s">
        <v>33</v>
      </c>
      <c r="E1105" t="s">
        <v>33</v>
      </c>
      <c r="F1105" t="s">
        <v>34</v>
      </c>
      <c r="G1105" t="s">
        <v>34</v>
      </c>
      <c r="H1105" t="s">
        <v>74</v>
      </c>
      <c r="I1105" t="s">
        <v>36</v>
      </c>
      <c r="K1105" t="s">
        <v>5475</v>
      </c>
      <c r="L1105" t="s">
        <v>48</v>
      </c>
      <c r="M1105" t="s">
        <v>49</v>
      </c>
      <c r="N1105" t="s">
        <v>48</v>
      </c>
      <c r="O1105" t="s">
        <v>5476</v>
      </c>
      <c r="P1105" t="s">
        <v>48</v>
      </c>
      <c r="Q1105" t="s">
        <v>5477</v>
      </c>
      <c r="R1105" t="s">
        <v>5478</v>
      </c>
      <c r="S1105" t="s">
        <v>79</v>
      </c>
      <c r="T1105" t="s">
        <v>81</v>
      </c>
      <c r="U1105" t="s">
        <v>5344</v>
      </c>
      <c r="V1105" t="s">
        <v>129</v>
      </c>
    </row>
    <row r="1106" spans="1:22" x14ac:dyDescent="0.35">
      <c r="A1106" t="s">
        <v>5480</v>
      </c>
      <c r="B1106" t="s">
        <v>84</v>
      </c>
      <c r="C1106" t="s">
        <v>33</v>
      </c>
      <c r="D1106" t="s">
        <v>33</v>
      </c>
      <c r="E1106" t="s">
        <v>33</v>
      </c>
      <c r="F1106" t="s">
        <v>34</v>
      </c>
      <c r="G1106" t="s">
        <v>30</v>
      </c>
      <c r="H1106" t="s">
        <v>61</v>
      </c>
      <c r="I1106" t="s">
        <v>46</v>
      </c>
      <c r="K1106" t="s">
        <v>95</v>
      </c>
      <c r="L1106" t="s">
        <v>48</v>
      </c>
      <c r="M1106" t="s">
        <v>48</v>
      </c>
      <c r="N1106" t="s">
        <v>48</v>
      </c>
      <c r="O1106" t="s">
        <v>5481</v>
      </c>
      <c r="P1106" t="s">
        <v>48</v>
      </c>
      <c r="Q1106" t="s">
        <v>5482</v>
      </c>
      <c r="R1106" t="s">
        <v>5483</v>
      </c>
      <c r="S1106" t="s">
        <v>79</v>
      </c>
      <c r="T1106" t="s">
        <v>100</v>
      </c>
      <c r="U1106" t="s">
        <v>5485</v>
      </c>
      <c r="V1106" t="s">
        <v>129</v>
      </c>
    </row>
    <row r="1107" spans="1:22" x14ac:dyDescent="0.35">
      <c r="A1107" t="s">
        <v>5486</v>
      </c>
      <c r="B1107" t="s">
        <v>5272</v>
      </c>
      <c r="C1107" t="s">
        <v>33</v>
      </c>
      <c r="D1107" t="s">
        <v>33</v>
      </c>
      <c r="E1107" t="s">
        <v>33</v>
      </c>
      <c r="F1107" t="s">
        <v>173</v>
      </c>
      <c r="G1107" t="s">
        <v>34</v>
      </c>
      <c r="H1107" t="s">
        <v>74</v>
      </c>
      <c r="I1107" t="s">
        <v>36</v>
      </c>
      <c r="K1107" t="s">
        <v>3597</v>
      </c>
      <c r="L1107" t="s">
        <v>49</v>
      </c>
      <c r="M1107" t="s">
        <v>48</v>
      </c>
      <c r="N1107" t="s">
        <v>48</v>
      </c>
      <c r="O1107" t="s">
        <v>5487</v>
      </c>
      <c r="P1107" t="s">
        <v>49</v>
      </c>
      <c r="Q1107" t="s">
        <v>5488</v>
      </c>
      <c r="R1107" t="s">
        <v>5489</v>
      </c>
      <c r="S1107" t="s">
        <v>53</v>
      </c>
      <c r="T1107" t="s">
        <v>100</v>
      </c>
      <c r="U1107" t="s">
        <v>5491</v>
      </c>
      <c r="V1107" t="s">
        <v>129</v>
      </c>
    </row>
    <row r="1108" spans="1:22" x14ac:dyDescent="0.35">
      <c r="A1108" t="s">
        <v>5492</v>
      </c>
      <c r="B1108" t="s">
        <v>5266</v>
      </c>
      <c r="C1108" t="s">
        <v>33</v>
      </c>
      <c r="D1108" t="s">
        <v>33</v>
      </c>
      <c r="E1108" t="s">
        <v>33</v>
      </c>
      <c r="F1108" t="s">
        <v>34</v>
      </c>
      <c r="G1108" t="s">
        <v>34</v>
      </c>
      <c r="H1108" t="s">
        <v>74</v>
      </c>
      <c r="I1108" t="s">
        <v>46</v>
      </c>
      <c r="K1108" t="s">
        <v>3610</v>
      </c>
      <c r="L1108" t="s">
        <v>49</v>
      </c>
      <c r="M1108" t="s">
        <v>48</v>
      </c>
      <c r="N1108" t="s">
        <v>38</v>
      </c>
      <c r="O1108" t="s">
        <v>5493</v>
      </c>
      <c r="P1108" t="s">
        <v>49</v>
      </c>
      <c r="Q1108" t="s">
        <v>5494</v>
      </c>
      <c r="R1108" t="s">
        <v>5495</v>
      </c>
      <c r="S1108" t="s">
        <v>53</v>
      </c>
      <c r="T1108" t="s">
        <v>100</v>
      </c>
      <c r="U1108" t="s">
        <v>5497</v>
      </c>
      <c r="V1108" t="s">
        <v>129</v>
      </c>
    </row>
    <row r="1109" spans="1:22" x14ac:dyDescent="0.35">
      <c r="A1109" t="s">
        <v>1055</v>
      </c>
      <c r="B1109" t="s">
        <v>172</v>
      </c>
      <c r="C1109" t="s">
        <v>33</v>
      </c>
      <c r="D1109" t="s">
        <v>33</v>
      </c>
      <c r="E1109" t="s">
        <v>33</v>
      </c>
      <c r="F1109" t="s">
        <v>30</v>
      </c>
      <c r="G1109" t="s">
        <v>173</v>
      </c>
      <c r="H1109" t="s">
        <v>292</v>
      </c>
      <c r="I1109" t="s">
        <v>36</v>
      </c>
      <c r="K1109" t="s">
        <v>5410</v>
      </c>
      <c r="L1109" t="s">
        <v>48</v>
      </c>
      <c r="M1109" t="s">
        <v>49</v>
      </c>
      <c r="N1109" t="s">
        <v>48</v>
      </c>
      <c r="O1109" t="s">
        <v>5498</v>
      </c>
      <c r="P1109" t="s">
        <v>48</v>
      </c>
      <c r="Q1109" t="s">
        <v>5499</v>
      </c>
      <c r="R1109" t="s">
        <v>5500</v>
      </c>
      <c r="S1109" t="s">
        <v>79</v>
      </c>
      <c r="T1109" t="s">
        <v>100</v>
      </c>
      <c r="U1109" t="s">
        <v>5502</v>
      </c>
      <c r="V1109" t="s">
        <v>129</v>
      </c>
    </row>
    <row r="1110" spans="1:22" x14ac:dyDescent="0.35">
      <c r="A1110" t="s">
        <v>5503</v>
      </c>
      <c r="B1110" t="s">
        <v>84</v>
      </c>
      <c r="C1110" t="s">
        <v>33</v>
      </c>
      <c r="D1110" t="s">
        <v>60</v>
      </c>
      <c r="E1110" t="s">
        <v>44</v>
      </c>
      <c r="F1110" t="s">
        <v>34</v>
      </c>
      <c r="G1110" t="s">
        <v>34</v>
      </c>
      <c r="H1110" t="s">
        <v>292</v>
      </c>
      <c r="I1110" t="s">
        <v>46</v>
      </c>
      <c r="K1110" t="s">
        <v>3390</v>
      </c>
      <c r="L1110" t="s">
        <v>48</v>
      </c>
      <c r="M1110" t="s">
        <v>48</v>
      </c>
      <c r="N1110" t="s">
        <v>48</v>
      </c>
      <c r="O1110" t="s">
        <v>5504</v>
      </c>
      <c r="P1110" t="s">
        <v>48</v>
      </c>
      <c r="Q1110" t="s">
        <v>5505</v>
      </c>
      <c r="R1110" t="s">
        <v>5506</v>
      </c>
      <c r="S1110" t="s">
        <v>65</v>
      </c>
      <c r="T1110" t="s">
        <v>100</v>
      </c>
      <c r="U1110" t="s">
        <v>5508</v>
      </c>
      <c r="V1110" t="s">
        <v>129</v>
      </c>
    </row>
    <row r="1111" spans="1:22" x14ac:dyDescent="0.35">
      <c r="A1111" t="s">
        <v>5509</v>
      </c>
      <c r="B1111" t="s">
        <v>205</v>
      </c>
      <c r="C1111" t="s">
        <v>33</v>
      </c>
      <c r="D1111" t="s">
        <v>29</v>
      </c>
      <c r="E1111" t="s">
        <v>60</v>
      </c>
      <c r="F1111" t="s">
        <v>158</v>
      </c>
      <c r="G1111" t="s">
        <v>173</v>
      </c>
      <c r="H1111" t="s">
        <v>45</v>
      </c>
      <c r="I1111" t="s">
        <v>36</v>
      </c>
      <c r="K1111" t="s">
        <v>442</v>
      </c>
      <c r="L1111" t="s">
        <v>49</v>
      </c>
      <c r="M1111" t="s">
        <v>48</v>
      </c>
      <c r="N1111" t="s">
        <v>48</v>
      </c>
      <c r="O1111" t="s">
        <v>5510</v>
      </c>
      <c r="P1111" t="s">
        <v>48</v>
      </c>
      <c r="Q1111" t="s">
        <v>5511</v>
      </c>
      <c r="R1111" t="s">
        <v>5512</v>
      </c>
      <c r="S1111" t="s">
        <v>79</v>
      </c>
      <c r="T1111" t="s">
        <v>603</v>
      </c>
      <c r="U1111" t="s">
        <v>5299</v>
      </c>
      <c r="V1111" t="s">
        <v>129</v>
      </c>
    </row>
    <row r="1112" spans="1:22" x14ac:dyDescent="0.35">
      <c r="A1112" t="s">
        <v>5514</v>
      </c>
      <c r="B1112" t="s">
        <v>5266</v>
      </c>
      <c r="C1112" t="s">
        <v>33</v>
      </c>
      <c r="D1112" t="s">
        <v>33</v>
      </c>
      <c r="E1112" t="s">
        <v>33</v>
      </c>
      <c r="F1112" t="s">
        <v>103</v>
      </c>
      <c r="G1112" t="s">
        <v>173</v>
      </c>
      <c r="H1112" t="s">
        <v>74</v>
      </c>
      <c r="I1112" t="s">
        <v>46</v>
      </c>
      <c r="K1112" t="s">
        <v>442</v>
      </c>
      <c r="L1112" t="s">
        <v>48</v>
      </c>
      <c r="M1112" t="s">
        <v>48</v>
      </c>
      <c r="N1112" t="s">
        <v>48</v>
      </c>
      <c r="O1112" t="s">
        <v>5515</v>
      </c>
      <c r="P1112" t="s">
        <v>48</v>
      </c>
      <c r="Q1112" t="s">
        <v>5516</v>
      </c>
      <c r="R1112" t="s">
        <v>5517</v>
      </c>
      <c r="S1112" t="s">
        <v>53</v>
      </c>
      <c r="T1112" t="s">
        <v>603</v>
      </c>
      <c r="U1112" t="s">
        <v>5519</v>
      </c>
      <c r="V1112" t="s">
        <v>129</v>
      </c>
    </row>
    <row r="1113" spans="1:22" x14ac:dyDescent="0.35">
      <c r="A1113" t="s">
        <v>5520</v>
      </c>
      <c r="B1113" t="s">
        <v>5272</v>
      </c>
      <c r="C1113" t="s">
        <v>33</v>
      </c>
      <c r="D1113" t="s">
        <v>29</v>
      </c>
      <c r="E1113" t="s">
        <v>33</v>
      </c>
      <c r="F1113" t="s">
        <v>30</v>
      </c>
      <c r="G1113" t="s">
        <v>30</v>
      </c>
      <c r="H1113" t="s">
        <v>292</v>
      </c>
      <c r="I1113" t="s">
        <v>36</v>
      </c>
      <c r="K1113" t="s">
        <v>605</v>
      </c>
      <c r="L1113" t="s">
        <v>48</v>
      </c>
      <c r="M1113" t="s">
        <v>49</v>
      </c>
      <c r="N1113" t="s">
        <v>38</v>
      </c>
      <c r="O1113" t="s">
        <v>5521</v>
      </c>
      <c r="P1113" t="s">
        <v>49</v>
      </c>
      <c r="Q1113" t="s">
        <v>5522</v>
      </c>
      <c r="R1113" t="s">
        <v>5523</v>
      </c>
      <c r="S1113" t="s">
        <v>87</v>
      </c>
      <c r="T1113" t="s">
        <v>603</v>
      </c>
      <c r="U1113" t="s">
        <v>5311</v>
      </c>
      <c r="V1113" t="s">
        <v>129</v>
      </c>
    </row>
    <row r="1114" spans="1:22" x14ac:dyDescent="0.35">
      <c r="A1114" t="s">
        <v>5525</v>
      </c>
      <c r="B1114" t="s">
        <v>172</v>
      </c>
      <c r="C1114" t="s">
        <v>33</v>
      </c>
      <c r="D1114" t="s">
        <v>33</v>
      </c>
      <c r="E1114" t="s">
        <v>33</v>
      </c>
      <c r="F1114" t="s">
        <v>173</v>
      </c>
      <c r="G1114" t="s">
        <v>173</v>
      </c>
      <c r="H1114" t="s">
        <v>61</v>
      </c>
      <c r="I1114" t="s">
        <v>46</v>
      </c>
      <c r="K1114" t="s">
        <v>642</v>
      </c>
      <c r="L1114" t="s">
        <v>49</v>
      </c>
      <c r="M1114" t="s">
        <v>48</v>
      </c>
      <c r="N1114" t="s">
        <v>49</v>
      </c>
      <c r="O1114" t="s">
        <v>5526</v>
      </c>
      <c r="P1114" t="s">
        <v>48</v>
      </c>
      <c r="Q1114" t="s">
        <v>5527</v>
      </c>
      <c r="R1114" t="s">
        <v>5528</v>
      </c>
      <c r="S1114" t="s">
        <v>65</v>
      </c>
      <c r="T1114" t="s">
        <v>603</v>
      </c>
      <c r="U1114" t="s">
        <v>5530</v>
      </c>
      <c r="V1114" t="s">
        <v>129</v>
      </c>
    </row>
    <row r="1115" spans="1:22" x14ac:dyDescent="0.35">
      <c r="A1115" t="s">
        <v>5531</v>
      </c>
      <c r="B1115" t="s">
        <v>205</v>
      </c>
      <c r="C1115" t="s">
        <v>33</v>
      </c>
      <c r="D1115" t="s">
        <v>29</v>
      </c>
      <c r="E1115" t="s">
        <v>29</v>
      </c>
      <c r="F1115" t="s">
        <v>173</v>
      </c>
      <c r="G1115" t="s">
        <v>30</v>
      </c>
      <c r="H1115" t="s">
        <v>74</v>
      </c>
      <c r="I1115" t="s">
        <v>36</v>
      </c>
      <c r="K1115" t="s">
        <v>668</v>
      </c>
      <c r="L1115" t="s">
        <v>48</v>
      </c>
      <c r="M1115" t="s">
        <v>48</v>
      </c>
      <c r="N1115" t="s">
        <v>49</v>
      </c>
      <c r="O1115" t="s">
        <v>5532</v>
      </c>
      <c r="P1115" t="s">
        <v>48</v>
      </c>
      <c r="Q1115" t="s">
        <v>5533</v>
      </c>
      <c r="R1115" t="s">
        <v>5534</v>
      </c>
      <c r="S1115" t="s">
        <v>65</v>
      </c>
      <c r="T1115" t="s">
        <v>603</v>
      </c>
      <c r="U1115" t="s">
        <v>5536</v>
      </c>
      <c r="V1115" t="s">
        <v>91</v>
      </c>
    </row>
    <row r="1116" spans="1:22" x14ac:dyDescent="0.35">
      <c r="A1116" t="s">
        <v>5537</v>
      </c>
      <c r="B1116" t="s">
        <v>84</v>
      </c>
      <c r="C1116" t="s">
        <v>33</v>
      </c>
      <c r="D1116" t="s">
        <v>29</v>
      </c>
      <c r="E1116" t="s">
        <v>33</v>
      </c>
      <c r="F1116" t="s">
        <v>34</v>
      </c>
      <c r="G1116" t="s">
        <v>30</v>
      </c>
      <c r="H1116" t="s">
        <v>74</v>
      </c>
      <c r="I1116" t="s">
        <v>46</v>
      </c>
      <c r="K1116" t="s">
        <v>5538</v>
      </c>
      <c r="L1116" t="s">
        <v>49</v>
      </c>
      <c r="M1116" t="s">
        <v>48</v>
      </c>
      <c r="N1116" t="s">
        <v>48</v>
      </c>
      <c r="O1116" t="s">
        <v>5539</v>
      </c>
      <c r="P1116" t="s">
        <v>49</v>
      </c>
      <c r="Q1116" t="s">
        <v>5540</v>
      </c>
      <c r="R1116" t="s">
        <v>5541</v>
      </c>
      <c r="S1116" t="s">
        <v>87</v>
      </c>
      <c r="T1116" t="s">
        <v>2077</v>
      </c>
      <c r="U1116" t="s">
        <v>5543</v>
      </c>
      <c r="V1116" t="s">
        <v>91</v>
      </c>
    </row>
    <row r="1117" spans="1:22" x14ac:dyDescent="0.35">
      <c r="A1117" t="s">
        <v>5544</v>
      </c>
      <c r="B1117" t="s">
        <v>172</v>
      </c>
      <c r="C1117" t="s">
        <v>33</v>
      </c>
      <c r="D1117" t="s">
        <v>33</v>
      </c>
      <c r="E1117" t="s">
        <v>33</v>
      </c>
      <c r="F1117" t="s">
        <v>34</v>
      </c>
      <c r="G1117" t="s">
        <v>34</v>
      </c>
      <c r="H1117" t="s">
        <v>74</v>
      </c>
      <c r="I1117" t="s">
        <v>36</v>
      </c>
      <c r="K1117" t="s">
        <v>5545</v>
      </c>
      <c r="L1117" t="s">
        <v>48</v>
      </c>
      <c r="M1117" t="s">
        <v>49</v>
      </c>
      <c r="N1117" t="s">
        <v>48</v>
      </c>
      <c r="O1117" t="s">
        <v>5546</v>
      </c>
      <c r="P1117" t="s">
        <v>48</v>
      </c>
      <c r="Q1117" t="s">
        <v>5547</v>
      </c>
      <c r="R1117" t="s">
        <v>5548</v>
      </c>
      <c r="S1117" t="s">
        <v>79</v>
      </c>
      <c r="T1117" t="s">
        <v>2077</v>
      </c>
      <c r="U1117" t="s">
        <v>5550</v>
      </c>
      <c r="V1117" t="s">
        <v>129</v>
      </c>
    </row>
    <row r="1118" spans="1:22" x14ac:dyDescent="0.35">
      <c r="A1118" t="s">
        <v>5551</v>
      </c>
      <c r="B1118" t="s">
        <v>205</v>
      </c>
      <c r="C1118" t="s">
        <v>33</v>
      </c>
      <c r="D1118" t="s">
        <v>33</v>
      </c>
      <c r="E1118" t="s">
        <v>29</v>
      </c>
      <c r="F1118" t="s">
        <v>30</v>
      </c>
      <c r="G1118" t="s">
        <v>103</v>
      </c>
      <c r="H1118" t="s">
        <v>35</v>
      </c>
      <c r="I1118" t="s">
        <v>46</v>
      </c>
      <c r="K1118" t="s">
        <v>5552</v>
      </c>
      <c r="L1118" t="s">
        <v>49</v>
      </c>
      <c r="M1118" t="s">
        <v>48</v>
      </c>
      <c r="N1118" t="s">
        <v>48</v>
      </c>
      <c r="O1118" t="s">
        <v>5553</v>
      </c>
      <c r="P1118" t="s">
        <v>48</v>
      </c>
      <c r="Q1118" t="s">
        <v>5554</v>
      </c>
      <c r="R1118" t="s">
        <v>5555</v>
      </c>
      <c r="S1118" t="s">
        <v>87</v>
      </c>
      <c r="T1118" t="s">
        <v>2077</v>
      </c>
      <c r="U1118" t="s">
        <v>4175</v>
      </c>
      <c r="V1118" t="s">
        <v>129</v>
      </c>
    </row>
    <row r="1119" spans="1:22" x14ac:dyDescent="0.35">
      <c r="A1119" t="s">
        <v>5557</v>
      </c>
      <c r="B1119" t="s">
        <v>5272</v>
      </c>
      <c r="C1119" t="s">
        <v>60</v>
      </c>
      <c r="D1119" t="s">
        <v>44</v>
      </c>
      <c r="E1119" t="s">
        <v>33</v>
      </c>
      <c r="F1119" t="s">
        <v>34</v>
      </c>
      <c r="G1119" t="s">
        <v>34</v>
      </c>
      <c r="H1119" t="s">
        <v>74</v>
      </c>
      <c r="I1119" t="s">
        <v>36</v>
      </c>
      <c r="K1119" t="s">
        <v>5399</v>
      </c>
      <c r="L1119" t="s">
        <v>48</v>
      </c>
      <c r="M1119" t="s">
        <v>48</v>
      </c>
      <c r="N1119" t="s">
        <v>48</v>
      </c>
      <c r="O1119" t="s">
        <v>5558</v>
      </c>
      <c r="P1119" t="s">
        <v>48</v>
      </c>
      <c r="Q1119" t="s">
        <v>5559</v>
      </c>
      <c r="R1119" t="s">
        <v>5560</v>
      </c>
      <c r="S1119" t="s">
        <v>79</v>
      </c>
      <c r="T1119" t="s">
        <v>2077</v>
      </c>
      <c r="U1119" t="s">
        <v>5562</v>
      </c>
      <c r="V1119" t="s">
        <v>129</v>
      </c>
    </row>
    <row r="1120" spans="1:22" x14ac:dyDescent="0.35">
      <c r="A1120" t="s">
        <v>5563</v>
      </c>
      <c r="B1120" t="s">
        <v>205</v>
      </c>
      <c r="C1120" t="s">
        <v>44</v>
      </c>
      <c r="D1120" t="s">
        <v>60</v>
      </c>
      <c r="E1120" t="s">
        <v>29</v>
      </c>
      <c r="F1120" t="s">
        <v>30</v>
      </c>
      <c r="G1120" t="s">
        <v>103</v>
      </c>
      <c r="H1120" t="s">
        <v>61</v>
      </c>
      <c r="I1120" t="s">
        <v>46</v>
      </c>
      <c r="K1120" t="s">
        <v>375</v>
      </c>
      <c r="L1120" t="s">
        <v>48</v>
      </c>
      <c r="M1120" t="s">
        <v>48</v>
      </c>
      <c r="N1120" t="s">
        <v>48</v>
      </c>
      <c r="O1120" t="s">
        <v>5564</v>
      </c>
      <c r="P1120" t="s">
        <v>38</v>
      </c>
      <c r="Q1120" t="s">
        <v>5565</v>
      </c>
      <c r="R1120" t="s">
        <v>5566</v>
      </c>
      <c r="S1120" t="s">
        <v>65</v>
      </c>
      <c r="T1120" t="s">
        <v>81</v>
      </c>
      <c r="U1120" t="s">
        <v>5568</v>
      </c>
      <c r="V1120" t="s">
        <v>129</v>
      </c>
    </row>
    <row r="1121" spans="1:22" x14ac:dyDescent="0.35">
      <c r="A1121" t="s">
        <v>5569</v>
      </c>
      <c r="B1121" t="s">
        <v>5570</v>
      </c>
      <c r="C1121" t="s">
        <v>33</v>
      </c>
      <c r="D1121" t="s">
        <v>29</v>
      </c>
      <c r="E1121" t="s">
        <v>60</v>
      </c>
      <c r="F1121" t="s">
        <v>103</v>
      </c>
      <c r="G1121" t="s">
        <v>28</v>
      </c>
      <c r="H1121" t="s">
        <v>45</v>
      </c>
      <c r="I1121" t="s">
        <v>36</v>
      </c>
      <c r="K1121" t="s">
        <v>4211</v>
      </c>
      <c r="L1121" t="s">
        <v>49</v>
      </c>
      <c r="M1121" t="s">
        <v>38</v>
      </c>
      <c r="N1121" t="s">
        <v>49</v>
      </c>
      <c r="O1121" t="s">
        <v>5571</v>
      </c>
      <c r="P1121" t="s">
        <v>48</v>
      </c>
      <c r="Q1121" t="s">
        <v>5572</v>
      </c>
      <c r="R1121" t="s">
        <v>5573</v>
      </c>
      <c r="S1121" t="s">
        <v>53</v>
      </c>
      <c r="T1121" t="s">
        <v>5575</v>
      </c>
      <c r="U1121" t="s">
        <v>56</v>
      </c>
      <c r="V1121" t="s">
        <v>91</v>
      </c>
    </row>
    <row r="1122" spans="1:22" x14ac:dyDescent="0.35">
      <c r="A1122" t="s">
        <v>5576</v>
      </c>
      <c r="B1122" t="s">
        <v>5577</v>
      </c>
      <c r="C1122" t="s">
        <v>71</v>
      </c>
      <c r="D1122" t="s">
        <v>197</v>
      </c>
      <c r="E1122" t="s">
        <v>206</v>
      </c>
      <c r="F1122" t="s">
        <v>158</v>
      </c>
      <c r="G1122" t="s">
        <v>28</v>
      </c>
      <c r="H1122" t="s">
        <v>368</v>
      </c>
      <c r="I1122" t="s">
        <v>36</v>
      </c>
      <c r="K1122" t="s">
        <v>5578</v>
      </c>
      <c r="L1122" t="s">
        <v>38</v>
      </c>
      <c r="M1122" t="s">
        <v>49</v>
      </c>
      <c r="N1122" t="s">
        <v>49</v>
      </c>
      <c r="O1122" t="s">
        <v>5579</v>
      </c>
      <c r="P1122" t="s">
        <v>48</v>
      </c>
      <c r="Q1122" t="s">
        <v>5580</v>
      </c>
      <c r="R1122" t="s">
        <v>5581</v>
      </c>
      <c r="S1122" t="s">
        <v>135</v>
      </c>
      <c r="T1122" t="s">
        <v>118</v>
      </c>
      <c r="U1122">
        <v>0</v>
      </c>
      <c r="V1122" t="s">
        <v>91</v>
      </c>
    </row>
    <row r="1123" spans="1:22" x14ac:dyDescent="0.35">
      <c r="A1123" t="s">
        <v>5583</v>
      </c>
      <c r="B1123" t="s">
        <v>5584</v>
      </c>
      <c r="C1123" t="s">
        <v>44</v>
      </c>
      <c r="D1123" t="s">
        <v>158</v>
      </c>
      <c r="E1123" t="s">
        <v>28</v>
      </c>
      <c r="F1123" t="s">
        <v>197</v>
      </c>
      <c r="G1123" t="s">
        <v>94</v>
      </c>
      <c r="H1123" t="s">
        <v>73</v>
      </c>
      <c r="I1123" t="s">
        <v>36</v>
      </c>
      <c r="K1123" t="s">
        <v>37</v>
      </c>
      <c r="L1123" t="s">
        <v>49</v>
      </c>
      <c r="M1123" t="s">
        <v>48</v>
      </c>
      <c r="N1123" t="s">
        <v>40</v>
      </c>
      <c r="O1123" t="s">
        <v>5585</v>
      </c>
      <c r="P1123" t="s">
        <v>48</v>
      </c>
      <c r="Q1123" t="s">
        <v>5586</v>
      </c>
      <c r="R1123" t="s">
        <v>5587</v>
      </c>
      <c r="S1123" t="s">
        <v>87</v>
      </c>
      <c r="T1123" t="s">
        <v>109</v>
      </c>
      <c r="U1123" t="s">
        <v>56</v>
      </c>
      <c r="V1123" t="s">
        <v>170</v>
      </c>
    </row>
    <row r="1124" spans="1:22" x14ac:dyDescent="0.35">
      <c r="A1124" t="s">
        <v>5589</v>
      </c>
      <c r="B1124" t="s">
        <v>5590</v>
      </c>
      <c r="C1124" t="s">
        <v>60</v>
      </c>
      <c r="D1124" t="s">
        <v>28</v>
      </c>
      <c r="E1124" t="s">
        <v>33</v>
      </c>
      <c r="F1124" t="s">
        <v>158</v>
      </c>
      <c r="G1124" t="s">
        <v>28</v>
      </c>
      <c r="H1124" t="s">
        <v>94</v>
      </c>
      <c r="I1124" t="s">
        <v>36</v>
      </c>
      <c r="K1124" t="s">
        <v>1725</v>
      </c>
      <c r="L1124" t="s">
        <v>49</v>
      </c>
      <c r="M1124" t="s">
        <v>48</v>
      </c>
      <c r="N1124" t="s">
        <v>49</v>
      </c>
      <c r="O1124" t="s">
        <v>5591</v>
      </c>
      <c r="P1124" t="s">
        <v>39</v>
      </c>
      <c r="Q1124" t="s">
        <v>5592</v>
      </c>
      <c r="R1124" t="s">
        <v>5593</v>
      </c>
      <c r="S1124" t="s">
        <v>79</v>
      </c>
      <c r="T1124" t="s">
        <v>1722</v>
      </c>
      <c r="U1124" t="s">
        <v>56</v>
      </c>
      <c r="V1124" t="s">
        <v>129</v>
      </c>
    </row>
    <row r="1125" spans="1:22" x14ac:dyDescent="0.35">
      <c r="A1125" t="s">
        <v>5595</v>
      </c>
      <c r="B1125" t="s">
        <v>5596</v>
      </c>
      <c r="C1125" t="s">
        <v>449</v>
      </c>
      <c r="D1125" t="s">
        <v>197</v>
      </c>
      <c r="E1125" t="s">
        <v>73</v>
      </c>
      <c r="F1125" t="s">
        <v>173</v>
      </c>
      <c r="G1125" t="s">
        <v>45</v>
      </c>
      <c r="H1125" t="s">
        <v>368</v>
      </c>
      <c r="I1125" t="s">
        <v>46</v>
      </c>
      <c r="K1125" t="s">
        <v>3500</v>
      </c>
      <c r="L1125" t="s">
        <v>49</v>
      </c>
      <c r="M1125" t="s">
        <v>49</v>
      </c>
      <c r="N1125" t="s">
        <v>49</v>
      </c>
      <c r="O1125" t="s">
        <v>5597</v>
      </c>
      <c r="P1125" t="s">
        <v>39</v>
      </c>
      <c r="Q1125" t="s">
        <v>5598</v>
      </c>
      <c r="R1125" t="s">
        <v>5599</v>
      </c>
      <c r="S1125" t="s">
        <v>87</v>
      </c>
      <c r="T1125" t="s">
        <v>109</v>
      </c>
      <c r="U1125">
        <v>0</v>
      </c>
      <c r="V1125" t="s">
        <v>170</v>
      </c>
    </row>
    <row r="1126" spans="1:22" x14ac:dyDescent="0.35">
      <c r="A1126" t="s">
        <v>5601</v>
      </c>
      <c r="B1126" t="s">
        <v>5590</v>
      </c>
      <c r="C1126" t="s">
        <v>60</v>
      </c>
      <c r="D1126" t="s">
        <v>60</v>
      </c>
      <c r="E1126" t="s">
        <v>29</v>
      </c>
      <c r="F1126" t="s">
        <v>34</v>
      </c>
      <c r="G1126" t="s">
        <v>94</v>
      </c>
      <c r="H1126" t="s">
        <v>368</v>
      </c>
      <c r="I1126" t="s">
        <v>46</v>
      </c>
      <c r="K1126" t="s">
        <v>5602</v>
      </c>
      <c r="L1126" t="s">
        <v>49</v>
      </c>
      <c r="M1126" t="s">
        <v>48</v>
      </c>
      <c r="N1126" t="s">
        <v>38</v>
      </c>
      <c r="O1126" t="s">
        <v>5603</v>
      </c>
      <c r="P1126" t="s">
        <v>49</v>
      </c>
      <c r="Q1126" t="s">
        <v>5604</v>
      </c>
      <c r="R1126" t="s">
        <v>5605</v>
      </c>
      <c r="S1126" t="s">
        <v>53</v>
      </c>
      <c r="T1126" t="s">
        <v>109</v>
      </c>
      <c r="U1126">
        <v>0</v>
      </c>
      <c r="V1126" t="s">
        <v>91</v>
      </c>
    </row>
    <row r="1127" spans="1:22" x14ac:dyDescent="0.35">
      <c r="A1127" t="s">
        <v>5607</v>
      </c>
      <c r="B1127" t="s">
        <v>5608</v>
      </c>
      <c r="C1127" t="s">
        <v>344</v>
      </c>
      <c r="D1127" t="s">
        <v>158</v>
      </c>
      <c r="E1127" t="s">
        <v>157</v>
      </c>
      <c r="F1127" t="s">
        <v>196</v>
      </c>
      <c r="G1127" t="s">
        <v>94</v>
      </c>
      <c r="H1127" t="s">
        <v>28</v>
      </c>
      <c r="I1127" t="s">
        <v>46</v>
      </c>
      <c r="K1127" t="s">
        <v>3517</v>
      </c>
      <c r="L1127" t="s">
        <v>49</v>
      </c>
      <c r="M1127" t="s">
        <v>48</v>
      </c>
      <c r="N1127" t="s">
        <v>48</v>
      </c>
      <c r="O1127" t="s">
        <v>5609</v>
      </c>
      <c r="P1127" t="s">
        <v>40</v>
      </c>
      <c r="Q1127" t="s">
        <v>5610</v>
      </c>
      <c r="R1127" t="s">
        <v>5611</v>
      </c>
      <c r="S1127" t="s">
        <v>53</v>
      </c>
      <c r="T1127" t="s">
        <v>109</v>
      </c>
      <c r="U1127" t="s">
        <v>56</v>
      </c>
      <c r="V1127" t="s">
        <v>91</v>
      </c>
    </row>
    <row r="1128" spans="1:22" x14ac:dyDescent="0.35">
      <c r="A1128" t="s">
        <v>5613</v>
      </c>
      <c r="B1128" t="s">
        <v>5590</v>
      </c>
      <c r="C1128" t="s">
        <v>377</v>
      </c>
      <c r="D1128" t="s">
        <v>44</v>
      </c>
      <c r="E1128" t="s">
        <v>206</v>
      </c>
      <c r="F1128" t="s">
        <v>30</v>
      </c>
      <c r="G1128" t="s">
        <v>94</v>
      </c>
      <c r="H1128" t="s">
        <v>61</v>
      </c>
      <c r="I1128" t="s">
        <v>36</v>
      </c>
      <c r="K1128" t="s">
        <v>5614</v>
      </c>
      <c r="L1128" t="s">
        <v>49</v>
      </c>
      <c r="M1128" t="s">
        <v>48</v>
      </c>
      <c r="N1128" t="s">
        <v>39</v>
      </c>
      <c r="O1128" t="s">
        <v>5615</v>
      </c>
      <c r="P1128" t="s">
        <v>48</v>
      </c>
      <c r="Q1128" t="s">
        <v>5616</v>
      </c>
      <c r="R1128" t="s">
        <v>5617</v>
      </c>
      <c r="S1128" t="s">
        <v>53</v>
      </c>
      <c r="T1128" t="s">
        <v>5619</v>
      </c>
      <c r="U1128" t="s">
        <v>56</v>
      </c>
      <c r="V1128" t="s">
        <v>129</v>
      </c>
    </row>
    <row r="1129" spans="1:22" x14ac:dyDescent="0.35">
      <c r="A1129" t="s">
        <v>5620</v>
      </c>
      <c r="B1129" t="s">
        <v>5584</v>
      </c>
      <c r="C1129" t="s">
        <v>449</v>
      </c>
      <c r="D1129" t="s">
        <v>29</v>
      </c>
      <c r="E1129" t="s">
        <v>28</v>
      </c>
      <c r="F1129" t="s">
        <v>34</v>
      </c>
      <c r="G1129" t="s">
        <v>368</v>
      </c>
      <c r="H1129" t="s">
        <v>368</v>
      </c>
      <c r="I1129" t="s">
        <v>36</v>
      </c>
      <c r="K1129" t="s">
        <v>4951</v>
      </c>
      <c r="L1129" t="s">
        <v>49</v>
      </c>
      <c r="M1129" t="s">
        <v>48</v>
      </c>
      <c r="N1129" t="s">
        <v>49</v>
      </c>
      <c r="O1129" t="s">
        <v>5621</v>
      </c>
      <c r="P1129" t="s">
        <v>39</v>
      </c>
      <c r="Q1129" t="s">
        <v>5622</v>
      </c>
      <c r="R1129" t="s">
        <v>5623</v>
      </c>
      <c r="S1129" t="s">
        <v>135</v>
      </c>
      <c r="T1129" t="s">
        <v>1030</v>
      </c>
      <c r="U1129" t="s">
        <v>56</v>
      </c>
      <c r="V1129" t="s">
        <v>129</v>
      </c>
    </row>
    <row r="1130" spans="1:22" x14ac:dyDescent="0.35">
      <c r="A1130" t="s">
        <v>5625</v>
      </c>
      <c r="B1130" t="s">
        <v>5626</v>
      </c>
      <c r="C1130" t="s">
        <v>44</v>
      </c>
      <c r="D1130" t="s">
        <v>29</v>
      </c>
      <c r="E1130" t="s">
        <v>60</v>
      </c>
      <c r="F1130" t="s">
        <v>34</v>
      </c>
      <c r="G1130" t="s">
        <v>34</v>
      </c>
      <c r="H1130" t="s">
        <v>35</v>
      </c>
      <c r="I1130" t="s">
        <v>46</v>
      </c>
      <c r="K1130" t="s">
        <v>3528</v>
      </c>
      <c r="L1130" t="s">
        <v>48</v>
      </c>
      <c r="M1130" t="s">
        <v>48</v>
      </c>
      <c r="N1130" t="s">
        <v>40</v>
      </c>
      <c r="O1130" t="s">
        <v>5627</v>
      </c>
      <c r="P1130" t="s">
        <v>49</v>
      </c>
      <c r="Q1130" t="s">
        <v>5628</v>
      </c>
      <c r="R1130" t="s">
        <v>5629</v>
      </c>
      <c r="S1130" t="s">
        <v>65</v>
      </c>
      <c r="T1130" t="s">
        <v>109</v>
      </c>
      <c r="U1130">
        <v>0</v>
      </c>
      <c r="V1130" t="s">
        <v>91</v>
      </c>
    </row>
    <row r="1131" spans="1:22" x14ac:dyDescent="0.35">
      <c r="A1131" t="s">
        <v>5631</v>
      </c>
      <c r="B1131" t="s">
        <v>5584</v>
      </c>
      <c r="C1131" t="s">
        <v>377</v>
      </c>
      <c r="D1131" t="s">
        <v>197</v>
      </c>
      <c r="E1131" t="s">
        <v>73</v>
      </c>
      <c r="F1131" t="s">
        <v>196</v>
      </c>
      <c r="G1131" t="s">
        <v>28</v>
      </c>
      <c r="H1131" t="s">
        <v>94</v>
      </c>
      <c r="I1131" t="s">
        <v>36</v>
      </c>
      <c r="K1131" t="s">
        <v>5632</v>
      </c>
      <c r="L1131" t="s">
        <v>40</v>
      </c>
      <c r="M1131" t="s">
        <v>49</v>
      </c>
      <c r="N1131" t="s">
        <v>48</v>
      </c>
      <c r="O1131" t="s">
        <v>5633</v>
      </c>
      <c r="P1131" t="s">
        <v>49</v>
      </c>
      <c r="Q1131" t="s">
        <v>5634</v>
      </c>
      <c r="R1131" t="s">
        <v>5635</v>
      </c>
      <c r="S1131" t="s">
        <v>79</v>
      </c>
      <c r="T1131" t="s">
        <v>109</v>
      </c>
      <c r="U1131" t="s">
        <v>56</v>
      </c>
      <c r="V1131" t="s">
        <v>129</v>
      </c>
    </row>
    <row r="1132" spans="1:22" x14ac:dyDescent="0.35">
      <c r="A1132" t="s">
        <v>5637</v>
      </c>
      <c r="B1132" t="s">
        <v>5638</v>
      </c>
      <c r="C1132" t="s">
        <v>449</v>
      </c>
      <c r="D1132" t="s">
        <v>196</v>
      </c>
      <c r="E1132" t="s">
        <v>157</v>
      </c>
      <c r="F1132" t="s">
        <v>196</v>
      </c>
      <c r="G1132" t="s">
        <v>45</v>
      </c>
      <c r="H1132" t="s">
        <v>35</v>
      </c>
      <c r="I1132" t="s">
        <v>46</v>
      </c>
      <c r="K1132" t="s">
        <v>5639</v>
      </c>
      <c r="L1132" t="s">
        <v>48</v>
      </c>
      <c r="M1132" t="s">
        <v>49</v>
      </c>
      <c r="N1132" t="s">
        <v>49</v>
      </c>
      <c r="O1132" t="s">
        <v>5640</v>
      </c>
      <c r="P1132" t="s">
        <v>49</v>
      </c>
      <c r="Q1132" t="s">
        <v>5641</v>
      </c>
      <c r="R1132" t="s">
        <v>5642</v>
      </c>
      <c r="S1132" t="s">
        <v>65</v>
      </c>
      <c r="T1132" t="s">
        <v>5644</v>
      </c>
      <c r="U1132">
        <v>0</v>
      </c>
      <c r="V1132" t="s">
        <v>91</v>
      </c>
    </row>
    <row r="1133" spans="1:22" x14ac:dyDescent="0.35">
      <c r="A1133" t="s">
        <v>5645</v>
      </c>
      <c r="B1133" t="s">
        <v>5584</v>
      </c>
      <c r="C1133" t="s">
        <v>449</v>
      </c>
      <c r="D1133" t="s">
        <v>44</v>
      </c>
      <c r="E1133" t="s">
        <v>60</v>
      </c>
      <c r="F1133" t="s">
        <v>30</v>
      </c>
      <c r="G1133" t="s">
        <v>28</v>
      </c>
      <c r="H1133" t="s">
        <v>368</v>
      </c>
      <c r="I1133" t="s">
        <v>36</v>
      </c>
      <c r="K1133" t="s">
        <v>198</v>
      </c>
      <c r="L1133" t="s">
        <v>49</v>
      </c>
      <c r="M1133" t="s">
        <v>48</v>
      </c>
      <c r="N1133" t="s">
        <v>48</v>
      </c>
      <c r="O1133" t="s">
        <v>5646</v>
      </c>
      <c r="P1133" t="s">
        <v>49</v>
      </c>
      <c r="Q1133" t="s">
        <v>5647</v>
      </c>
      <c r="R1133" t="s">
        <v>5648</v>
      </c>
      <c r="S1133" t="s">
        <v>87</v>
      </c>
      <c r="T1133" t="s">
        <v>1030</v>
      </c>
      <c r="U1133" t="s">
        <v>56</v>
      </c>
      <c r="V1133" t="s">
        <v>129</v>
      </c>
    </row>
    <row r="1134" spans="1:22" x14ac:dyDescent="0.35">
      <c r="A1134" t="s">
        <v>5650</v>
      </c>
      <c r="B1134" t="s">
        <v>5596</v>
      </c>
      <c r="C1134" t="s">
        <v>44</v>
      </c>
      <c r="D1134" t="s">
        <v>29</v>
      </c>
      <c r="E1134" t="s">
        <v>29</v>
      </c>
      <c r="F1134" t="s">
        <v>34</v>
      </c>
      <c r="G1134" t="s">
        <v>368</v>
      </c>
      <c r="H1134" t="s">
        <v>368</v>
      </c>
      <c r="I1134" t="s">
        <v>46</v>
      </c>
      <c r="K1134" t="s">
        <v>4974</v>
      </c>
      <c r="L1134" t="s">
        <v>48</v>
      </c>
      <c r="M1134" t="s">
        <v>49</v>
      </c>
      <c r="N1134" t="s">
        <v>49</v>
      </c>
      <c r="O1134" t="s">
        <v>5651</v>
      </c>
      <c r="P1134" t="s">
        <v>48</v>
      </c>
      <c r="Q1134" t="s">
        <v>5652</v>
      </c>
      <c r="R1134" t="s">
        <v>5653</v>
      </c>
      <c r="S1134" t="s">
        <v>79</v>
      </c>
      <c r="T1134" t="s">
        <v>1030</v>
      </c>
      <c r="U1134">
        <v>0</v>
      </c>
      <c r="V1134" t="s">
        <v>129</v>
      </c>
    </row>
    <row r="1135" spans="1:22" x14ac:dyDescent="0.35">
      <c r="A1135" t="s">
        <v>5655</v>
      </c>
      <c r="B1135" t="s">
        <v>5656</v>
      </c>
      <c r="C1135" t="s">
        <v>44</v>
      </c>
      <c r="D1135" t="s">
        <v>196</v>
      </c>
      <c r="E1135" t="s">
        <v>206</v>
      </c>
      <c r="F1135" t="s">
        <v>196</v>
      </c>
      <c r="G1135" t="s">
        <v>30</v>
      </c>
      <c r="H1135" t="s">
        <v>45</v>
      </c>
      <c r="I1135" t="s">
        <v>46</v>
      </c>
      <c r="K1135" t="s">
        <v>5657</v>
      </c>
      <c r="L1135" t="s">
        <v>48</v>
      </c>
      <c r="M1135" t="s">
        <v>48</v>
      </c>
      <c r="N1135" t="s">
        <v>49</v>
      </c>
      <c r="O1135" t="s">
        <v>5658</v>
      </c>
      <c r="P1135" t="s">
        <v>48</v>
      </c>
      <c r="Q1135" t="s">
        <v>5659</v>
      </c>
      <c r="R1135" t="s">
        <v>5660</v>
      </c>
      <c r="S1135" t="s">
        <v>87</v>
      </c>
      <c r="T1135" t="s">
        <v>118</v>
      </c>
      <c r="U1135">
        <v>0</v>
      </c>
      <c r="V1135" t="s">
        <v>170</v>
      </c>
    </row>
    <row r="1136" spans="1:22" x14ac:dyDescent="0.35">
      <c r="A1136" t="s">
        <v>5662</v>
      </c>
      <c r="B1136" t="s">
        <v>5584</v>
      </c>
      <c r="C1136" t="s">
        <v>377</v>
      </c>
      <c r="D1136" t="s">
        <v>28</v>
      </c>
      <c r="E1136" t="s">
        <v>60</v>
      </c>
      <c r="F1136" t="s">
        <v>196</v>
      </c>
      <c r="G1136" t="s">
        <v>73</v>
      </c>
      <c r="H1136" t="s">
        <v>368</v>
      </c>
      <c r="I1136" t="s">
        <v>36</v>
      </c>
      <c r="K1136" t="s">
        <v>534</v>
      </c>
      <c r="L1136" t="s">
        <v>49</v>
      </c>
      <c r="M1136" t="s">
        <v>48</v>
      </c>
      <c r="N1136" t="s">
        <v>38</v>
      </c>
      <c r="O1136" t="s">
        <v>5663</v>
      </c>
      <c r="P1136" t="s">
        <v>48</v>
      </c>
      <c r="Q1136" t="s">
        <v>5664</v>
      </c>
      <c r="R1136" t="s">
        <v>5665</v>
      </c>
      <c r="S1136" t="s">
        <v>87</v>
      </c>
      <c r="T1136" t="s">
        <v>1030</v>
      </c>
      <c r="U1136" t="s">
        <v>56</v>
      </c>
      <c r="V1136" t="s">
        <v>129</v>
      </c>
    </row>
    <row r="1137" spans="1:22" x14ac:dyDescent="0.35">
      <c r="A1137" t="s">
        <v>5667</v>
      </c>
      <c r="B1137" t="s">
        <v>5668</v>
      </c>
      <c r="C1137" t="s">
        <v>344</v>
      </c>
      <c r="D1137" t="s">
        <v>72</v>
      </c>
      <c r="E1137" t="s">
        <v>284</v>
      </c>
      <c r="F1137" t="s">
        <v>158</v>
      </c>
      <c r="G1137" t="s">
        <v>28</v>
      </c>
      <c r="H1137" t="s">
        <v>94</v>
      </c>
      <c r="I1137" t="s">
        <v>46</v>
      </c>
      <c r="K1137" t="s">
        <v>5669</v>
      </c>
      <c r="L1137" t="s">
        <v>49</v>
      </c>
      <c r="M1137" t="s">
        <v>48</v>
      </c>
      <c r="N1137" t="s">
        <v>49</v>
      </c>
      <c r="O1137" t="s">
        <v>5670</v>
      </c>
      <c r="P1137" t="s">
        <v>48</v>
      </c>
      <c r="Q1137" t="s">
        <v>5671</v>
      </c>
      <c r="R1137" t="s">
        <v>5672</v>
      </c>
      <c r="S1137" t="s">
        <v>79</v>
      </c>
      <c r="T1137" t="s">
        <v>5674</v>
      </c>
      <c r="U1137">
        <v>0</v>
      </c>
      <c r="V1137" t="s">
        <v>91</v>
      </c>
    </row>
    <row r="1138" spans="1:22" x14ac:dyDescent="0.35">
      <c r="A1138" t="s">
        <v>5675</v>
      </c>
      <c r="B1138" t="s">
        <v>5626</v>
      </c>
      <c r="C1138" t="s">
        <v>71</v>
      </c>
      <c r="D1138" t="s">
        <v>196</v>
      </c>
      <c r="E1138" t="s">
        <v>28</v>
      </c>
      <c r="F1138" t="s">
        <v>158</v>
      </c>
      <c r="G1138" t="s">
        <v>30</v>
      </c>
      <c r="H1138" t="s">
        <v>292</v>
      </c>
      <c r="I1138" t="s">
        <v>46</v>
      </c>
      <c r="K1138" t="s">
        <v>5676</v>
      </c>
      <c r="L1138" t="s">
        <v>48</v>
      </c>
      <c r="M1138" t="s">
        <v>49</v>
      </c>
      <c r="N1138" t="s">
        <v>49</v>
      </c>
      <c r="O1138" t="s">
        <v>5677</v>
      </c>
      <c r="P1138" t="s">
        <v>48</v>
      </c>
      <c r="Q1138" t="s">
        <v>5678</v>
      </c>
      <c r="R1138" t="s">
        <v>5679</v>
      </c>
      <c r="S1138" t="s">
        <v>79</v>
      </c>
      <c r="T1138" t="s">
        <v>118</v>
      </c>
      <c r="U1138" t="s">
        <v>56</v>
      </c>
      <c r="V1138" t="s">
        <v>129</v>
      </c>
    </row>
    <row r="1139" spans="1:22" x14ac:dyDescent="0.35">
      <c r="A1139" t="s">
        <v>5681</v>
      </c>
      <c r="B1139" t="s">
        <v>5682</v>
      </c>
      <c r="C1139" t="s">
        <v>449</v>
      </c>
      <c r="D1139" t="s">
        <v>196</v>
      </c>
      <c r="E1139" t="s">
        <v>28</v>
      </c>
      <c r="F1139" t="s">
        <v>197</v>
      </c>
      <c r="G1139" t="s">
        <v>173</v>
      </c>
      <c r="H1139" t="s">
        <v>74</v>
      </c>
      <c r="I1139" t="s">
        <v>36</v>
      </c>
      <c r="K1139" t="s">
        <v>5683</v>
      </c>
      <c r="L1139" t="s">
        <v>49</v>
      </c>
      <c r="M1139" t="s">
        <v>40</v>
      </c>
      <c r="N1139" t="s">
        <v>48</v>
      </c>
      <c r="O1139" t="s">
        <v>5684</v>
      </c>
      <c r="P1139" t="s">
        <v>49</v>
      </c>
      <c r="Q1139" t="s">
        <v>5685</v>
      </c>
      <c r="R1139" t="s">
        <v>5686</v>
      </c>
      <c r="S1139" t="s">
        <v>135</v>
      </c>
      <c r="T1139" t="s">
        <v>118</v>
      </c>
      <c r="U1139">
        <v>0</v>
      </c>
      <c r="V1139" t="s">
        <v>91</v>
      </c>
    </row>
    <row r="1140" spans="1:22" x14ac:dyDescent="0.35">
      <c r="A1140" t="s">
        <v>5688</v>
      </c>
      <c r="B1140" t="s">
        <v>5689</v>
      </c>
      <c r="C1140" t="s">
        <v>449</v>
      </c>
      <c r="D1140" t="s">
        <v>44</v>
      </c>
      <c r="E1140" t="s">
        <v>73</v>
      </c>
      <c r="F1140" t="s">
        <v>173</v>
      </c>
      <c r="G1140" t="s">
        <v>94</v>
      </c>
      <c r="H1140" t="s">
        <v>61</v>
      </c>
      <c r="I1140" t="s">
        <v>46</v>
      </c>
      <c r="K1140" t="s">
        <v>4936</v>
      </c>
      <c r="L1140" t="s">
        <v>49</v>
      </c>
      <c r="M1140" t="s">
        <v>48</v>
      </c>
      <c r="N1140" t="s">
        <v>49</v>
      </c>
      <c r="O1140" t="s">
        <v>5690</v>
      </c>
      <c r="P1140" t="s">
        <v>48</v>
      </c>
      <c r="Q1140" t="s">
        <v>5691</v>
      </c>
      <c r="R1140" t="s">
        <v>5692</v>
      </c>
      <c r="S1140" t="s">
        <v>87</v>
      </c>
      <c r="T1140" t="s">
        <v>5694</v>
      </c>
      <c r="U1140">
        <v>0</v>
      </c>
      <c r="V1140" t="s">
        <v>170</v>
      </c>
    </row>
    <row r="1141" spans="1:22" x14ac:dyDescent="0.35">
      <c r="A1141" t="s">
        <v>5695</v>
      </c>
      <c r="B1141" t="s">
        <v>5696</v>
      </c>
      <c r="C1141" t="s">
        <v>344</v>
      </c>
      <c r="D1141" t="s">
        <v>197</v>
      </c>
      <c r="E1141" t="s">
        <v>284</v>
      </c>
      <c r="F1141" t="s">
        <v>28</v>
      </c>
      <c r="G1141" t="s">
        <v>73</v>
      </c>
      <c r="H1141" t="s">
        <v>73</v>
      </c>
      <c r="I1141" t="s">
        <v>36</v>
      </c>
      <c r="K1141" t="s">
        <v>442</v>
      </c>
      <c r="L1141" t="s">
        <v>48</v>
      </c>
      <c r="M1141" t="s">
        <v>38</v>
      </c>
      <c r="N1141" t="s">
        <v>49</v>
      </c>
      <c r="O1141" t="s">
        <v>5697</v>
      </c>
      <c r="P1141" t="s">
        <v>48</v>
      </c>
      <c r="Q1141" t="s">
        <v>5698</v>
      </c>
      <c r="R1141" t="s">
        <v>5699</v>
      </c>
      <c r="S1141" t="s">
        <v>65</v>
      </c>
      <c r="T1141" t="s">
        <v>603</v>
      </c>
      <c r="U1141" t="s">
        <v>56</v>
      </c>
      <c r="V1141" t="s">
        <v>57</v>
      </c>
    </row>
    <row r="1142" spans="1:22" x14ac:dyDescent="0.35">
      <c r="A1142" t="s">
        <v>5701</v>
      </c>
      <c r="B1142" t="s">
        <v>5702</v>
      </c>
      <c r="C1142" t="s">
        <v>449</v>
      </c>
      <c r="D1142" t="s">
        <v>197</v>
      </c>
      <c r="E1142" t="s">
        <v>73</v>
      </c>
      <c r="F1142" t="s">
        <v>158</v>
      </c>
      <c r="G1142" t="s">
        <v>28</v>
      </c>
      <c r="H1142" t="s">
        <v>368</v>
      </c>
      <c r="I1142" t="s">
        <v>46</v>
      </c>
      <c r="K1142" t="s">
        <v>5147</v>
      </c>
      <c r="L1142" t="s">
        <v>48</v>
      </c>
      <c r="M1142" t="s">
        <v>48</v>
      </c>
      <c r="N1142" t="s">
        <v>48</v>
      </c>
      <c r="O1142" t="s">
        <v>5703</v>
      </c>
      <c r="P1142" t="s">
        <v>49</v>
      </c>
      <c r="Q1142" t="s">
        <v>5704</v>
      </c>
      <c r="R1142" t="s">
        <v>5705</v>
      </c>
      <c r="S1142" t="s">
        <v>53</v>
      </c>
      <c r="T1142" t="s">
        <v>118</v>
      </c>
      <c r="U1142">
        <v>0</v>
      </c>
      <c r="V1142" t="s">
        <v>91</v>
      </c>
    </row>
    <row r="1143" spans="1:22" x14ac:dyDescent="0.35">
      <c r="A1143" t="s">
        <v>5707</v>
      </c>
      <c r="B1143" t="s">
        <v>5656</v>
      </c>
      <c r="C1143" t="s">
        <v>60</v>
      </c>
      <c r="D1143" t="s">
        <v>158</v>
      </c>
      <c r="E1143" t="s">
        <v>33</v>
      </c>
      <c r="F1143" t="s">
        <v>197</v>
      </c>
      <c r="G1143" t="s">
        <v>94</v>
      </c>
      <c r="H1143" t="s">
        <v>292</v>
      </c>
      <c r="I1143" t="s">
        <v>46</v>
      </c>
      <c r="K1143" t="s">
        <v>5708</v>
      </c>
      <c r="L1143" t="s">
        <v>49</v>
      </c>
      <c r="M1143" t="s">
        <v>48</v>
      </c>
      <c r="N1143" t="s">
        <v>49</v>
      </c>
      <c r="O1143" t="s">
        <v>5709</v>
      </c>
      <c r="P1143" t="s">
        <v>48</v>
      </c>
      <c r="Q1143" t="s">
        <v>5710</v>
      </c>
      <c r="R1143" t="s">
        <v>5711</v>
      </c>
      <c r="S1143" t="s">
        <v>87</v>
      </c>
      <c r="T1143" t="s">
        <v>118</v>
      </c>
      <c r="U1143">
        <v>0</v>
      </c>
      <c r="V1143" t="s">
        <v>91</v>
      </c>
    </row>
    <row r="1144" spans="1:22" x14ac:dyDescent="0.35">
      <c r="A1144" t="s">
        <v>5713</v>
      </c>
      <c r="B1144" t="s">
        <v>5590</v>
      </c>
      <c r="C1144" t="s">
        <v>377</v>
      </c>
      <c r="D1144" t="s">
        <v>60</v>
      </c>
      <c r="E1144" t="s">
        <v>284</v>
      </c>
      <c r="F1144" t="s">
        <v>196</v>
      </c>
      <c r="G1144" t="s">
        <v>94</v>
      </c>
      <c r="H1144" t="s">
        <v>94</v>
      </c>
      <c r="I1144" t="s">
        <v>36</v>
      </c>
      <c r="K1144" t="s">
        <v>5714</v>
      </c>
      <c r="L1144" t="s">
        <v>49</v>
      </c>
      <c r="M1144" t="s">
        <v>48</v>
      </c>
      <c r="N1144" t="s">
        <v>48</v>
      </c>
      <c r="O1144" t="s">
        <v>5715</v>
      </c>
      <c r="P1144" t="s">
        <v>48</v>
      </c>
      <c r="Q1144" t="s">
        <v>5716</v>
      </c>
      <c r="R1144" t="s">
        <v>5717</v>
      </c>
      <c r="S1144" t="s">
        <v>53</v>
      </c>
      <c r="T1144" t="s">
        <v>118</v>
      </c>
      <c r="U1144" t="s">
        <v>56</v>
      </c>
      <c r="V1144" t="s">
        <v>91</v>
      </c>
    </row>
    <row r="1145" spans="1:22" x14ac:dyDescent="0.35">
      <c r="A1145" t="s">
        <v>5719</v>
      </c>
      <c r="B1145" t="s">
        <v>5720</v>
      </c>
      <c r="C1145" t="s">
        <v>344</v>
      </c>
      <c r="D1145" t="s">
        <v>197</v>
      </c>
      <c r="E1145" t="s">
        <v>28</v>
      </c>
      <c r="F1145" t="s">
        <v>158</v>
      </c>
      <c r="G1145" t="s">
        <v>73</v>
      </c>
      <c r="H1145" t="s">
        <v>35</v>
      </c>
      <c r="I1145" t="s">
        <v>36</v>
      </c>
      <c r="K1145" t="s">
        <v>5721</v>
      </c>
      <c r="L1145" t="s">
        <v>49</v>
      </c>
      <c r="M1145" t="s">
        <v>49</v>
      </c>
      <c r="N1145" t="s">
        <v>49</v>
      </c>
      <c r="O1145" t="s">
        <v>5722</v>
      </c>
      <c r="P1145" t="s">
        <v>48</v>
      </c>
      <c r="Q1145" t="s">
        <v>5723</v>
      </c>
      <c r="R1145" t="s">
        <v>5724</v>
      </c>
      <c r="S1145" t="s">
        <v>53</v>
      </c>
      <c r="T1145" t="s">
        <v>89</v>
      </c>
      <c r="U1145" t="s">
        <v>56</v>
      </c>
      <c r="V1145" t="s">
        <v>91</v>
      </c>
    </row>
    <row r="1146" spans="1:22" x14ac:dyDescent="0.35">
      <c r="A1146" t="s">
        <v>5726</v>
      </c>
      <c r="B1146" t="s">
        <v>5727</v>
      </c>
      <c r="C1146" t="s">
        <v>28</v>
      </c>
      <c r="D1146" t="s">
        <v>158</v>
      </c>
      <c r="E1146" t="s">
        <v>284</v>
      </c>
      <c r="F1146" t="s">
        <v>197</v>
      </c>
      <c r="G1146" t="s">
        <v>94</v>
      </c>
      <c r="H1146" t="s">
        <v>368</v>
      </c>
      <c r="I1146" t="s">
        <v>36</v>
      </c>
      <c r="K1146" t="s">
        <v>3585</v>
      </c>
      <c r="L1146" t="s">
        <v>49</v>
      </c>
      <c r="M1146" t="s">
        <v>49</v>
      </c>
      <c r="N1146" t="s">
        <v>49</v>
      </c>
      <c r="O1146" t="s">
        <v>5728</v>
      </c>
      <c r="P1146" t="s">
        <v>48</v>
      </c>
      <c r="Q1146" t="s">
        <v>5729</v>
      </c>
      <c r="R1146" t="s">
        <v>5730</v>
      </c>
      <c r="S1146" t="s">
        <v>65</v>
      </c>
      <c r="T1146" t="s">
        <v>81</v>
      </c>
      <c r="U1146">
        <v>0</v>
      </c>
      <c r="V1146" t="s">
        <v>129</v>
      </c>
    </row>
    <row r="1147" spans="1:22" x14ac:dyDescent="0.35">
      <c r="A1147" t="s">
        <v>5732</v>
      </c>
      <c r="B1147" t="s">
        <v>5702</v>
      </c>
      <c r="C1147" t="s">
        <v>71</v>
      </c>
      <c r="D1147" t="s">
        <v>158</v>
      </c>
      <c r="E1147" t="s">
        <v>28</v>
      </c>
      <c r="F1147" t="s">
        <v>158</v>
      </c>
      <c r="G1147" t="s">
        <v>173</v>
      </c>
      <c r="H1147" t="s">
        <v>368</v>
      </c>
      <c r="I1147" t="s">
        <v>36</v>
      </c>
      <c r="K1147" t="s">
        <v>37</v>
      </c>
      <c r="L1147" t="s">
        <v>49</v>
      </c>
      <c r="M1147" t="s">
        <v>49</v>
      </c>
      <c r="N1147" t="s">
        <v>49</v>
      </c>
      <c r="O1147" t="s">
        <v>5733</v>
      </c>
      <c r="P1147" t="s">
        <v>48</v>
      </c>
      <c r="Q1147" t="s">
        <v>5734</v>
      </c>
      <c r="R1147" t="s">
        <v>5735</v>
      </c>
      <c r="S1147" t="s">
        <v>87</v>
      </c>
      <c r="T1147" t="s">
        <v>109</v>
      </c>
      <c r="U1147" t="s">
        <v>56</v>
      </c>
      <c r="V1147" t="s">
        <v>129</v>
      </c>
    </row>
    <row r="1148" spans="1:22" x14ac:dyDescent="0.35">
      <c r="A1148" t="s">
        <v>5737</v>
      </c>
      <c r="B1148" t="s">
        <v>5738</v>
      </c>
      <c r="C1148" t="s">
        <v>71</v>
      </c>
      <c r="D1148" t="s">
        <v>197</v>
      </c>
      <c r="E1148" t="s">
        <v>157</v>
      </c>
      <c r="F1148" t="s">
        <v>28</v>
      </c>
      <c r="G1148" t="s">
        <v>103</v>
      </c>
      <c r="H1148" t="s">
        <v>74</v>
      </c>
      <c r="I1148" t="s">
        <v>36</v>
      </c>
      <c r="K1148" t="s">
        <v>1207</v>
      </c>
      <c r="L1148" t="s">
        <v>48</v>
      </c>
      <c r="M1148" t="s">
        <v>49</v>
      </c>
      <c r="N1148" t="s">
        <v>49</v>
      </c>
      <c r="O1148" t="s">
        <v>5739</v>
      </c>
      <c r="P1148" t="s">
        <v>48</v>
      </c>
      <c r="Q1148" t="s">
        <v>5740</v>
      </c>
      <c r="R1148" t="s">
        <v>5741</v>
      </c>
      <c r="S1148" t="s">
        <v>65</v>
      </c>
      <c r="T1148" t="s">
        <v>1046</v>
      </c>
      <c r="U1148">
        <v>0</v>
      </c>
      <c r="V1148" t="s">
        <v>129</v>
      </c>
    </row>
    <row r="1149" spans="1:22" x14ac:dyDescent="0.35">
      <c r="A1149" t="s">
        <v>5743</v>
      </c>
      <c r="B1149" t="s">
        <v>5744</v>
      </c>
      <c r="C1149" t="s">
        <v>377</v>
      </c>
      <c r="D1149" t="s">
        <v>196</v>
      </c>
      <c r="E1149" t="s">
        <v>284</v>
      </c>
      <c r="F1149" t="s">
        <v>173</v>
      </c>
      <c r="G1149" t="s">
        <v>173</v>
      </c>
      <c r="H1149" t="s">
        <v>368</v>
      </c>
      <c r="I1149" t="s">
        <v>46</v>
      </c>
      <c r="K1149" t="s">
        <v>1390</v>
      </c>
      <c r="L1149" t="s">
        <v>40</v>
      </c>
      <c r="M1149" t="s">
        <v>48</v>
      </c>
      <c r="N1149" t="s">
        <v>48</v>
      </c>
      <c r="O1149" t="s">
        <v>5745</v>
      </c>
      <c r="P1149" t="s">
        <v>49</v>
      </c>
      <c r="Q1149" t="s">
        <v>5746</v>
      </c>
      <c r="R1149" t="s">
        <v>5747</v>
      </c>
      <c r="S1149" t="s">
        <v>79</v>
      </c>
      <c r="T1149" t="s">
        <v>2246</v>
      </c>
      <c r="U1149" t="s">
        <v>56</v>
      </c>
      <c r="V1149" t="s">
        <v>91</v>
      </c>
    </row>
    <row r="1150" spans="1:22" x14ac:dyDescent="0.35">
      <c r="A1150" t="s">
        <v>5749</v>
      </c>
      <c r="B1150" t="s">
        <v>5584</v>
      </c>
      <c r="C1150" t="s">
        <v>344</v>
      </c>
      <c r="D1150" t="s">
        <v>60</v>
      </c>
      <c r="E1150" t="s">
        <v>44</v>
      </c>
      <c r="F1150" t="s">
        <v>30</v>
      </c>
      <c r="G1150" t="s">
        <v>368</v>
      </c>
      <c r="H1150" t="s">
        <v>74</v>
      </c>
      <c r="I1150" t="s">
        <v>36</v>
      </c>
      <c r="K1150" t="s">
        <v>3209</v>
      </c>
      <c r="L1150" t="s">
        <v>49</v>
      </c>
      <c r="M1150" t="s">
        <v>48</v>
      </c>
      <c r="N1150" t="s">
        <v>49</v>
      </c>
      <c r="O1150" t="s">
        <v>5750</v>
      </c>
      <c r="P1150" t="s">
        <v>48</v>
      </c>
      <c r="Q1150" t="s">
        <v>5751</v>
      </c>
      <c r="R1150" t="s">
        <v>5752</v>
      </c>
      <c r="S1150" t="s">
        <v>135</v>
      </c>
      <c r="T1150" t="s">
        <v>1030</v>
      </c>
      <c r="U1150" t="s">
        <v>56</v>
      </c>
      <c r="V1150" t="s">
        <v>170</v>
      </c>
    </row>
    <row r="1151" spans="1:22" x14ac:dyDescent="0.35">
      <c r="A1151" t="s">
        <v>5754</v>
      </c>
      <c r="B1151" t="s">
        <v>5755</v>
      </c>
      <c r="C1151" t="s">
        <v>344</v>
      </c>
      <c r="D1151" t="s">
        <v>196</v>
      </c>
      <c r="E1151" t="s">
        <v>284</v>
      </c>
      <c r="F1151" t="s">
        <v>30</v>
      </c>
      <c r="G1151" t="s">
        <v>173</v>
      </c>
      <c r="H1151" t="s">
        <v>74</v>
      </c>
      <c r="I1151" t="s">
        <v>36</v>
      </c>
      <c r="K1151" t="s">
        <v>5756</v>
      </c>
      <c r="L1151" t="s">
        <v>49</v>
      </c>
      <c r="M1151" t="s">
        <v>48</v>
      </c>
      <c r="N1151" t="s">
        <v>49</v>
      </c>
      <c r="O1151" t="s">
        <v>5757</v>
      </c>
      <c r="P1151" t="s">
        <v>48</v>
      </c>
      <c r="Q1151" t="s">
        <v>5758</v>
      </c>
      <c r="R1151" t="s">
        <v>5759</v>
      </c>
      <c r="S1151" t="s">
        <v>135</v>
      </c>
      <c r="T1151" t="s">
        <v>118</v>
      </c>
      <c r="U1151">
        <v>0</v>
      </c>
      <c r="V1151" t="s">
        <v>91</v>
      </c>
    </row>
    <row r="1152" spans="1:22" x14ac:dyDescent="0.35">
      <c r="A1152" t="s">
        <v>5761</v>
      </c>
      <c r="B1152" t="s">
        <v>5727</v>
      </c>
      <c r="C1152" t="s">
        <v>71</v>
      </c>
      <c r="D1152" t="s">
        <v>197</v>
      </c>
      <c r="E1152" t="s">
        <v>157</v>
      </c>
      <c r="F1152" t="s">
        <v>103</v>
      </c>
      <c r="G1152" t="s">
        <v>28</v>
      </c>
      <c r="H1152" t="s">
        <v>61</v>
      </c>
      <c r="I1152" t="s">
        <v>36</v>
      </c>
      <c r="K1152" t="s">
        <v>5762</v>
      </c>
      <c r="L1152" t="s">
        <v>48</v>
      </c>
      <c r="M1152" t="s">
        <v>49</v>
      </c>
      <c r="N1152" t="s">
        <v>48</v>
      </c>
      <c r="O1152" t="s">
        <v>5763</v>
      </c>
      <c r="P1152" t="s">
        <v>49</v>
      </c>
      <c r="Q1152" t="s">
        <v>5764</v>
      </c>
      <c r="R1152" t="s">
        <v>5765</v>
      </c>
      <c r="S1152" t="s">
        <v>65</v>
      </c>
      <c r="T1152" t="s">
        <v>5619</v>
      </c>
      <c r="U1152" t="s">
        <v>56</v>
      </c>
      <c r="V1152" t="s">
        <v>129</v>
      </c>
    </row>
    <row r="1153" spans="1:22" x14ac:dyDescent="0.35">
      <c r="A1153" t="s">
        <v>5767</v>
      </c>
      <c r="B1153" t="s">
        <v>5738</v>
      </c>
      <c r="C1153" t="s">
        <v>71</v>
      </c>
      <c r="D1153" t="s">
        <v>196</v>
      </c>
      <c r="E1153" t="s">
        <v>60</v>
      </c>
      <c r="F1153" t="s">
        <v>197</v>
      </c>
      <c r="G1153" t="s">
        <v>94</v>
      </c>
      <c r="H1153" t="s">
        <v>94</v>
      </c>
      <c r="I1153" t="s">
        <v>36</v>
      </c>
      <c r="K1153" t="s">
        <v>555</v>
      </c>
      <c r="L1153" t="s">
        <v>48</v>
      </c>
      <c r="M1153" t="s">
        <v>48</v>
      </c>
      <c r="N1153" t="s">
        <v>48</v>
      </c>
      <c r="O1153" t="s">
        <v>5768</v>
      </c>
      <c r="P1153" t="s">
        <v>48</v>
      </c>
      <c r="Q1153" t="s">
        <v>5769</v>
      </c>
      <c r="R1153" t="s">
        <v>5770</v>
      </c>
      <c r="S1153" t="s">
        <v>65</v>
      </c>
      <c r="T1153" t="s">
        <v>1030</v>
      </c>
      <c r="U1153" t="s">
        <v>56</v>
      </c>
      <c r="V1153" t="s">
        <v>129</v>
      </c>
    </row>
    <row r="1154" spans="1:22" x14ac:dyDescent="0.35">
      <c r="A1154" t="s">
        <v>5772</v>
      </c>
      <c r="B1154" t="s">
        <v>5656</v>
      </c>
      <c r="C1154" t="s">
        <v>344</v>
      </c>
      <c r="D1154" t="s">
        <v>196</v>
      </c>
      <c r="E1154" t="s">
        <v>157</v>
      </c>
      <c r="F1154" t="s">
        <v>30</v>
      </c>
      <c r="G1154" t="s">
        <v>28</v>
      </c>
      <c r="H1154" t="s">
        <v>45</v>
      </c>
      <c r="I1154" t="s">
        <v>46</v>
      </c>
      <c r="K1154" t="s">
        <v>4980</v>
      </c>
      <c r="L1154" t="s">
        <v>49</v>
      </c>
      <c r="M1154" t="s">
        <v>48</v>
      </c>
      <c r="N1154" t="s">
        <v>48</v>
      </c>
      <c r="O1154" t="s">
        <v>5773</v>
      </c>
      <c r="P1154" t="s">
        <v>49</v>
      </c>
      <c r="Q1154" t="s">
        <v>5774</v>
      </c>
      <c r="R1154" t="s">
        <v>5775</v>
      </c>
      <c r="S1154" t="s">
        <v>79</v>
      </c>
      <c r="T1154" t="s">
        <v>118</v>
      </c>
      <c r="U1154">
        <v>0</v>
      </c>
      <c r="V1154" t="s">
        <v>91</v>
      </c>
    </row>
    <row r="1155" spans="1:22" x14ac:dyDescent="0.35">
      <c r="A1155" t="s">
        <v>5777</v>
      </c>
      <c r="B1155" t="s">
        <v>5778</v>
      </c>
      <c r="C1155" t="s">
        <v>344</v>
      </c>
      <c r="D1155" t="s">
        <v>72</v>
      </c>
      <c r="E1155" t="s">
        <v>157</v>
      </c>
      <c r="F1155" t="s">
        <v>28</v>
      </c>
      <c r="G1155" t="s">
        <v>103</v>
      </c>
      <c r="H1155" t="s">
        <v>368</v>
      </c>
      <c r="I1155" t="s">
        <v>46</v>
      </c>
      <c r="K1155" t="s">
        <v>4814</v>
      </c>
      <c r="L1155" t="s">
        <v>49</v>
      </c>
      <c r="M1155" t="s">
        <v>48</v>
      </c>
      <c r="N1155" t="s">
        <v>48</v>
      </c>
      <c r="O1155" t="s">
        <v>5779</v>
      </c>
      <c r="P1155" t="s">
        <v>48</v>
      </c>
      <c r="Q1155" t="s">
        <v>5780</v>
      </c>
      <c r="R1155" t="s">
        <v>5781</v>
      </c>
      <c r="S1155" t="s">
        <v>65</v>
      </c>
      <c r="T1155" t="s">
        <v>1030</v>
      </c>
      <c r="U1155" t="s">
        <v>56</v>
      </c>
      <c r="V1155" t="s">
        <v>91</v>
      </c>
    </row>
    <row r="1156" spans="1:22" x14ac:dyDescent="0.35">
      <c r="A1156" t="s">
        <v>5783</v>
      </c>
      <c r="B1156" t="s">
        <v>5784</v>
      </c>
      <c r="C1156" t="s">
        <v>344</v>
      </c>
      <c r="D1156" t="s">
        <v>197</v>
      </c>
      <c r="E1156" t="s">
        <v>60</v>
      </c>
      <c r="F1156" t="s">
        <v>158</v>
      </c>
      <c r="G1156" t="s">
        <v>30</v>
      </c>
      <c r="H1156" t="s">
        <v>74</v>
      </c>
      <c r="I1156" t="s">
        <v>46</v>
      </c>
      <c r="K1156" t="s">
        <v>95</v>
      </c>
      <c r="L1156" t="s">
        <v>48</v>
      </c>
      <c r="M1156" t="s">
        <v>48</v>
      </c>
      <c r="N1156" t="s">
        <v>48</v>
      </c>
      <c r="O1156" t="s">
        <v>5785</v>
      </c>
      <c r="P1156" t="s">
        <v>48</v>
      </c>
      <c r="Q1156" t="s">
        <v>5786</v>
      </c>
      <c r="R1156" t="s">
        <v>5787</v>
      </c>
      <c r="S1156" t="s">
        <v>79</v>
      </c>
      <c r="T1156" t="s">
        <v>100</v>
      </c>
      <c r="U1156">
        <v>0</v>
      </c>
      <c r="V1156" t="s">
        <v>129</v>
      </c>
    </row>
    <row r="1157" spans="1:22" x14ac:dyDescent="0.35">
      <c r="A1157" t="s">
        <v>5789</v>
      </c>
      <c r="B1157" t="s">
        <v>5790</v>
      </c>
      <c r="C1157" t="s">
        <v>449</v>
      </c>
      <c r="D1157" t="s">
        <v>196</v>
      </c>
      <c r="E1157" t="s">
        <v>284</v>
      </c>
      <c r="F1157" t="s">
        <v>30</v>
      </c>
      <c r="G1157" t="s">
        <v>28</v>
      </c>
      <c r="H1157" t="s">
        <v>368</v>
      </c>
      <c r="I1157" t="s">
        <v>46</v>
      </c>
      <c r="K1157" t="s">
        <v>5791</v>
      </c>
      <c r="L1157" t="s">
        <v>49</v>
      </c>
      <c r="M1157" t="s">
        <v>48</v>
      </c>
      <c r="N1157" t="s">
        <v>48</v>
      </c>
      <c r="O1157" t="s">
        <v>5792</v>
      </c>
      <c r="P1157" t="s">
        <v>48</v>
      </c>
      <c r="Q1157" t="s">
        <v>5793</v>
      </c>
      <c r="R1157" t="s">
        <v>5794</v>
      </c>
      <c r="S1157" t="s">
        <v>53</v>
      </c>
      <c r="T1157" t="s">
        <v>118</v>
      </c>
      <c r="U1157" t="s">
        <v>56</v>
      </c>
      <c r="V1157" t="s">
        <v>91</v>
      </c>
    </row>
    <row r="1158" spans="1:22" x14ac:dyDescent="0.35">
      <c r="A1158" t="s">
        <v>5796</v>
      </c>
      <c r="B1158" t="s">
        <v>5702</v>
      </c>
      <c r="C1158" t="s">
        <v>344</v>
      </c>
      <c r="D1158" t="s">
        <v>72</v>
      </c>
      <c r="E1158" t="s">
        <v>60</v>
      </c>
      <c r="F1158" t="s">
        <v>158</v>
      </c>
      <c r="G1158" t="s">
        <v>173</v>
      </c>
      <c r="H1158" t="s">
        <v>45</v>
      </c>
      <c r="I1158" t="s">
        <v>36</v>
      </c>
      <c r="K1158" t="s">
        <v>1395</v>
      </c>
      <c r="L1158" t="s">
        <v>49</v>
      </c>
      <c r="M1158" t="s">
        <v>48</v>
      </c>
      <c r="N1158" t="s">
        <v>49</v>
      </c>
      <c r="O1158" t="s">
        <v>5797</v>
      </c>
      <c r="P1158" t="s">
        <v>48</v>
      </c>
      <c r="Q1158" t="s">
        <v>5798</v>
      </c>
      <c r="R1158" t="s">
        <v>5799</v>
      </c>
      <c r="S1158" t="s">
        <v>65</v>
      </c>
      <c r="T1158" t="s">
        <v>2246</v>
      </c>
      <c r="U1158" t="s">
        <v>56</v>
      </c>
      <c r="V1158" t="s">
        <v>57</v>
      </c>
    </row>
    <row r="1159" spans="1:22" x14ac:dyDescent="0.35">
      <c r="A1159" t="s">
        <v>5801</v>
      </c>
      <c r="B1159" t="s">
        <v>5778</v>
      </c>
      <c r="C1159" t="s">
        <v>344</v>
      </c>
      <c r="D1159" t="s">
        <v>72</v>
      </c>
      <c r="E1159" t="s">
        <v>284</v>
      </c>
      <c r="F1159" t="s">
        <v>173</v>
      </c>
      <c r="G1159" t="s">
        <v>45</v>
      </c>
      <c r="H1159" t="s">
        <v>74</v>
      </c>
      <c r="I1159" t="s">
        <v>46</v>
      </c>
      <c r="K1159" t="s">
        <v>1381</v>
      </c>
      <c r="L1159" t="s">
        <v>38</v>
      </c>
      <c r="M1159" t="s">
        <v>49</v>
      </c>
      <c r="N1159" t="s">
        <v>48</v>
      </c>
      <c r="O1159" t="s">
        <v>5802</v>
      </c>
      <c r="P1159" t="s">
        <v>49</v>
      </c>
      <c r="Q1159" t="s">
        <v>5803</v>
      </c>
      <c r="R1159" t="s">
        <v>5804</v>
      </c>
      <c r="S1159" t="s">
        <v>53</v>
      </c>
      <c r="T1159" t="s">
        <v>2246</v>
      </c>
      <c r="U1159">
        <v>0</v>
      </c>
      <c r="V1159" t="s">
        <v>91</v>
      </c>
    </row>
    <row r="1160" spans="1:22" x14ac:dyDescent="0.35">
      <c r="A1160" t="s">
        <v>5806</v>
      </c>
      <c r="B1160" t="s">
        <v>5590</v>
      </c>
      <c r="C1160" t="s">
        <v>344</v>
      </c>
      <c r="D1160" t="s">
        <v>197</v>
      </c>
      <c r="E1160" t="s">
        <v>157</v>
      </c>
      <c r="F1160" t="s">
        <v>34</v>
      </c>
      <c r="G1160" t="s">
        <v>173</v>
      </c>
      <c r="H1160" t="s">
        <v>61</v>
      </c>
      <c r="I1160" t="s">
        <v>36</v>
      </c>
      <c r="K1160" t="s">
        <v>1521</v>
      </c>
      <c r="L1160" t="s">
        <v>49</v>
      </c>
      <c r="M1160" t="s">
        <v>48</v>
      </c>
      <c r="N1160" t="s">
        <v>48</v>
      </c>
      <c r="O1160" t="s">
        <v>5807</v>
      </c>
      <c r="P1160" t="s">
        <v>49</v>
      </c>
      <c r="Q1160" t="s">
        <v>5808</v>
      </c>
      <c r="R1160" t="s">
        <v>5809</v>
      </c>
      <c r="S1160" t="s">
        <v>79</v>
      </c>
      <c r="T1160" t="s">
        <v>1525</v>
      </c>
      <c r="U1160" t="s">
        <v>56</v>
      </c>
      <c r="V1160" t="s">
        <v>91</v>
      </c>
    </row>
    <row r="1161" spans="1:22" x14ac:dyDescent="0.35">
      <c r="A1161" t="s">
        <v>5811</v>
      </c>
      <c r="B1161" t="s">
        <v>5689</v>
      </c>
      <c r="C1161" t="s">
        <v>449</v>
      </c>
      <c r="D1161" t="s">
        <v>158</v>
      </c>
      <c r="E1161" t="s">
        <v>206</v>
      </c>
      <c r="F1161" t="s">
        <v>197</v>
      </c>
      <c r="G1161" t="s">
        <v>94</v>
      </c>
      <c r="H1161" t="s">
        <v>292</v>
      </c>
      <c r="I1161" t="s">
        <v>46</v>
      </c>
      <c r="K1161" t="s">
        <v>4855</v>
      </c>
      <c r="L1161" t="s">
        <v>49</v>
      </c>
      <c r="M1161" t="s">
        <v>48</v>
      </c>
      <c r="N1161" t="s">
        <v>48</v>
      </c>
      <c r="O1161" t="s">
        <v>5812</v>
      </c>
      <c r="P1161" t="s">
        <v>49</v>
      </c>
      <c r="Q1161" t="s">
        <v>5813</v>
      </c>
      <c r="R1161" t="s">
        <v>5814</v>
      </c>
      <c r="S1161" t="s">
        <v>79</v>
      </c>
      <c r="T1161" t="s">
        <v>1030</v>
      </c>
      <c r="U1161">
        <v>0</v>
      </c>
      <c r="V1161" t="s">
        <v>91</v>
      </c>
    </row>
    <row r="1162" spans="1:22" x14ac:dyDescent="0.35">
      <c r="A1162" t="s">
        <v>5816</v>
      </c>
      <c r="B1162" t="s">
        <v>5638</v>
      </c>
      <c r="C1162" t="s">
        <v>29</v>
      </c>
      <c r="D1162" t="s">
        <v>60</v>
      </c>
      <c r="E1162" t="s">
        <v>44</v>
      </c>
      <c r="F1162" t="s">
        <v>196</v>
      </c>
      <c r="G1162" t="s">
        <v>94</v>
      </c>
      <c r="H1162" t="s">
        <v>368</v>
      </c>
      <c r="I1162" t="s">
        <v>46</v>
      </c>
      <c r="K1162" t="s">
        <v>5817</v>
      </c>
      <c r="L1162" t="s">
        <v>49</v>
      </c>
      <c r="M1162" t="s">
        <v>48</v>
      </c>
      <c r="N1162" t="s">
        <v>49</v>
      </c>
      <c r="O1162" t="s">
        <v>5818</v>
      </c>
      <c r="P1162" t="s">
        <v>48</v>
      </c>
      <c r="Q1162" t="s">
        <v>5819</v>
      </c>
      <c r="R1162" t="s">
        <v>5820</v>
      </c>
      <c r="S1162" t="s">
        <v>65</v>
      </c>
      <c r="T1162" t="s">
        <v>5822</v>
      </c>
      <c r="U1162" t="s">
        <v>56</v>
      </c>
      <c r="V1162" t="s">
        <v>129</v>
      </c>
    </row>
    <row r="1163" spans="1:22" x14ac:dyDescent="0.35">
      <c r="A1163" t="s">
        <v>5823</v>
      </c>
      <c r="B1163" t="s">
        <v>5738</v>
      </c>
      <c r="C1163" t="s">
        <v>449</v>
      </c>
      <c r="D1163" t="s">
        <v>197</v>
      </c>
      <c r="E1163" t="s">
        <v>284</v>
      </c>
      <c r="F1163" t="s">
        <v>197</v>
      </c>
      <c r="G1163" t="s">
        <v>30</v>
      </c>
      <c r="H1163" t="s">
        <v>35</v>
      </c>
      <c r="I1163" t="s">
        <v>36</v>
      </c>
      <c r="K1163" t="s">
        <v>1718</v>
      </c>
      <c r="L1163" t="s">
        <v>49</v>
      </c>
      <c r="M1163" t="s">
        <v>48</v>
      </c>
      <c r="N1163" t="s">
        <v>49</v>
      </c>
      <c r="O1163" t="s">
        <v>5824</v>
      </c>
      <c r="P1163" t="s">
        <v>48</v>
      </c>
      <c r="Q1163" t="s">
        <v>5825</v>
      </c>
      <c r="R1163" t="s">
        <v>5826</v>
      </c>
      <c r="S1163" t="s">
        <v>65</v>
      </c>
      <c r="T1163" t="s">
        <v>1722</v>
      </c>
      <c r="U1163">
        <v>0</v>
      </c>
      <c r="V1163" t="s">
        <v>57</v>
      </c>
    </row>
    <row r="1164" spans="1:22" x14ac:dyDescent="0.35">
      <c r="A1164" t="s">
        <v>5828</v>
      </c>
      <c r="B1164" t="s">
        <v>5668</v>
      </c>
      <c r="C1164" t="s">
        <v>71</v>
      </c>
      <c r="D1164" t="s">
        <v>72</v>
      </c>
      <c r="E1164" t="s">
        <v>28</v>
      </c>
      <c r="F1164" t="s">
        <v>28</v>
      </c>
      <c r="G1164" t="s">
        <v>173</v>
      </c>
      <c r="H1164" t="s">
        <v>28</v>
      </c>
      <c r="I1164" t="s">
        <v>46</v>
      </c>
      <c r="K1164" t="s">
        <v>5829</v>
      </c>
      <c r="L1164" t="s">
        <v>49</v>
      </c>
      <c r="M1164" t="s">
        <v>49</v>
      </c>
      <c r="N1164" t="s">
        <v>49</v>
      </c>
      <c r="O1164" t="s">
        <v>5830</v>
      </c>
      <c r="P1164" t="s">
        <v>48</v>
      </c>
      <c r="Q1164" t="s">
        <v>5831</v>
      </c>
      <c r="R1164" t="s">
        <v>5832</v>
      </c>
      <c r="S1164" t="s">
        <v>87</v>
      </c>
      <c r="T1164" t="s">
        <v>118</v>
      </c>
      <c r="U1164">
        <v>0</v>
      </c>
      <c r="V1164" t="s">
        <v>170</v>
      </c>
    </row>
    <row r="1165" spans="1:22" x14ac:dyDescent="0.35">
      <c r="A1165" t="s">
        <v>5834</v>
      </c>
      <c r="B1165" t="s">
        <v>5727</v>
      </c>
      <c r="C1165" t="s">
        <v>71</v>
      </c>
      <c r="D1165" t="s">
        <v>197</v>
      </c>
      <c r="E1165" t="s">
        <v>60</v>
      </c>
      <c r="F1165" t="s">
        <v>196</v>
      </c>
      <c r="G1165" t="s">
        <v>173</v>
      </c>
      <c r="H1165" t="s">
        <v>74</v>
      </c>
      <c r="I1165" t="s">
        <v>36</v>
      </c>
      <c r="K1165" t="s">
        <v>5835</v>
      </c>
      <c r="L1165" t="s">
        <v>48</v>
      </c>
      <c r="M1165" t="s">
        <v>49</v>
      </c>
      <c r="N1165" t="s">
        <v>48</v>
      </c>
      <c r="O1165" t="s">
        <v>5836</v>
      </c>
      <c r="P1165" t="s">
        <v>49</v>
      </c>
      <c r="Q1165" t="s">
        <v>5837</v>
      </c>
      <c r="R1165" t="s">
        <v>5838</v>
      </c>
      <c r="S1165" t="s">
        <v>65</v>
      </c>
      <c r="T1165" t="s">
        <v>89</v>
      </c>
      <c r="U1165" t="s">
        <v>56</v>
      </c>
      <c r="V1165" t="s">
        <v>129</v>
      </c>
    </row>
    <row r="1166" spans="1:22" x14ac:dyDescent="0.35">
      <c r="A1166" t="s">
        <v>5840</v>
      </c>
      <c r="B1166" t="s">
        <v>5682</v>
      </c>
      <c r="C1166" t="s">
        <v>449</v>
      </c>
      <c r="D1166" t="s">
        <v>197</v>
      </c>
      <c r="E1166" t="s">
        <v>157</v>
      </c>
      <c r="F1166" t="s">
        <v>103</v>
      </c>
      <c r="G1166" t="s">
        <v>30</v>
      </c>
      <c r="H1166" t="s">
        <v>94</v>
      </c>
      <c r="I1166" t="s">
        <v>36</v>
      </c>
      <c r="K1166" t="s">
        <v>5841</v>
      </c>
      <c r="L1166" t="s">
        <v>49</v>
      </c>
      <c r="M1166" t="s">
        <v>48</v>
      </c>
      <c r="N1166" t="s">
        <v>49</v>
      </c>
      <c r="O1166" t="s">
        <v>5842</v>
      </c>
      <c r="P1166" t="s">
        <v>48</v>
      </c>
      <c r="Q1166" t="s">
        <v>5843</v>
      </c>
      <c r="R1166" t="s">
        <v>5844</v>
      </c>
      <c r="S1166" t="s">
        <v>79</v>
      </c>
      <c r="T1166" t="s">
        <v>118</v>
      </c>
      <c r="U1166">
        <v>0</v>
      </c>
      <c r="V1166" t="s">
        <v>91</v>
      </c>
    </row>
    <row r="1167" spans="1:22" x14ac:dyDescent="0.35">
      <c r="A1167" t="s">
        <v>5846</v>
      </c>
      <c r="B1167" t="s">
        <v>5638</v>
      </c>
      <c r="C1167" t="s">
        <v>377</v>
      </c>
      <c r="D1167" t="s">
        <v>197</v>
      </c>
      <c r="E1167" t="s">
        <v>60</v>
      </c>
      <c r="F1167" t="s">
        <v>158</v>
      </c>
      <c r="G1167" t="s">
        <v>30</v>
      </c>
      <c r="H1167" t="s">
        <v>74</v>
      </c>
      <c r="I1167" t="s">
        <v>46</v>
      </c>
      <c r="K1167" t="s">
        <v>5847</v>
      </c>
      <c r="L1167" t="s">
        <v>48</v>
      </c>
      <c r="M1167" t="s">
        <v>49</v>
      </c>
      <c r="N1167" t="s">
        <v>48</v>
      </c>
      <c r="O1167" t="s">
        <v>5848</v>
      </c>
      <c r="P1167" t="s">
        <v>49</v>
      </c>
      <c r="Q1167" t="s">
        <v>5849</v>
      </c>
      <c r="R1167" t="s">
        <v>5850</v>
      </c>
      <c r="S1167" t="s">
        <v>65</v>
      </c>
      <c r="T1167" t="s">
        <v>89</v>
      </c>
      <c r="U1167" t="s">
        <v>56</v>
      </c>
      <c r="V1167" t="s">
        <v>129</v>
      </c>
    </row>
    <row r="1168" spans="1:22" x14ac:dyDescent="0.35">
      <c r="A1168" t="s">
        <v>5852</v>
      </c>
      <c r="B1168" t="s">
        <v>5656</v>
      </c>
      <c r="C1168" t="s">
        <v>449</v>
      </c>
      <c r="D1168" t="s">
        <v>44</v>
      </c>
      <c r="E1168" t="s">
        <v>28</v>
      </c>
      <c r="F1168" t="s">
        <v>34</v>
      </c>
      <c r="G1168" t="s">
        <v>173</v>
      </c>
      <c r="H1168" t="s">
        <v>292</v>
      </c>
      <c r="I1168" t="s">
        <v>46</v>
      </c>
      <c r="K1168" t="s">
        <v>5853</v>
      </c>
      <c r="L1168" t="s">
        <v>49</v>
      </c>
      <c r="M1168" t="s">
        <v>49</v>
      </c>
      <c r="N1168" t="s">
        <v>48</v>
      </c>
      <c r="O1168" t="s">
        <v>5854</v>
      </c>
      <c r="P1168" t="s">
        <v>49</v>
      </c>
      <c r="Q1168" t="s">
        <v>5855</v>
      </c>
      <c r="R1168" t="s">
        <v>5856</v>
      </c>
      <c r="S1168" t="s">
        <v>135</v>
      </c>
      <c r="T1168" t="s">
        <v>89</v>
      </c>
      <c r="U1168">
        <v>0</v>
      </c>
      <c r="V1168" t="s">
        <v>91</v>
      </c>
    </row>
    <row r="1169" spans="1:22" x14ac:dyDescent="0.35">
      <c r="A1169" t="s">
        <v>5858</v>
      </c>
      <c r="B1169" t="s">
        <v>5720</v>
      </c>
      <c r="C1169" t="s">
        <v>449</v>
      </c>
      <c r="D1169" t="s">
        <v>72</v>
      </c>
      <c r="E1169" t="s">
        <v>157</v>
      </c>
      <c r="F1169" t="s">
        <v>103</v>
      </c>
      <c r="G1169" t="s">
        <v>30</v>
      </c>
      <c r="H1169" t="s">
        <v>368</v>
      </c>
      <c r="I1169" t="s">
        <v>36</v>
      </c>
      <c r="K1169" t="s">
        <v>5859</v>
      </c>
      <c r="L1169" t="s">
        <v>49</v>
      </c>
      <c r="M1169" t="s">
        <v>38</v>
      </c>
      <c r="N1169" t="s">
        <v>49</v>
      </c>
      <c r="O1169" t="s">
        <v>5860</v>
      </c>
      <c r="P1169" t="s">
        <v>48</v>
      </c>
      <c r="Q1169" t="s">
        <v>5861</v>
      </c>
      <c r="R1169" t="s">
        <v>5862</v>
      </c>
      <c r="S1169" t="s">
        <v>53</v>
      </c>
      <c r="T1169" t="s">
        <v>5864</v>
      </c>
      <c r="U1169" t="s">
        <v>56</v>
      </c>
      <c r="V1169" t="s">
        <v>91</v>
      </c>
    </row>
    <row r="1170" spans="1:22" x14ac:dyDescent="0.35">
      <c r="A1170" t="s">
        <v>5865</v>
      </c>
      <c r="B1170" t="s">
        <v>5727</v>
      </c>
      <c r="C1170" t="s">
        <v>44</v>
      </c>
      <c r="D1170" t="s">
        <v>196</v>
      </c>
      <c r="E1170" t="s">
        <v>206</v>
      </c>
      <c r="F1170" t="s">
        <v>196</v>
      </c>
      <c r="G1170" t="s">
        <v>73</v>
      </c>
      <c r="H1170" t="s">
        <v>368</v>
      </c>
      <c r="I1170" t="s">
        <v>46</v>
      </c>
      <c r="K1170" t="s">
        <v>304</v>
      </c>
      <c r="L1170" t="s">
        <v>49</v>
      </c>
      <c r="M1170" t="s">
        <v>48</v>
      </c>
      <c r="N1170" t="s">
        <v>38</v>
      </c>
      <c r="O1170" t="s">
        <v>5866</v>
      </c>
      <c r="P1170" t="s">
        <v>48</v>
      </c>
      <c r="Q1170" t="s">
        <v>5867</v>
      </c>
      <c r="R1170" t="s">
        <v>5868</v>
      </c>
      <c r="S1170" t="s">
        <v>65</v>
      </c>
      <c r="T1170" t="s">
        <v>109</v>
      </c>
      <c r="U1170">
        <v>0</v>
      </c>
      <c r="V1170" t="s">
        <v>129</v>
      </c>
    </row>
    <row r="1171" spans="1:22" x14ac:dyDescent="0.35">
      <c r="A1171" t="s">
        <v>5870</v>
      </c>
      <c r="B1171" t="s">
        <v>5871</v>
      </c>
      <c r="C1171" t="s">
        <v>33</v>
      </c>
      <c r="D1171" t="s">
        <v>29</v>
      </c>
      <c r="E1171" t="s">
        <v>29</v>
      </c>
      <c r="F1171" t="s">
        <v>30</v>
      </c>
      <c r="G1171" t="s">
        <v>30</v>
      </c>
      <c r="H1171" t="s">
        <v>61</v>
      </c>
      <c r="I1171" t="s">
        <v>36</v>
      </c>
      <c r="K1171" t="s">
        <v>442</v>
      </c>
      <c r="L1171" t="s">
        <v>49</v>
      </c>
      <c r="M1171" t="s">
        <v>48</v>
      </c>
      <c r="N1171" t="s">
        <v>49</v>
      </c>
      <c r="O1171" t="s">
        <v>5872</v>
      </c>
      <c r="P1171" t="s">
        <v>48</v>
      </c>
      <c r="Q1171" t="s">
        <v>5873</v>
      </c>
      <c r="R1171" t="s">
        <v>5874</v>
      </c>
      <c r="S1171" t="s">
        <v>87</v>
      </c>
      <c r="T1171" t="s">
        <v>603</v>
      </c>
      <c r="U1171" t="s">
        <v>5876</v>
      </c>
      <c r="V1171" t="s">
        <v>91</v>
      </c>
    </row>
    <row r="1172" spans="1:22" x14ac:dyDescent="0.35">
      <c r="A1172" t="s">
        <v>5877</v>
      </c>
      <c r="B1172" t="s">
        <v>5878</v>
      </c>
      <c r="C1172" t="s">
        <v>33</v>
      </c>
      <c r="D1172" t="s">
        <v>33</v>
      </c>
      <c r="E1172" t="s">
        <v>33</v>
      </c>
      <c r="F1172" t="s">
        <v>34</v>
      </c>
      <c r="G1172" t="s">
        <v>34</v>
      </c>
      <c r="H1172" t="s">
        <v>74</v>
      </c>
      <c r="I1172" t="s">
        <v>46</v>
      </c>
      <c r="K1172" t="s">
        <v>5545</v>
      </c>
      <c r="L1172" t="s">
        <v>48</v>
      </c>
      <c r="M1172" t="s">
        <v>48</v>
      </c>
      <c r="N1172" t="s">
        <v>49</v>
      </c>
      <c r="O1172" t="s">
        <v>5879</v>
      </c>
      <c r="P1172" t="s">
        <v>48</v>
      </c>
      <c r="Q1172" t="s">
        <v>5880</v>
      </c>
      <c r="R1172" t="s">
        <v>5881</v>
      </c>
      <c r="S1172" t="s">
        <v>65</v>
      </c>
      <c r="T1172" t="s">
        <v>2077</v>
      </c>
      <c r="U1172" t="s">
        <v>5883</v>
      </c>
      <c r="V1172" t="s">
        <v>129</v>
      </c>
    </row>
    <row r="1173" spans="1:22" x14ac:dyDescent="0.35">
      <c r="A1173" t="s">
        <v>5884</v>
      </c>
      <c r="B1173" t="s">
        <v>5885</v>
      </c>
      <c r="C1173" t="s">
        <v>33</v>
      </c>
      <c r="D1173" t="s">
        <v>29</v>
      </c>
      <c r="E1173" t="s">
        <v>29</v>
      </c>
      <c r="F1173" t="s">
        <v>34</v>
      </c>
      <c r="G1173" t="s">
        <v>103</v>
      </c>
      <c r="H1173" t="s">
        <v>61</v>
      </c>
      <c r="I1173" t="s">
        <v>46</v>
      </c>
      <c r="K1173" t="s">
        <v>5886</v>
      </c>
      <c r="L1173" t="s">
        <v>48</v>
      </c>
      <c r="M1173" t="s">
        <v>48</v>
      </c>
      <c r="N1173" t="s">
        <v>49</v>
      </c>
      <c r="O1173" t="s">
        <v>5887</v>
      </c>
      <c r="P1173" t="s">
        <v>49</v>
      </c>
      <c r="Q1173" t="s">
        <v>5888</v>
      </c>
      <c r="R1173" t="s">
        <v>5889</v>
      </c>
      <c r="S1173" t="s">
        <v>53</v>
      </c>
      <c r="T1173" t="s">
        <v>5891</v>
      </c>
      <c r="U1173" t="s">
        <v>5892</v>
      </c>
      <c r="V1173" t="s">
        <v>129</v>
      </c>
    </row>
    <row r="1174" spans="1:22" x14ac:dyDescent="0.35">
      <c r="A1174" t="s">
        <v>5893</v>
      </c>
      <c r="B1174" t="s">
        <v>5894</v>
      </c>
      <c r="C1174" t="s">
        <v>33</v>
      </c>
      <c r="D1174" t="s">
        <v>33</v>
      </c>
      <c r="E1174" t="s">
        <v>29</v>
      </c>
      <c r="F1174" t="s">
        <v>34</v>
      </c>
      <c r="G1174" t="s">
        <v>34</v>
      </c>
      <c r="H1174" t="s">
        <v>292</v>
      </c>
      <c r="I1174" t="s">
        <v>46</v>
      </c>
      <c r="K1174" t="s">
        <v>5895</v>
      </c>
      <c r="L1174" t="s">
        <v>49</v>
      </c>
      <c r="M1174" t="s">
        <v>48</v>
      </c>
      <c r="N1174" t="s">
        <v>48</v>
      </c>
      <c r="O1174" t="s">
        <v>5896</v>
      </c>
      <c r="P1174" t="s">
        <v>49</v>
      </c>
      <c r="Q1174" t="s">
        <v>5897</v>
      </c>
      <c r="R1174" t="s">
        <v>5898</v>
      </c>
      <c r="S1174" t="s">
        <v>65</v>
      </c>
      <c r="T1174" t="s">
        <v>81</v>
      </c>
      <c r="U1174" t="s">
        <v>5900</v>
      </c>
      <c r="V1174" t="s">
        <v>129</v>
      </c>
    </row>
    <row r="1175" spans="1:22" x14ac:dyDescent="0.35">
      <c r="A1175" t="s">
        <v>5901</v>
      </c>
      <c r="B1175" t="s">
        <v>5266</v>
      </c>
      <c r="C1175" t="s">
        <v>33</v>
      </c>
      <c r="D1175" t="s">
        <v>33</v>
      </c>
      <c r="E1175" t="s">
        <v>29</v>
      </c>
      <c r="F1175" t="s">
        <v>30</v>
      </c>
      <c r="G1175" t="s">
        <v>103</v>
      </c>
      <c r="H1175" t="s">
        <v>61</v>
      </c>
      <c r="I1175" t="s">
        <v>36</v>
      </c>
      <c r="K1175" t="s">
        <v>5902</v>
      </c>
      <c r="L1175" t="s">
        <v>49</v>
      </c>
      <c r="M1175" t="s">
        <v>48</v>
      </c>
      <c r="N1175" t="s">
        <v>48</v>
      </c>
      <c r="O1175" t="s">
        <v>5903</v>
      </c>
      <c r="P1175" t="s">
        <v>38</v>
      </c>
      <c r="Q1175" t="s">
        <v>5904</v>
      </c>
      <c r="R1175" t="s">
        <v>5905</v>
      </c>
      <c r="S1175" t="s">
        <v>53</v>
      </c>
      <c r="T1175" t="s">
        <v>2077</v>
      </c>
      <c r="U1175" t="s">
        <v>5907</v>
      </c>
      <c r="V1175" t="s">
        <v>129</v>
      </c>
    </row>
    <row r="1176" spans="1:22" x14ac:dyDescent="0.35">
      <c r="A1176" t="s">
        <v>5908</v>
      </c>
      <c r="B1176" t="s">
        <v>5286</v>
      </c>
      <c r="C1176" t="s">
        <v>44</v>
      </c>
      <c r="D1176" t="s">
        <v>33</v>
      </c>
      <c r="E1176" t="s">
        <v>33</v>
      </c>
      <c r="F1176" t="s">
        <v>30</v>
      </c>
      <c r="G1176" t="s">
        <v>30</v>
      </c>
      <c r="H1176" t="s">
        <v>35</v>
      </c>
      <c r="I1176" t="s">
        <v>46</v>
      </c>
      <c r="K1176" t="s">
        <v>5909</v>
      </c>
      <c r="L1176" t="s">
        <v>49</v>
      </c>
      <c r="M1176" t="s">
        <v>49</v>
      </c>
      <c r="N1176" t="s">
        <v>48</v>
      </c>
      <c r="O1176" t="s">
        <v>5910</v>
      </c>
      <c r="P1176" t="s">
        <v>48</v>
      </c>
      <c r="Q1176" t="s">
        <v>5911</v>
      </c>
      <c r="R1176" t="s">
        <v>5912</v>
      </c>
      <c r="S1176" t="s">
        <v>87</v>
      </c>
      <c r="T1176" t="s">
        <v>100</v>
      </c>
      <c r="U1176" t="s">
        <v>5914</v>
      </c>
      <c r="V1176" t="s">
        <v>129</v>
      </c>
    </row>
    <row r="1177" spans="1:22" x14ac:dyDescent="0.35">
      <c r="A1177" t="s">
        <v>5915</v>
      </c>
      <c r="B1177" t="s">
        <v>5916</v>
      </c>
      <c r="C1177" t="s">
        <v>60</v>
      </c>
      <c r="D1177" t="s">
        <v>33</v>
      </c>
      <c r="E1177" t="s">
        <v>33</v>
      </c>
      <c r="F1177" t="s">
        <v>34</v>
      </c>
      <c r="G1177" t="s">
        <v>34</v>
      </c>
      <c r="H1177" t="s">
        <v>74</v>
      </c>
      <c r="I1177" t="s">
        <v>36</v>
      </c>
      <c r="K1177" t="s">
        <v>375</v>
      </c>
      <c r="L1177" t="s">
        <v>48</v>
      </c>
      <c r="M1177" t="s">
        <v>48</v>
      </c>
      <c r="N1177" t="s">
        <v>48</v>
      </c>
      <c r="O1177" t="s">
        <v>5917</v>
      </c>
      <c r="P1177" t="s">
        <v>48</v>
      </c>
      <c r="Q1177" t="s">
        <v>5918</v>
      </c>
      <c r="R1177" t="s">
        <v>5919</v>
      </c>
      <c r="S1177" t="s">
        <v>65</v>
      </c>
      <c r="T1177" t="s">
        <v>81</v>
      </c>
      <c r="U1177" t="s">
        <v>5921</v>
      </c>
      <c r="V1177" t="s">
        <v>91</v>
      </c>
    </row>
    <row r="1178" spans="1:22" x14ac:dyDescent="0.35">
      <c r="A1178" t="s">
        <v>5922</v>
      </c>
      <c r="B1178" t="s">
        <v>5923</v>
      </c>
      <c r="C1178" t="s">
        <v>33</v>
      </c>
      <c r="D1178" t="s">
        <v>33</v>
      </c>
      <c r="E1178" t="s">
        <v>33</v>
      </c>
      <c r="F1178" t="s">
        <v>34</v>
      </c>
      <c r="G1178" t="s">
        <v>30</v>
      </c>
      <c r="H1178" t="s">
        <v>35</v>
      </c>
      <c r="I1178" t="s">
        <v>46</v>
      </c>
      <c r="K1178" t="s">
        <v>605</v>
      </c>
      <c r="L1178" t="s">
        <v>49</v>
      </c>
      <c r="M1178" t="s">
        <v>48</v>
      </c>
      <c r="N1178" t="s">
        <v>48</v>
      </c>
      <c r="O1178" t="s">
        <v>5924</v>
      </c>
      <c r="P1178" t="s">
        <v>48</v>
      </c>
      <c r="Q1178" t="s">
        <v>5925</v>
      </c>
      <c r="R1178" t="s">
        <v>5926</v>
      </c>
      <c r="S1178" t="s">
        <v>87</v>
      </c>
      <c r="T1178" t="s">
        <v>603</v>
      </c>
      <c r="U1178" t="s">
        <v>5928</v>
      </c>
      <c r="V1178" t="s">
        <v>57</v>
      </c>
    </row>
    <row r="1179" spans="1:22" x14ac:dyDescent="0.35">
      <c r="A1179" t="s">
        <v>5929</v>
      </c>
      <c r="B1179" t="s">
        <v>172</v>
      </c>
      <c r="C1179" t="s">
        <v>33</v>
      </c>
      <c r="D1179" t="s">
        <v>33</v>
      </c>
      <c r="E1179" t="s">
        <v>33</v>
      </c>
      <c r="F1179" t="s">
        <v>30</v>
      </c>
      <c r="G1179" t="s">
        <v>34</v>
      </c>
      <c r="H1179" t="s">
        <v>74</v>
      </c>
      <c r="I1179" t="s">
        <v>46</v>
      </c>
      <c r="K1179" t="s">
        <v>5886</v>
      </c>
      <c r="L1179" t="s">
        <v>48</v>
      </c>
      <c r="M1179" t="s">
        <v>49</v>
      </c>
      <c r="N1179" t="s">
        <v>48</v>
      </c>
      <c r="O1179" t="s">
        <v>5930</v>
      </c>
      <c r="P1179" t="s">
        <v>49</v>
      </c>
      <c r="Q1179" t="s">
        <v>5931</v>
      </c>
      <c r="R1179" t="s">
        <v>5932</v>
      </c>
      <c r="S1179" t="s">
        <v>135</v>
      </c>
      <c r="T1179" t="s">
        <v>100</v>
      </c>
      <c r="U1179" t="s">
        <v>5934</v>
      </c>
      <c r="V1179" t="s">
        <v>91</v>
      </c>
    </row>
    <row r="1180" spans="1:22" x14ac:dyDescent="0.35">
      <c r="A1180" t="s">
        <v>5935</v>
      </c>
      <c r="B1180" t="s">
        <v>5435</v>
      </c>
      <c r="C1180" t="s">
        <v>33</v>
      </c>
      <c r="D1180" t="s">
        <v>29</v>
      </c>
      <c r="E1180" t="s">
        <v>29</v>
      </c>
      <c r="F1180" t="s">
        <v>34</v>
      </c>
      <c r="G1180" t="s">
        <v>34</v>
      </c>
      <c r="H1180" t="s">
        <v>61</v>
      </c>
      <c r="I1180" t="s">
        <v>36</v>
      </c>
      <c r="K1180" t="s">
        <v>5936</v>
      </c>
      <c r="L1180" t="s">
        <v>49</v>
      </c>
      <c r="M1180" t="s">
        <v>48</v>
      </c>
      <c r="N1180" t="s">
        <v>48</v>
      </c>
      <c r="O1180" t="s">
        <v>5937</v>
      </c>
      <c r="P1180" t="s">
        <v>49</v>
      </c>
      <c r="Q1180" t="s">
        <v>5938</v>
      </c>
      <c r="R1180" t="s">
        <v>5939</v>
      </c>
      <c r="S1180" t="s">
        <v>87</v>
      </c>
      <c r="T1180" t="s">
        <v>603</v>
      </c>
      <c r="U1180" t="s">
        <v>5941</v>
      </c>
      <c r="V1180" t="s">
        <v>129</v>
      </c>
    </row>
    <row r="1181" spans="1:22" x14ac:dyDescent="0.35">
      <c r="A1181" t="s">
        <v>5942</v>
      </c>
      <c r="B1181" t="s">
        <v>205</v>
      </c>
      <c r="C1181" t="s">
        <v>33</v>
      </c>
      <c r="D1181" t="s">
        <v>29</v>
      </c>
      <c r="E1181" t="s">
        <v>29</v>
      </c>
      <c r="F1181" t="s">
        <v>30</v>
      </c>
      <c r="G1181" t="s">
        <v>173</v>
      </c>
      <c r="H1181" t="s">
        <v>292</v>
      </c>
      <c r="I1181" t="s">
        <v>36</v>
      </c>
      <c r="K1181" t="s">
        <v>5943</v>
      </c>
      <c r="L1181" t="s">
        <v>48</v>
      </c>
      <c r="M1181" t="s">
        <v>48</v>
      </c>
      <c r="N1181" t="s">
        <v>48</v>
      </c>
      <c r="O1181" t="s">
        <v>5944</v>
      </c>
      <c r="P1181" t="s">
        <v>49</v>
      </c>
      <c r="Q1181" t="s">
        <v>5938</v>
      </c>
      <c r="R1181" t="s">
        <v>5945</v>
      </c>
      <c r="S1181" t="s">
        <v>79</v>
      </c>
      <c r="T1181" t="s">
        <v>81</v>
      </c>
      <c r="U1181" t="s">
        <v>5947</v>
      </c>
      <c r="V1181" t="s">
        <v>129</v>
      </c>
    </row>
    <row r="1182" spans="1:22" x14ac:dyDescent="0.35">
      <c r="A1182" t="s">
        <v>5948</v>
      </c>
      <c r="B1182" t="s">
        <v>5266</v>
      </c>
      <c r="C1182" t="s">
        <v>29</v>
      </c>
      <c r="D1182" t="s">
        <v>33</v>
      </c>
      <c r="E1182" t="s">
        <v>29</v>
      </c>
      <c r="F1182" t="s">
        <v>34</v>
      </c>
      <c r="G1182" t="s">
        <v>30</v>
      </c>
      <c r="H1182" t="s">
        <v>292</v>
      </c>
      <c r="I1182" t="s">
        <v>46</v>
      </c>
      <c r="K1182" t="s">
        <v>5538</v>
      </c>
      <c r="L1182" t="s">
        <v>49</v>
      </c>
      <c r="M1182" t="s">
        <v>48</v>
      </c>
      <c r="N1182" t="s">
        <v>49</v>
      </c>
      <c r="O1182" t="s">
        <v>5949</v>
      </c>
      <c r="P1182" t="s">
        <v>48</v>
      </c>
      <c r="Q1182" t="s">
        <v>5950</v>
      </c>
      <c r="R1182" t="s">
        <v>5951</v>
      </c>
      <c r="S1182" t="s">
        <v>87</v>
      </c>
      <c r="T1182" t="s">
        <v>2077</v>
      </c>
      <c r="U1182" t="s">
        <v>5953</v>
      </c>
      <c r="V1182" t="s">
        <v>91</v>
      </c>
    </row>
    <row r="1183" spans="1:22" x14ac:dyDescent="0.35">
      <c r="A1183" t="s">
        <v>5954</v>
      </c>
      <c r="B1183" t="s">
        <v>5263</v>
      </c>
      <c r="C1183" t="s">
        <v>33</v>
      </c>
      <c r="D1183" t="s">
        <v>29</v>
      </c>
      <c r="E1183" t="s">
        <v>60</v>
      </c>
      <c r="F1183" t="s">
        <v>173</v>
      </c>
      <c r="G1183" t="s">
        <v>28</v>
      </c>
      <c r="H1183" t="s">
        <v>292</v>
      </c>
      <c r="I1183" t="s">
        <v>36</v>
      </c>
      <c r="K1183" t="s">
        <v>5955</v>
      </c>
      <c r="L1183" t="s">
        <v>49</v>
      </c>
      <c r="M1183" t="s">
        <v>48</v>
      </c>
      <c r="N1183" t="s">
        <v>48</v>
      </c>
      <c r="O1183" t="s">
        <v>5956</v>
      </c>
      <c r="P1183" t="s">
        <v>38</v>
      </c>
      <c r="Q1183" t="s">
        <v>5957</v>
      </c>
      <c r="R1183" t="s">
        <v>5958</v>
      </c>
      <c r="S1183" t="s">
        <v>65</v>
      </c>
      <c r="T1183" t="s">
        <v>100</v>
      </c>
      <c r="U1183" t="s">
        <v>5960</v>
      </c>
      <c r="V1183" t="s">
        <v>91</v>
      </c>
    </row>
    <row r="1184" spans="1:22" x14ac:dyDescent="0.35">
      <c r="A1184" t="s">
        <v>5961</v>
      </c>
      <c r="B1184" t="s">
        <v>5327</v>
      </c>
      <c r="C1184" t="s">
        <v>44</v>
      </c>
      <c r="D1184" t="s">
        <v>29</v>
      </c>
      <c r="E1184" t="s">
        <v>60</v>
      </c>
      <c r="F1184" t="s">
        <v>103</v>
      </c>
      <c r="G1184" t="s">
        <v>103</v>
      </c>
      <c r="H1184" t="s">
        <v>74</v>
      </c>
      <c r="I1184" t="s">
        <v>46</v>
      </c>
      <c r="K1184" t="s">
        <v>5936</v>
      </c>
      <c r="L1184" t="s">
        <v>48</v>
      </c>
      <c r="M1184" t="s">
        <v>48</v>
      </c>
      <c r="N1184" t="s">
        <v>48</v>
      </c>
      <c r="O1184" t="s">
        <v>5962</v>
      </c>
      <c r="P1184" t="s">
        <v>49</v>
      </c>
      <c r="Q1184" t="s">
        <v>5963</v>
      </c>
      <c r="R1184" t="s">
        <v>5964</v>
      </c>
      <c r="S1184" t="s">
        <v>65</v>
      </c>
      <c r="T1184" t="s">
        <v>603</v>
      </c>
      <c r="U1184" t="s">
        <v>5966</v>
      </c>
      <c r="V1184" t="s">
        <v>129</v>
      </c>
    </row>
    <row r="1185" spans="1:22" x14ac:dyDescent="0.35">
      <c r="A1185" t="s">
        <v>5967</v>
      </c>
      <c r="B1185" t="s">
        <v>5272</v>
      </c>
      <c r="C1185" t="s">
        <v>33</v>
      </c>
      <c r="D1185" t="s">
        <v>33</v>
      </c>
      <c r="E1185" t="s">
        <v>33</v>
      </c>
      <c r="F1185" t="s">
        <v>34</v>
      </c>
      <c r="G1185" t="s">
        <v>34</v>
      </c>
      <c r="H1185" t="s">
        <v>61</v>
      </c>
      <c r="I1185" t="s">
        <v>36</v>
      </c>
      <c r="K1185" t="s">
        <v>5968</v>
      </c>
      <c r="L1185" t="s">
        <v>48</v>
      </c>
      <c r="M1185" t="s">
        <v>49</v>
      </c>
      <c r="N1185" t="s">
        <v>49</v>
      </c>
      <c r="O1185" t="s">
        <v>5969</v>
      </c>
      <c r="P1185" t="s">
        <v>49</v>
      </c>
      <c r="Q1185" t="s">
        <v>5970</v>
      </c>
      <c r="R1185" t="s">
        <v>5971</v>
      </c>
      <c r="S1185" t="s">
        <v>65</v>
      </c>
      <c r="T1185" t="s">
        <v>81</v>
      </c>
      <c r="U1185" t="s">
        <v>5973</v>
      </c>
      <c r="V1185" t="s">
        <v>129</v>
      </c>
    </row>
    <row r="1186" spans="1:22" x14ac:dyDescent="0.35">
      <c r="A1186" t="s">
        <v>5259</v>
      </c>
      <c r="B1186" t="s">
        <v>172</v>
      </c>
      <c r="C1186" t="s">
        <v>33</v>
      </c>
      <c r="D1186" t="s">
        <v>60</v>
      </c>
      <c r="E1186" t="s">
        <v>33</v>
      </c>
      <c r="F1186" t="s">
        <v>173</v>
      </c>
      <c r="G1186" t="s">
        <v>103</v>
      </c>
      <c r="H1186" t="s">
        <v>292</v>
      </c>
      <c r="I1186" t="s">
        <v>46</v>
      </c>
      <c r="K1186" t="s">
        <v>5974</v>
      </c>
      <c r="L1186" t="s">
        <v>48</v>
      </c>
      <c r="M1186" t="s">
        <v>48</v>
      </c>
      <c r="N1186" t="s">
        <v>49</v>
      </c>
      <c r="O1186" t="s">
        <v>5975</v>
      </c>
      <c r="P1186" t="s">
        <v>48</v>
      </c>
      <c r="Q1186" t="s">
        <v>5976</v>
      </c>
      <c r="R1186" t="s">
        <v>5977</v>
      </c>
      <c r="S1186" t="s">
        <v>65</v>
      </c>
      <c r="T1186" t="s">
        <v>2077</v>
      </c>
      <c r="U1186" t="s">
        <v>5979</v>
      </c>
      <c r="V1186" t="s">
        <v>91</v>
      </c>
    </row>
    <row r="1187" spans="1:22" x14ac:dyDescent="0.35">
      <c r="A1187" t="s">
        <v>5980</v>
      </c>
      <c r="B1187" t="s">
        <v>5266</v>
      </c>
      <c r="C1187" t="s">
        <v>33</v>
      </c>
      <c r="D1187" t="s">
        <v>33</v>
      </c>
      <c r="E1187" t="s">
        <v>33</v>
      </c>
      <c r="F1187" t="s">
        <v>34</v>
      </c>
      <c r="G1187" t="s">
        <v>30</v>
      </c>
      <c r="H1187" t="s">
        <v>35</v>
      </c>
      <c r="I1187" t="s">
        <v>36</v>
      </c>
      <c r="K1187" t="s">
        <v>5981</v>
      </c>
      <c r="L1187" t="s">
        <v>48</v>
      </c>
      <c r="M1187" t="s">
        <v>49</v>
      </c>
      <c r="N1187" t="s">
        <v>48</v>
      </c>
      <c r="O1187" t="s">
        <v>5982</v>
      </c>
      <c r="P1187" t="s">
        <v>49</v>
      </c>
      <c r="Q1187" t="s">
        <v>5983</v>
      </c>
      <c r="R1187" t="s">
        <v>5984</v>
      </c>
      <c r="S1187" t="s">
        <v>53</v>
      </c>
      <c r="T1187" t="s">
        <v>100</v>
      </c>
      <c r="U1187" t="s">
        <v>5986</v>
      </c>
      <c r="V1187" t="s">
        <v>91</v>
      </c>
    </row>
    <row r="1188" spans="1:22" x14ac:dyDescent="0.35">
      <c r="A1188" t="s">
        <v>5987</v>
      </c>
      <c r="B1188" t="s">
        <v>205</v>
      </c>
      <c r="C1188" t="s">
        <v>33</v>
      </c>
      <c r="D1188" t="s">
        <v>33</v>
      </c>
      <c r="E1188" t="s">
        <v>33</v>
      </c>
      <c r="F1188" t="s">
        <v>34</v>
      </c>
      <c r="G1188" t="s">
        <v>30</v>
      </c>
      <c r="H1188" t="s">
        <v>35</v>
      </c>
      <c r="I1188" t="s">
        <v>46</v>
      </c>
      <c r="K1188" t="s">
        <v>5902</v>
      </c>
      <c r="L1188" t="s">
        <v>49</v>
      </c>
      <c r="M1188" t="s">
        <v>48</v>
      </c>
      <c r="N1188" t="s">
        <v>48</v>
      </c>
      <c r="O1188" t="s">
        <v>5988</v>
      </c>
      <c r="P1188" t="s">
        <v>49</v>
      </c>
      <c r="Q1188" t="s">
        <v>5989</v>
      </c>
      <c r="R1188" t="s">
        <v>5990</v>
      </c>
      <c r="S1188" t="s">
        <v>65</v>
      </c>
      <c r="T1188" t="s">
        <v>2077</v>
      </c>
      <c r="U1188" t="s">
        <v>5992</v>
      </c>
      <c r="V1188" t="s">
        <v>129</v>
      </c>
    </row>
    <row r="1189" spans="1:22" x14ac:dyDescent="0.35">
      <c r="A1189" t="s">
        <v>5993</v>
      </c>
      <c r="B1189" t="s">
        <v>5286</v>
      </c>
      <c r="C1189" t="s">
        <v>44</v>
      </c>
      <c r="D1189" t="s">
        <v>33</v>
      </c>
      <c r="E1189" t="s">
        <v>33</v>
      </c>
      <c r="F1189" t="s">
        <v>30</v>
      </c>
      <c r="G1189" t="s">
        <v>34</v>
      </c>
      <c r="H1189" t="s">
        <v>74</v>
      </c>
      <c r="I1189" t="s">
        <v>36</v>
      </c>
      <c r="K1189" t="s">
        <v>5994</v>
      </c>
      <c r="L1189" t="s">
        <v>49</v>
      </c>
      <c r="M1189" t="s">
        <v>48</v>
      </c>
      <c r="N1189" t="s">
        <v>48</v>
      </c>
      <c r="O1189" t="s">
        <v>5988</v>
      </c>
      <c r="P1189" t="s">
        <v>38</v>
      </c>
      <c r="Q1189" t="s">
        <v>5995</v>
      </c>
      <c r="R1189" t="s">
        <v>5990</v>
      </c>
      <c r="S1189" t="s">
        <v>79</v>
      </c>
      <c r="T1189" t="s">
        <v>81</v>
      </c>
      <c r="U1189" t="s">
        <v>5997</v>
      </c>
      <c r="V1189" t="s">
        <v>129</v>
      </c>
    </row>
    <row r="1190" spans="1:22" x14ac:dyDescent="0.35">
      <c r="A1190" t="s">
        <v>5998</v>
      </c>
      <c r="B1190" t="s">
        <v>84</v>
      </c>
      <c r="C1190" t="s">
        <v>44</v>
      </c>
      <c r="D1190" t="s">
        <v>44</v>
      </c>
      <c r="E1190" t="s">
        <v>33</v>
      </c>
      <c r="F1190" t="s">
        <v>34</v>
      </c>
      <c r="G1190" t="s">
        <v>34</v>
      </c>
      <c r="H1190" t="s">
        <v>292</v>
      </c>
      <c r="I1190" t="s">
        <v>46</v>
      </c>
      <c r="K1190" t="s">
        <v>5999</v>
      </c>
      <c r="L1190" t="s">
        <v>48</v>
      </c>
      <c r="M1190" t="s">
        <v>48</v>
      </c>
      <c r="N1190" t="s">
        <v>48</v>
      </c>
      <c r="O1190" t="s">
        <v>6000</v>
      </c>
      <c r="P1190" t="s">
        <v>48</v>
      </c>
      <c r="Q1190" t="s">
        <v>6001</v>
      </c>
      <c r="R1190" t="s">
        <v>6002</v>
      </c>
      <c r="S1190" t="s">
        <v>65</v>
      </c>
      <c r="T1190" t="s">
        <v>603</v>
      </c>
      <c r="U1190" t="s">
        <v>6004</v>
      </c>
      <c r="V1190" t="s">
        <v>91</v>
      </c>
    </row>
    <row r="1191" spans="1:22" x14ac:dyDescent="0.35">
      <c r="A1191" t="s">
        <v>6005</v>
      </c>
      <c r="B1191" t="s">
        <v>5272</v>
      </c>
      <c r="C1191" t="s">
        <v>44</v>
      </c>
      <c r="D1191" t="s">
        <v>33</v>
      </c>
      <c r="E1191" t="s">
        <v>33</v>
      </c>
      <c r="F1191" t="s">
        <v>30</v>
      </c>
      <c r="G1191" t="s">
        <v>30</v>
      </c>
      <c r="H1191" t="s">
        <v>35</v>
      </c>
      <c r="I1191" t="s">
        <v>36</v>
      </c>
      <c r="K1191" t="s">
        <v>6006</v>
      </c>
      <c r="L1191" t="s">
        <v>49</v>
      </c>
      <c r="M1191" t="s">
        <v>48</v>
      </c>
      <c r="N1191" t="s">
        <v>48</v>
      </c>
      <c r="O1191" t="s">
        <v>6007</v>
      </c>
      <c r="P1191" t="s">
        <v>49</v>
      </c>
      <c r="Q1191" t="s">
        <v>6008</v>
      </c>
      <c r="R1191" t="s">
        <v>6009</v>
      </c>
      <c r="S1191" t="s">
        <v>65</v>
      </c>
      <c r="T1191" t="s">
        <v>100</v>
      </c>
      <c r="U1191" t="s">
        <v>6011</v>
      </c>
      <c r="V1191" t="s">
        <v>129</v>
      </c>
    </row>
    <row r="1192" spans="1:22" x14ac:dyDescent="0.35">
      <c r="A1192" t="s">
        <v>6012</v>
      </c>
      <c r="B1192" t="s">
        <v>172</v>
      </c>
      <c r="C1192" t="s">
        <v>60</v>
      </c>
      <c r="D1192" t="s">
        <v>33</v>
      </c>
      <c r="E1192" t="s">
        <v>33</v>
      </c>
      <c r="F1192" t="s">
        <v>34</v>
      </c>
      <c r="G1192" t="s">
        <v>34</v>
      </c>
      <c r="H1192" t="s">
        <v>74</v>
      </c>
      <c r="I1192" t="s">
        <v>46</v>
      </c>
      <c r="K1192" t="s">
        <v>6013</v>
      </c>
      <c r="L1192" t="s">
        <v>48</v>
      </c>
      <c r="M1192" t="s">
        <v>48</v>
      </c>
      <c r="N1192" t="s">
        <v>49</v>
      </c>
      <c r="O1192" t="s">
        <v>6014</v>
      </c>
      <c r="P1192" t="s">
        <v>48</v>
      </c>
      <c r="Q1192" t="s">
        <v>6015</v>
      </c>
      <c r="R1192" t="s">
        <v>6016</v>
      </c>
      <c r="S1192" t="s">
        <v>65</v>
      </c>
      <c r="T1192" t="s">
        <v>2077</v>
      </c>
      <c r="U1192" t="s">
        <v>6018</v>
      </c>
      <c r="V1192" t="s">
        <v>129</v>
      </c>
    </row>
    <row r="1193" spans="1:22" x14ac:dyDescent="0.35">
      <c r="A1193" t="s">
        <v>6019</v>
      </c>
      <c r="B1193" t="s">
        <v>5266</v>
      </c>
      <c r="C1193" t="s">
        <v>33</v>
      </c>
      <c r="D1193" t="s">
        <v>33</v>
      </c>
      <c r="E1193" t="s">
        <v>33</v>
      </c>
      <c r="F1193" t="s">
        <v>34</v>
      </c>
      <c r="G1193" t="s">
        <v>34</v>
      </c>
      <c r="H1193" t="s">
        <v>74</v>
      </c>
      <c r="I1193" t="s">
        <v>36</v>
      </c>
      <c r="K1193" t="s">
        <v>6020</v>
      </c>
      <c r="L1193" t="s">
        <v>40</v>
      </c>
      <c r="M1193" t="s">
        <v>38</v>
      </c>
      <c r="N1193" t="s">
        <v>48</v>
      </c>
      <c r="O1193" t="s">
        <v>6021</v>
      </c>
      <c r="P1193" t="s">
        <v>48</v>
      </c>
      <c r="Q1193" t="s">
        <v>6022</v>
      </c>
      <c r="R1193" t="s">
        <v>6023</v>
      </c>
      <c r="S1193" t="s">
        <v>65</v>
      </c>
      <c r="T1193" t="s">
        <v>81</v>
      </c>
      <c r="U1193" t="s">
        <v>6025</v>
      </c>
      <c r="V1193" t="s">
        <v>129</v>
      </c>
    </row>
    <row r="1194" spans="1:22" x14ac:dyDescent="0.35">
      <c r="A1194" t="s">
        <v>6026</v>
      </c>
      <c r="B1194" t="s">
        <v>448</v>
      </c>
      <c r="C1194" t="s">
        <v>44</v>
      </c>
      <c r="D1194" t="s">
        <v>28</v>
      </c>
      <c r="E1194" t="s">
        <v>28</v>
      </c>
      <c r="F1194" t="s">
        <v>28</v>
      </c>
      <c r="G1194" t="s">
        <v>28</v>
      </c>
      <c r="H1194" t="s">
        <v>28</v>
      </c>
      <c r="I1194" t="s">
        <v>36</v>
      </c>
      <c r="K1194" t="s">
        <v>375</v>
      </c>
      <c r="L1194" t="s">
        <v>38</v>
      </c>
      <c r="M1194" t="s">
        <v>49</v>
      </c>
      <c r="N1194" t="s">
        <v>49</v>
      </c>
      <c r="O1194" t="s">
        <v>6027</v>
      </c>
      <c r="P1194" t="s">
        <v>38</v>
      </c>
      <c r="Q1194" t="s">
        <v>6028</v>
      </c>
      <c r="R1194" t="s">
        <v>6029</v>
      </c>
      <c r="S1194" t="s">
        <v>53</v>
      </c>
      <c r="T1194" t="s">
        <v>81</v>
      </c>
      <c r="U1194" t="s">
        <v>56</v>
      </c>
      <c r="V1194" t="s">
        <v>129</v>
      </c>
    </row>
    <row r="1195" spans="1:22" x14ac:dyDescent="0.35">
      <c r="A1195" t="s">
        <v>6031</v>
      </c>
      <c r="B1195" t="s">
        <v>448</v>
      </c>
      <c r="C1195" t="s">
        <v>44</v>
      </c>
      <c r="D1195" t="s">
        <v>44</v>
      </c>
      <c r="E1195" t="s">
        <v>28</v>
      </c>
      <c r="F1195" t="s">
        <v>28</v>
      </c>
      <c r="G1195" t="s">
        <v>28</v>
      </c>
      <c r="H1195" t="s">
        <v>45</v>
      </c>
      <c r="I1195" t="s">
        <v>46</v>
      </c>
      <c r="K1195" t="s">
        <v>375</v>
      </c>
      <c r="L1195" t="s">
        <v>49</v>
      </c>
      <c r="M1195" t="s">
        <v>49</v>
      </c>
      <c r="N1195" t="s">
        <v>38</v>
      </c>
      <c r="O1195" t="s">
        <v>6032</v>
      </c>
      <c r="P1195" t="s">
        <v>38</v>
      </c>
      <c r="Q1195" t="s">
        <v>5931</v>
      </c>
      <c r="R1195" t="s">
        <v>6033</v>
      </c>
      <c r="S1195" t="s">
        <v>53</v>
      </c>
      <c r="T1195" t="s">
        <v>81</v>
      </c>
      <c r="U1195" t="s">
        <v>56</v>
      </c>
      <c r="V1195" t="s">
        <v>129</v>
      </c>
    </row>
    <row r="1196" spans="1:22" x14ac:dyDescent="0.35">
      <c r="A1196" t="s">
        <v>6035</v>
      </c>
      <c r="B1196" t="s">
        <v>6036</v>
      </c>
      <c r="C1196" t="s">
        <v>28</v>
      </c>
      <c r="D1196" t="s">
        <v>44</v>
      </c>
      <c r="E1196" t="s">
        <v>44</v>
      </c>
      <c r="F1196" t="s">
        <v>28</v>
      </c>
      <c r="G1196" t="s">
        <v>103</v>
      </c>
      <c r="H1196" t="s">
        <v>28</v>
      </c>
      <c r="I1196" t="s">
        <v>46</v>
      </c>
      <c r="K1196" t="s">
        <v>494</v>
      </c>
      <c r="L1196" t="s">
        <v>38</v>
      </c>
      <c r="M1196" t="s">
        <v>49</v>
      </c>
      <c r="N1196" t="s">
        <v>38</v>
      </c>
      <c r="O1196" t="s">
        <v>6037</v>
      </c>
      <c r="P1196" t="s">
        <v>38</v>
      </c>
      <c r="Q1196" t="s">
        <v>6038</v>
      </c>
      <c r="R1196" t="s">
        <v>5938</v>
      </c>
      <c r="S1196" t="s">
        <v>87</v>
      </c>
      <c r="T1196" t="s">
        <v>81</v>
      </c>
      <c r="U1196" t="s">
        <v>56</v>
      </c>
      <c r="V1196" t="s">
        <v>129</v>
      </c>
    </row>
    <row r="1197" spans="1:22" x14ac:dyDescent="0.35">
      <c r="A1197" t="s">
        <v>597</v>
      </c>
      <c r="B1197" t="s">
        <v>6040</v>
      </c>
      <c r="C1197" t="s">
        <v>28</v>
      </c>
      <c r="D1197" t="s">
        <v>44</v>
      </c>
      <c r="E1197" t="s">
        <v>44</v>
      </c>
      <c r="F1197" t="s">
        <v>28</v>
      </c>
      <c r="G1197" t="s">
        <v>103</v>
      </c>
      <c r="H1197" t="s">
        <v>28</v>
      </c>
      <c r="I1197" t="s">
        <v>46</v>
      </c>
      <c r="K1197" t="s">
        <v>6041</v>
      </c>
      <c r="L1197" t="s">
        <v>40</v>
      </c>
      <c r="M1197" t="s">
        <v>38</v>
      </c>
      <c r="N1197" t="s">
        <v>38</v>
      </c>
      <c r="O1197" t="s">
        <v>6042</v>
      </c>
      <c r="P1197" t="s">
        <v>38</v>
      </c>
      <c r="Q1197" t="s">
        <v>106</v>
      </c>
      <c r="R1197" t="s">
        <v>106</v>
      </c>
      <c r="S1197" t="s">
        <v>87</v>
      </c>
      <c r="T1197" t="s">
        <v>81</v>
      </c>
      <c r="U1197" t="s">
        <v>56</v>
      </c>
      <c r="V1197" t="s">
        <v>91</v>
      </c>
    </row>
    <row r="1198" spans="1:22" x14ac:dyDescent="0.35">
      <c r="A1198" t="s">
        <v>6044</v>
      </c>
      <c r="B1198" t="s">
        <v>433</v>
      </c>
      <c r="C1198" t="s">
        <v>44</v>
      </c>
      <c r="D1198" t="s">
        <v>28</v>
      </c>
      <c r="E1198" t="s">
        <v>28</v>
      </c>
      <c r="F1198" t="s">
        <v>28</v>
      </c>
      <c r="G1198" t="s">
        <v>28</v>
      </c>
      <c r="H1198" t="s">
        <v>28</v>
      </c>
      <c r="I1198" t="s">
        <v>36</v>
      </c>
      <c r="K1198" t="s">
        <v>6045</v>
      </c>
      <c r="L1198" t="s">
        <v>49</v>
      </c>
      <c r="M1198" t="s">
        <v>49</v>
      </c>
      <c r="N1198" t="s">
        <v>49</v>
      </c>
      <c r="O1198" t="s">
        <v>6046</v>
      </c>
      <c r="P1198" t="s">
        <v>49</v>
      </c>
      <c r="Q1198" t="s">
        <v>6047</v>
      </c>
      <c r="R1198" t="s">
        <v>56</v>
      </c>
      <c r="S1198" t="s">
        <v>87</v>
      </c>
      <c r="T1198" t="s">
        <v>81</v>
      </c>
      <c r="U1198" t="s">
        <v>56</v>
      </c>
      <c r="V1198" t="s">
        <v>129</v>
      </c>
    </row>
    <row r="1199" spans="1:22" x14ac:dyDescent="0.35">
      <c r="A1199" t="s">
        <v>6049</v>
      </c>
      <c r="B1199" t="s">
        <v>448</v>
      </c>
      <c r="C1199" t="s">
        <v>28</v>
      </c>
      <c r="D1199" t="s">
        <v>197</v>
      </c>
      <c r="E1199" t="s">
        <v>157</v>
      </c>
      <c r="F1199" t="s">
        <v>103</v>
      </c>
      <c r="G1199" t="s">
        <v>103</v>
      </c>
      <c r="H1199" t="s">
        <v>368</v>
      </c>
      <c r="I1199" t="s">
        <v>46</v>
      </c>
      <c r="K1199" t="s">
        <v>6045</v>
      </c>
      <c r="L1199" t="s">
        <v>49</v>
      </c>
      <c r="M1199" t="s">
        <v>49</v>
      </c>
      <c r="N1199" t="s">
        <v>38</v>
      </c>
      <c r="O1199" t="s">
        <v>56</v>
      </c>
      <c r="P1199" t="s">
        <v>49</v>
      </c>
      <c r="Q1199" t="s">
        <v>56</v>
      </c>
      <c r="R1199" t="s">
        <v>56</v>
      </c>
      <c r="S1199" t="s">
        <v>87</v>
      </c>
      <c r="T1199" t="s">
        <v>81</v>
      </c>
      <c r="U1199" t="s">
        <v>56</v>
      </c>
      <c r="V1199" t="s">
        <v>129</v>
      </c>
    </row>
    <row r="1200" spans="1:22" x14ac:dyDescent="0.35">
      <c r="A1200" t="s">
        <v>6051</v>
      </c>
      <c r="B1200" t="s">
        <v>6052</v>
      </c>
      <c r="C1200" t="s">
        <v>60</v>
      </c>
      <c r="D1200" t="s">
        <v>44</v>
      </c>
      <c r="E1200" t="s">
        <v>44</v>
      </c>
      <c r="F1200" t="s">
        <v>173</v>
      </c>
      <c r="G1200" t="s">
        <v>173</v>
      </c>
      <c r="H1200" t="s">
        <v>35</v>
      </c>
      <c r="I1200" t="s">
        <v>36</v>
      </c>
      <c r="K1200" t="s">
        <v>6045</v>
      </c>
      <c r="L1200" t="s">
        <v>38</v>
      </c>
      <c r="M1200" t="s">
        <v>38</v>
      </c>
      <c r="N1200" t="s">
        <v>40</v>
      </c>
      <c r="O1200" t="s">
        <v>6053</v>
      </c>
      <c r="P1200" t="s">
        <v>38</v>
      </c>
      <c r="Q1200" t="s">
        <v>6054</v>
      </c>
      <c r="R1200" t="s">
        <v>6055</v>
      </c>
      <c r="S1200" t="s">
        <v>53</v>
      </c>
      <c r="T1200" t="s">
        <v>81</v>
      </c>
      <c r="U1200" t="s">
        <v>56</v>
      </c>
      <c r="V1200" t="s">
        <v>129</v>
      </c>
    </row>
    <row r="1201" spans="1:22" x14ac:dyDescent="0.35">
      <c r="A1201" t="s">
        <v>6057</v>
      </c>
      <c r="B1201" t="s">
        <v>6058</v>
      </c>
      <c r="C1201" t="s">
        <v>28</v>
      </c>
      <c r="D1201" t="s">
        <v>158</v>
      </c>
      <c r="E1201" t="s">
        <v>157</v>
      </c>
      <c r="F1201" t="s">
        <v>28</v>
      </c>
      <c r="G1201" t="s">
        <v>103</v>
      </c>
      <c r="H1201" t="s">
        <v>28</v>
      </c>
      <c r="I1201" t="s">
        <v>36</v>
      </c>
      <c r="K1201" t="s">
        <v>494</v>
      </c>
      <c r="L1201" t="s">
        <v>40</v>
      </c>
      <c r="M1201" t="s">
        <v>38</v>
      </c>
      <c r="N1201" t="s">
        <v>40</v>
      </c>
      <c r="O1201" t="s">
        <v>6059</v>
      </c>
      <c r="P1201" t="s">
        <v>40</v>
      </c>
      <c r="S1201" t="s">
        <v>87</v>
      </c>
      <c r="T1201" t="s">
        <v>81</v>
      </c>
      <c r="U1201" t="s">
        <v>56</v>
      </c>
      <c r="V1201" t="s">
        <v>129</v>
      </c>
    </row>
    <row r="1202" spans="1:22" x14ac:dyDescent="0.35">
      <c r="A1202" t="s">
        <v>6061</v>
      </c>
      <c r="B1202" t="s">
        <v>6040</v>
      </c>
      <c r="C1202" t="s">
        <v>44</v>
      </c>
      <c r="D1202" t="s">
        <v>28</v>
      </c>
      <c r="E1202" t="s">
        <v>28</v>
      </c>
      <c r="F1202" t="s">
        <v>28</v>
      </c>
      <c r="G1202" t="s">
        <v>28</v>
      </c>
      <c r="H1202" t="s">
        <v>28</v>
      </c>
      <c r="I1202" t="s">
        <v>46</v>
      </c>
      <c r="K1202" t="s">
        <v>494</v>
      </c>
      <c r="L1202" t="s">
        <v>38</v>
      </c>
      <c r="M1202" t="s">
        <v>38</v>
      </c>
      <c r="N1202" t="s">
        <v>38</v>
      </c>
      <c r="O1202" t="s">
        <v>6062</v>
      </c>
      <c r="P1202" t="s">
        <v>49</v>
      </c>
      <c r="Q1202" t="s">
        <v>6063</v>
      </c>
      <c r="S1202" t="s">
        <v>53</v>
      </c>
      <c r="T1202" t="s">
        <v>81</v>
      </c>
      <c r="U1202" t="s">
        <v>56</v>
      </c>
      <c r="V1202" t="s">
        <v>129</v>
      </c>
    </row>
    <row r="1203" spans="1:22" x14ac:dyDescent="0.35">
      <c r="A1203" t="s">
        <v>6065</v>
      </c>
      <c r="B1203" t="s">
        <v>433</v>
      </c>
      <c r="C1203" t="s">
        <v>44</v>
      </c>
      <c r="D1203" t="s">
        <v>28</v>
      </c>
      <c r="E1203" t="s">
        <v>44</v>
      </c>
      <c r="F1203" t="s">
        <v>173</v>
      </c>
      <c r="G1203" t="s">
        <v>103</v>
      </c>
      <c r="H1203" t="s">
        <v>28</v>
      </c>
      <c r="I1203" t="s">
        <v>46</v>
      </c>
      <c r="K1203" t="s">
        <v>375</v>
      </c>
      <c r="L1203" t="s">
        <v>38</v>
      </c>
      <c r="N1203" t="s">
        <v>38</v>
      </c>
      <c r="P1203" t="s">
        <v>38</v>
      </c>
      <c r="S1203" t="s">
        <v>53</v>
      </c>
      <c r="T1203" t="s">
        <v>81</v>
      </c>
      <c r="U1203" t="s">
        <v>56</v>
      </c>
      <c r="V1203" t="s">
        <v>129</v>
      </c>
    </row>
    <row r="1204" spans="1:22" x14ac:dyDescent="0.35">
      <c r="A1204" t="s">
        <v>6067</v>
      </c>
      <c r="B1204" t="s">
        <v>6068</v>
      </c>
      <c r="C1204" t="s">
        <v>28</v>
      </c>
      <c r="D1204" t="s">
        <v>158</v>
      </c>
      <c r="E1204" t="s">
        <v>44</v>
      </c>
      <c r="F1204" t="s">
        <v>158</v>
      </c>
      <c r="G1204" t="s">
        <v>173</v>
      </c>
      <c r="H1204" t="s">
        <v>292</v>
      </c>
      <c r="I1204" t="s">
        <v>36</v>
      </c>
      <c r="K1204" t="s">
        <v>6069</v>
      </c>
      <c r="L1204" t="s">
        <v>49</v>
      </c>
      <c r="M1204" t="s">
        <v>40</v>
      </c>
      <c r="N1204" t="s">
        <v>49</v>
      </c>
      <c r="O1204" t="s">
        <v>6070</v>
      </c>
      <c r="P1204" t="s">
        <v>49</v>
      </c>
      <c r="Q1204" t="s">
        <v>5365</v>
      </c>
      <c r="R1204" t="s">
        <v>6071</v>
      </c>
      <c r="S1204" t="s">
        <v>87</v>
      </c>
      <c r="T1204" t="s">
        <v>81</v>
      </c>
      <c r="U1204" t="s">
        <v>56</v>
      </c>
      <c r="V1204" t="s">
        <v>129</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204"/>
  <sheetViews>
    <sheetView workbookViewId="0">
      <pane ySplit="1" topLeftCell="A2" activePane="bottomLeft" state="frozen"/>
      <selection pane="bottomLeft" sqref="A1:XFD1048576"/>
    </sheetView>
  </sheetViews>
  <sheetFormatPr defaultColWidth="11" defaultRowHeight="13.5" x14ac:dyDescent="0.35"/>
  <cols>
    <col min="1" max="1" width="5.625" customWidth="1"/>
    <col min="2" max="2" width="17" customWidth="1"/>
    <col min="3" max="3" width="13.25" customWidth="1"/>
    <col min="4" max="4" width="36.375" customWidth="1"/>
    <col min="5" max="5" width="40.75" customWidth="1"/>
    <col min="6" max="6" width="38.75" customWidth="1"/>
    <col min="7" max="7" width="35.375" customWidth="1"/>
    <col min="8" max="8" width="41.875" customWidth="1"/>
    <col min="9" max="9" width="37" customWidth="1"/>
    <col min="10" max="11" width="41.875" customWidth="1"/>
    <col min="12" max="12" width="12.625" customWidth="1"/>
    <col min="13" max="13" width="22" customWidth="1"/>
    <col min="14" max="14" width="66.75" customWidth="1"/>
    <col min="15" max="15" width="124.625" customWidth="1"/>
    <col min="16" max="16" width="92.625" customWidth="1"/>
    <col min="17" max="17" width="115" customWidth="1"/>
    <col min="18" max="18" width="255.75" customWidth="1"/>
    <col min="19" max="19" width="74.75" customWidth="1"/>
    <col min="20" max="21" width="255.75" customWidth="1"/>
    <col min="22" max="22" width="38.625" customWidth="1"/>
    <col min="23" max="23" width="36.25" customWidth="1"/>
    <col min="24" max="24" width="25.125" customWidth="1"/>
    <col min="25" max="25" width="48.625" customWidth="1"/>
    <col min="26" max="26" width="21.875" customWidth="1"/>
    <col min="27" max="27" width="29.25" hidden="1" customWidth="1"/>
  </cols>
  <sheetData>
    <row r="1" spans="1:27" ht="15.75" customHeight="1" x14ac:dyDescent="0.35">
      <c r="A1" t="s">
        <v>6073</v>
      </c>
      <c r="B1" t="s">
        <v>0</v>
      </c>
      <c r="C1" t="s">
        <v>1</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row>
    <row r="2" spans="1:27" ht="15.75" customHeight="1" x14ac:dyDescent="0.35">
      <c r="A2">
        <v>1</v>
      </c>
      <c r="B2">
        <v>45780.895759479172</v>
      </c>
      <c r="C2" t="s">
        <v>25</v>
      </c>
      <c r="D2" t="s">
        <v>26</v>
      </c>
      <c r="E2" t="s">
        <v>27</v>
      </c>
      <c r="F2" t="s">
        <v>28</v>
      </c>
      <c r="G2" t="s">
        <v>28</v>
      </c>
      <c r="H2" t="s">
        <v>29</v>
      </c>
      <c r="I2" t="s">
        <v>30</v>
      </c>
      <c r="J2" t="s">
        <v>30</v>
      </c>
      <c r="K2" t="s">
        <v>28</v>
      </c>
    </row>
    <row r="3" spans="1:27" ht="15.75" customHeight="1" x14ac:dyDescent="0.35">
      <c r="A3">
        <v>2</v>
      </c>
      <c r="B3">
        <v>45794.537599953706</v>
      </c>
      <c r="D3" t="s">
        <v>31</v>
      </c>
      <c r="E3" t="s">
        <v>32</v>
      </c>
      <c r="F3" t="s">
        <v>33</v>
      </c>
      <c r="G3" t="s">
        <v>33</v>
      </c>
      <c r="H3" t="s">
        <v>33</v>
      </c>
      <c r="I3" t="s">
        <v>34</v>
      </c>
      <c r="J3" t="s">
        <v>30</v>
      </c>
      <c r="K3" t="s">
        <v>35</v>
      </c>
      <c r="L3" t="s">
        <v>36</v>
      </c>
      <c r="N3" t="s">
        <v>37</v>
      </c>
      <c r="O3" t="s">
        <v>38</v>
      </c>
      <c r="P3" t="s">
        <v>39</v>
      </c>
      <c r="Q3" t="s">
        <v>40</v>
      </c>
      <c r="S3" t="s">
        <v>38</v>
      </c>
      <c r="V3" t="s">
        <v>41</v>
      </c>
    </row>
    <row r="4" spans="1:27" ht="15.75" customHeight="1" x14ac:dyDescent="0.35">
      <c r="A4">
        <v>3</v>
      </c>
      <c r="B4">
        <v>45873.903639421296</v>
      </c>
      <c r="D4" t="s">
        <v>42</v>
      </c>
      <c r="E4" t="s">
        <v>43</v>
      </c>
      <c r="F4" t="s">
        <v>29</v>
      </c>
      <c r="G4" t="s">
        <v>28</v>
      </c>
      <c r="H4" t="s">
        <v>44</v>
      </c>
      <c r="I4" t="s">
        <v>28</v>
      </c>
      <c r="J4" t="s">
        <v>45</v>
      </c>
      <c r="K4" t="s">
        <v>28</v>
      </c>
      <c r="L4" t="s">
        <v>46</v>
      </c>
      <c r="N4" t="s">
        <v>47</v>
      </c>
      <c r="O4" t="s">
        <v>48</v>
      </c>
      <c r="P4" t="s">
        <v>49</v>
      </c>
      <c r="Q4" t="s">
        <v>49</v>
      </c>
      <c r="R4" t="s">
        <v>50</v>
      </c>
      <c r="S4" t="s">
        <v>48</v>
      </c>
      <c r="T4" t="s">
        <v>51</v>
      </c>
      <c r="U4" t="s">
        <v>52</v>
      </c>
      <c r="V4" t="s">
        <v>53</v>
      </c>
      <c r="W4" t="s">
        <v>54</v>
      </c>
      <c r="X4" t="s">
        <v>55</v>
      </c>
      <c r="Y4" t="s">
        <v>56</v>
      </c>
      <c r="Z4" t="s">
        <v>57</v>
      </c>
    </row>
    <row r="5" spans="1:27" ht="15.75" customHeight="1" x14ac:dyDescent="0.35">
      <c r="A5">
        <v>4</v>
      </c>
      <c r="B5">
        <v>45873.912274780094</v>
      </c>
      <c r="D5" t="s">
        <v>58</v>
      </c>
      <c r="E5" t="s">
        <v>59</v>
      </c>
      <c r="F5" t="s">
        <v>60</v>
      </c>
      <c r="G5" t="s">
        <v>29</v>
      </c>
      <c r="H5" t="s">
        <v>29</v>
      </c>
      <c r="I5" t="s">
        <v>30</v>
      </c>
      <c r="J5" t="s">
        <v>34</v>
      </c>
      <c r="K5" t="s">
        <v>61</v>
      </c>
      <c r="L5" t="s">
        <v>36</v>
      </c>
      <c r="N5" t="s">
        <v>62</v>
      </c>
      <c r="O5" t="s">
        <v>48</v>
      </c>
      <c r="P5" t="s">
        <v>48</v>
      </c>
      <c r="Q5" t="s">
        <v>48</v>
      </c>
      <c r="R5" t="s">
        <v>63</v>
      </c>
      <c r="S5" t="s">
        <v>48</v>
      </c>
      <c r="T5" t="s">
        <v>64</v>
      </c>
      <c r="V5" t="s">
        <v>65</v>
      </c>
      <c r="W5" t="s">
        <v>66</v>
      </c>
      <c r="X5" t="s">
        <v>67</v>
      </c>
      <c r="Y5" t="s">
        <v>68</v>
      </c>
      <c r="Z5" t="s">
        <v>57</v>
      </c>
    </row>
    <row r="6" spans="1:27" ht="15.75" customHeight="1" x14ac:dyDescent="0.35">
      <c r="A6">
        <v>5</v>
      </c>
      <c r="B6">
        <v>45873.966762847223</v>
      </c>
      <c r="D6" t="s">
        <v>69</v>
      </c>
      <c r="E6" t="s">
        <v>70</v>
      </c>
      <c r="F6" t="s">
        <v>71</v>
      </c>
      <c r="G6" t="s">
        <v>72</v>
      </c>
      <c r="H6" t="s">
        <v>73</v>
      </c>
      <c r="I6" t="s">
        <v>34</v>
      </c>
      <c r="J6" t="s">
        <v>34</v>
      </c>
      <c r="K6" t="s">
        <v>74</v>
      </c>
      <c r="L6" t="s">
        <v>46</v>
      </c>
      <c r="N6" t="s">
        <v>75</v>
      </c>
      <c r="O6" t="s">
        <v>49</v>
      </c>
      <c r="P6" t="s">
        <v>48</v>
      </c>
      <c r="Q6" t="s">
        <v>48</v>
      </c>
      <c r="R6" t="s">
        <v>76</v>
      </c>
      <c r="S6" t="s">
        <v>48</v>
      </c>
      <c r="T6" t="s">
        <v>77</v>
      </c>
      <c r="U6" t="s">
        <v>78</v>
      </c>
      <c r="V6" t="s">
        <v>79</v>
      </c>
      <c r="W6" t="s">
        <v>80</v>
      </c>
      <c r="X6" t="s">
        <v>81</v>
      </c>
      <c r="Y6" t="s">
        <v>82</v>
      </c>
      <c r="Z6" t="s">
        <v>57</v>
      </c>
    </row>
    <row r="7" spans="1:27" ht="15.75" customHeight="1" x14ac:dyDescent="0.35">
      <c r="A7">
        <v>6</v>
      </c>
      <c r="B7">
        <v>45874.384402314812</v>
      </c>
      <c r="D7" t="s">
        <v>83</v>
      </c>
      <c r="E7" t="s">
        <v>84</v>
      </c>
      <c r="F7" t="s">
        <v>33</v>
      </c>
      <c r="G7" t="s">
        <v>33</v>
      </c>
      <c r="H7" t="s">
        <v>33</v>
      </c>
      <c r="I7" t="s">
        <v>34</v>
      </c>
      <c r="J7" t="s">
        <v>34</v>
      </c>
      <c r="K7" t="s">
        <v>73</v>
      </c>
      <c r="L7" t="s">
        <v>36</v>
      </c>
      <c r="N7" t="s">
        <v>85</v>
      </c>
      <c r="O7" t="s">
        <v>48</v>
      </c>
      <c r="P7" t="s">
        <v>48</v>
      </c>
      <c r="Q7" t="s">
        <v>48</v>
      </c>
      <c r="R7" t="s">
        <v>86</v>
      </c>
      <c r="S7" t="s">
        <v>48</v>
      </c>
      <c r="T7" t="s">
        <v>86</v>
      </c>
      <c r="U7" t="s">
        <v>86</v>
      </c>
      <c r="V7" t="s">
        <v>87</v>
      </c>
      <c r="W7" t="s">
        <v>88</v>
      </c>
      <c r="X7" t="s">
        <v>89</v>
      </c>
      <c r="Y7" t="s">
        <v>90</v>
      </c>
      <c r="Z7" t="s">
        <v>91</v>
      </c>
    </row>
    <row r="8" spans="1:27" ht="15.75" customHeight="1" x14ac:dyDescent="0.35">
      <c r="A8">
        <v>7</v>
      </c>
      <c r="B8">
        <v>45874.386941979166</v>
      </c>
      <c r="D8" t="s">
        <v>92</v>
      </c>
      <c r="E8" t="s">
        <v>93</v>
      </c>
      <c r="F8" t="s">
        <v>28</v>
      </c>
      <c r="G8" t="s">
        <v>29</v>
      </c>
      <c r="H8" t="s">
        <v>29</v>
      </c>
      <c r="I8" t="s">
        <v>30</v>
      </c>
      <c r="J8" t="s">
        <v>30</v>
      </c>
      <c r="K8" t="s">
        <v>94</v>
      </c>
      <c r="L8" t="s">
        <v>36</v>
      </c>
      <c r="N8" t="s">
        <v>95</v>
      </c>
      <c r="O8" t="s">
        <v>48</v>
      </c>
      <c r="P8" t="s">
        <v>49</v>
      </c>
      <c r="Q8" t="s">
        <v>38</v>
      </c>
      <c r="R8" t="s">
        <v>96</v>
      </c>
      <c r="S8" t="s">
        <v>49</v>
      </c>
      <c r="T8" t="s">
        <v>97</v>
      </c>
      <c r="U8" t="s">
        <v>98</v>
      </c>
      <c r="V8" t="s">
        <v>79</v>
      </c>
      <c r="W8" t="s">
        <v>99</v>
      </c>
      <c r="X8" t="s">
        <v>100</v>
      </c>
      <c r="Y8" t="s">
        <v>101</v>
      </c>
      <c r="Z8" t="s">
        <v>57</v>
      </c>
    </row>
    <row r="9" spans="1:27" ht="15.75" customHeight="1" x14ac:dyDescent="0.35">
      <c r="A9">
        <v>8</v>
      </c>
      <c r="B9">
        <v>45874.389544467587</v>
      </c>
      <c r="D9" t="s">
        <v>102</v>
      </c>
      <c r="E9" t="s">
        <v>59</v>
      </c>
      <c r="F9" t="s">
        <v>44</v>
      </c>
      <c r="G9" t="s">
        <v>60</v>
      </c>
      <c r="H9" t="s">
        <v>28</v>
      </c>
      <c r="I9" t="s">
        <v>28</v>
      </c>
      <c r="J9" t="s">
        <v>103</v>
      </c>
      <c r="K9" t="s">
        <v>35</v>
      </c>
      <c r="L9" t="s">
        <v>36</v>
      </c>
      <c r="N9" t="s">
        <v>104</v>
      </c>
      <c r="O9" t="s">
        <v>38</v>
      </c>
      <c r="P9" t="s">
        <v>49</v>
      </c>
      <c r="Q9" t="s">
        <v>49</v>
      </c>
      <c r="R9" t="s">
        <v>105</v>
      </c>
      <c r="S9" t="s">
        <v>49</v>
      </c>
      <c r="T9" t="s">
        <v>106</v>
      </c>
      <c r="U9" t="s">
        <v>107</v>
      </c>
      <c r="V9" t="s">
        <v>65</v>
      </c>
      <c r="W9" t="s">
        <v>108</v>
      </c>
      <c r="X9" t="s">
        <v>109</v>
      </c>
      <c r="Y9" t="s">
        <v>110</v>
      </c>
      <c r="Z9" t="s">
        <v>57</v>
      </c>
    </row>
    <row r="10" spans="1:27" ht="15.75" customHeight="1" x14ac:dyDescent="0.35">
      <c r="A10">
        <v>9</v>
      </c>
      <c r="B10">
        <v>45874.409339479171</v>
      </c>
      <c r="D10" t="s">
        <v>111</v>
      </c>
      <c r="E10" t="s">
        <v>112</v>
      </c>
      <c r="F10" t="s">
        <v>33</v>
      </c>
      <c r="G10" t="s">
        <v>33</v>
      </c>
      <c r="H10" t="s">
        <v>44</v>
      </c>
      <c r="I10" t="s">
        <v>34</v>
      </c>
      <c r="J10" t="s">
        <v>30</v>
      </c>
      <c r="K10" t="s">
        <v>74</v>
      </c>
      <c r="L10" t="s">
        <v>36</v>
      </c>
      <c r="N10" t="s">
        <v>113</v>
      </c>
      <c r="O10" t="s">
        <v>49</v>
      </c>
      <c r="P10" t="s">
        <v>49</v>
      </c>
      <c r="Q10" t="s">
        <v>49</v>
      </c>
      <c r="R10" t="s">
        <v>114</v>
      </c>
      <c r="S10" t="s">
        <v>49</v>
      </c>
      <c r="T10" t="s">
        <v>115</v>
      </c>
      <c r="U10" t="s">
        <v>116</v>
      </c>
      <c r="V10" t="s">
        <v>79</v>
      </c>
      <c r="W10" t="s">
        <v>117</v>
      </c>
      <c r="X10" t="s">
        <v>118</v>
      </c>
      <c r="Y10" t="s">
        <v>119</v>
      </c>
      <c r="Z10" t="s">
        <v>91</v>
      </c>
    </row>
    <row r="11" spans="1:27" ht="15.75" customHeight="1" x14ac:dyDescent="0.35">
      <c r="A11">
        <v>10</v>
      </c>
      <c r="B11">
        <v>45874.432207187499</v>
      </c>
      <c r="D11" t="s">
        <v>120</v>
      </c>
      <c r="E11" t="s">
        <v>121</v>
      </c>
      <c r="F11" t="s">
        <v>71</v>
      </c>
      <c r="G11" t="s">
        <v>33</v>
      </c>
      <c r="H11" t="s">
        <v>33</v>
      </c>
      <c r="I11" t="s">
        <v>34</v>
      </c>
      <c r="J11" t="s">
        <v>34</v>
      </c>
      <c r="K11" t="s">
        <v>74</v>
      </c>
      <c r="L11" t="s">
        <v>36</v>
      </c>
      <c r="N11" t="s">
        <v>122</v>
      </c>
      <c r="O11" t="s">
        <v>48</v>
      </c>
      <c r="P11" t="s">
        <v>48</v>
      </c>
      <c r="Q11" t="s">
        <v>48</v>
      </c>
      <c r="R11" t="s">
        <v>123</v>
      </c>
      <c r="S11" t="s">
        <v>48</v>
      </c>
      <c r="T11" t="s">
        <v>124</v>
      </c>
      <c r="U11" t="s">
        <v>125</v>
      </c>
      <c r="V11" t="s">
        <v>87</v>
      </c>
      <c r="W11" t="s">
        <v>126</v>
      </c>
      <c r="X11" t="s">
        <v>127</v>
      </c>
      <c r="Y11" t="s">
        <v>128</v>
      </c>
      <c r="Z11" t="s">
        <v>129</v>
      </c>
    </row>
    <row r="12" spans="1:27" ht="15.75" customHeight="1" x14ac:dyDescent="0.35">
      <c r="A12">
        <v>11</v>
      </c>
      <c r="B12">
        <v>45874.459542442128</v>
      </c>
      <c r="D12" t="s">
        <v>130</v>
      </c>
      <c r="E12" t="s">
        <v>131</v>
      </c>
      <c r="F12" t="s">
        <v>28</v>
      </c>
      <c r="G12" t="s">
        <v>28</v>
      </c>
      <c r="H12" t="s">
        <v>28</v>
      </c>
      <c r="I12" t="s">
        <v>28</v>
      </c>
      <c r="J12" t="s">
        <v>28</v>
      </c>
      <c r="K12" t="s">
        <v>28</v>
      </c>
      <c r="L12" t="s">
        <v>46</v>
      </c>
      <c r="N12" t="s">
        <v>132</v>
      </c>
      <c r="O12" t="s">
        <v>48</v>
      </c>
      <c r="P12" t="s">
        <v>48</v>
      </c>
      <c r="Q12" t="s">
        <v>48</v>
      </c>
      <c r="S12" t="s">
        <v>48</v>
      </c>
      <c r="T12" t="s">
        <v>133</v>
      </c>
      <c r="U12" t="s">
        <v>134</v>
      </c>
      <c r="V12" t="s">
        <v>135</v>
      </c>
      <c r="W12" t="s">
        <v>136</v>
      </c>
      <c r="X12" t="s">
        <v>137</v>
      </c>
      <c r="Y12" t="s">
        <v>138</v>
      </c>
      <c r="Z12" t="s">
        <v>129</v>
      </c>
    </row>
    <row r="13" spans="1:27" ht="15.75" customHeight="1" x14ac:dyDescent="0.35">
      <c r="A13">
        <v>12</v>
      </c>
      <c r="B13">
        <v>45874.479447812497</v>
      </c>
      <c r="D13" t="s">
        <v>139</v>
      </c>
      <c r="E13" t="s">
        <v>84</v>
      </c>
      <c r="F13" t="s">
        <v>29</v>
      </c>
      <c r="G13" t="s">
        <v>29</v>
      </c>
      <c r="H13" t="s">
        <v>29</v>
      </c>
      <c r="I13" t="s">
        <v>28</v>
      </c>
      <c r="J13" t="s">
        <v>28</v>
      </c>
      <c r="K13" t="s">
        <v>28</v>
      </c>
      <c r="L13" t="s">
        <v>36</v>
      </c>
      <c r="N13" t="s">
        <v>140</v>
      </c>
      <c r="O13" t="s">
        <v>48</v>
      </c>
      <c r="P13" t="s">
        <v>48</v>
      </c>
      <c r="Q13" t="s">
        <v>48</v>
      </c>
      <c r="R13" t="s">
        <v>141</v>
      </c>
      <c r="S13" t="s">
        <v>48</v>
      </c>
      <c r="T13" t="s">
        <v>142</v>
      </c>
      <c r="U13" t="s">
        <v>143</v>
      </c>
      <c r="V13" t="s">
        <v>79</v>
      </c>
      <c r="W13" t="s">
        <v>144</v>
      </c>
      <c r="X13" t="s">
        <v>89</v>
      </c>
      <c r="Y13" t="s">
        <v>145</v>
      </c>
      <c r="Z13" t="s">
        <v>91</v>
      </c>
    </row>
    <row r="14" spans="1:27" ht="15.75" customHeight="1" x14ac:dyDescent="0.35">
      <c r="A14">
        <v>13</v>
      </c>
      <c r="B14">
        <v>45874.521854351857</v>
      </c>
      <c r="D14" t="s">
        <v>146</v>
      </c>
      <c r="E14" t="s">
        <v>147</v>
      </c>
      <c r="F14" t="s">
        <v>28</v>
      </c>
      <c r="G14" t="s">
        <v>28</v>
      </c>
      <c r="H14" t="s">
        <v>28</v>
      </c>
      <c r="I14" t="s">
        <v>28</v>
      </c>
      <c r="J14" t="s">
        <v>28</v>
      </c>
      <c r="K14" t="s">
        <v>28</v>
      </c>
      <c r="L14" t="s">
        <v>46</v>
      </c>
      <c r="N14" t="s">
        <v>148</v>
      </c>
      <c r="O14" t="s">
        <v>48</v>
      </c>
      <c r="P14" t="s">
        <v>48</v>
      </c>
      <c r="Q14" t="s">
        <v>48</v>
      </c>
      <c r="R14" t="s">
        <v>149</v>
      </c>
      <c r="S14" t="s">
        <v>48</v>
      </c>
      <c r="T14" t="s">
        <v>150</v>
      </c>
      <c r="U14" t="s">
        <v>151</v>
      </c>
      <c r="V14" t="s">
        <v>87</v>
      </c>
      <c r="W14" t="s">
        <v>152</v>
      </c>
      <c r="X14" t="s">
        <v>153</v>
      </c>
      <c r="Y14" t="s">
        <v>154</v>
      </c>
      <c r="Z14" t="s">
        <v>129</v>
      </c>
    </row>
    <row r="15" spans="1:27" ht="15.75" customHeight="1" x14ac:dyDescent="0.35">
      <c r="A15">
        <v>14</v>
      </c>
      <c r="B15">
        <v>45874.531611145838</v>
      </c>
      <c r="D15" t="s">
        <v>155</v>
      </c>
      <c r="E15" t="s">
        <v>156</v>
      </c>
      <c r="F15" t="s">
        <v>29</v>
      </c>
      <c r="G15" t="s">
        <v>28</v>
      </c>
      <c r="H15" t="s">
        <v>157</v>
      </c>
      <c r="I15" t="s">
        <v>158</v>
      </c>
      <c r="J15" t="s">
        <v>45</v>
      </c>
      <c r="K15" t="s">
        <v>45</v>
      </c>
      <c r="L15" t="s">
        <v>36</v>
      </c>
      <c r="N15" t="s">
        <v>159</v>
      </c>
      <c r="O15" t="s">
        <v>38</v>
      </c>
      <c r="P15" t="s">
        <v>40</v>
      </c>
      <c r="Q15" t="s">
        <v>40</v>
      </c>
      <c r="S15" t="s">
        <v>38</v>
      </c>
      <c r="V15" t="s">
        <v>135</v>
      </c>
      <c r="W15" t="s">
        <v>160</v>
      </c>
      <c r="X15" t="s">
        <v>161</v>
      </c>
      <c r="Y15" t="s">
        <v>162</v>
      </c>
      <c r="Z15" t="s">
        <v>91</v>
      </c>
    </row>
    <row r="16" spans="1:27" ht="15.75" customHeight="1" x14ac:dyDescent="0.35">
      <c r="A16">
        <v>15</v>
      </c>
      <c r="B16">
        <v>45874.554760381943</v>
      </c>
      <c r="D16" t="s">
        <v>163</v>
      </c>
      <c r="E16" t="s">
        <v>164</v>
      </c>
      <c r="F16" t="s">
        <v>28</v>
      </c>
      <c r="G16" t="s">
        <v>29</v>
      </c>
      <c r="H16" t="s">
        <v>28</v>
      </c>
      <c r="I16" t="s">
        <v>30</v>
      </c>
      <c r="J16" t="s">
        <v>28</v>
      </c>
      <c r="K16" t="s">
        <v>28</v>
      </c>
      <c r="L16" t="s">
        <v>36</v>
      </c>
      <c r="N16" t="s">
        <v>165</v>
      </c>
      <c r="O16" t="s">
        <v>49</v>
      </c>
      <c r="P16" t="s">
        <v>49</v>
      </c>
      <c r="Q16" t="s">
        <v>49</v>
      </c>
      <c r="R16" t="s">
        <v>166</v>
      </c>
      <c r="S16" t="s">
        <v>49</v>
      </c>
      <c r="T16" t="s">
        <v>106</v>
      </c>
      <c r="U16" t="s">
        <v>106</v>
      </c>
      <c r="V16" t="s">
        <v>135</v>
      </c>
      <c r="W16" t="s">
        <v>167</v>
      </c>
      <c r="X16" t="s">
        <v>168</v>
      </c>
      <c r="Y16" t="s">
        <v>169</v>
      </c>
      <c r="Z16" t="s">
        <v>170</v>
      </c>
    </row>
    <row r="17" spans="1:26" ht="15.75" customHeight="1" x14ac:dyDescent="0.35">
      <c r="A17">
        <v>16</v>
      </c>
      <c r="B17">
        <v>45874.588487037036</v>
      </c>
      <c r="D17" t="s">
        <v>171</v>
      </c>
      <c r="E17" t="s">
        <v>172</v>
      </c>
      <c r="F17" t="s">
        <v>28</v>
      </c>
      <c r="G17" t="s">
        <v>29</v>
      </c>
      <c r="H17" t="s">
        <v>33</v>
      </c>
      <c r="I17" t="s">
        <v>173</v>
      </c>
      <c r="J17" t="s">
        <v>103</v>
      </c>
      <c r="K17" t="s">
        <v>28</v>
      </c>
      <c r="L17" t="s">
        <v>46</v>
      </c>
      <c r="N17" t="s">
        <v>174</v>
      </c>
      <c r="O17" t="s">
        <v>48</v>
      </c>
      <c r="P17" t="s">
        <v>48</v>
      </c>
      <c r="Q17" t="s">
        <v>49</v>
      </c>
      <c r="R17" t="s">
        <v>175</v>
      </c>
      <c r="S17" t="s">
        <v>48</v>
      </c>
      <c r="T17" t="s">
        <v>106</v>
      </c>
      <c r="U17" t="s">
        <v>176</v>
      </c>
      <c r="V17" t="s">
        <v>65</v>
      </c>
      <c r="W17" t="s">
        <v>177</v>
      </c>
      <c r="X17" t="s">
        <v>89</v>
      </c>
      <c r="Y17" t="s">
        <v>178</v>
      </c>
      <c r="Z17" t="s">
        <v>129</v>
      </c>
    </row>
    <row r="18" spans="1:26" ht="15.75" customHeight="1" x14ac:dyDescent="0.35">
      <c r="A18">
        <v>17</v>
      </c>
      <c r="B18">
        <v>45874.61810068287</v>
      </c>
      <c r="D18" t="s">
        <v>179</v>
      </c>
      <c r="E18" t="s">
        <v>180</v>
      </c>
      <c r="F18" t="s">
        <v>28</v>
      </c>
      <c r="G18" t="s">
        <v>28</v>
      </c>
      <c r="H18" t="s">
        <v>28</v>
      </c>
      <c r="I18" t="s">
        <v>28</v>
      </c>
      <c r="J18" t="s">
        <v>28</v>
      </c>
      <c r="K18" t="s">
        <v>28</v>
      </c>
      <c r="L18" t="s">
        <v>46</v>
      </c>
      <c r="N18" t="s">
        <v>181</v>
      </c>
      <c r="O18" t="s">
        <v>48</v>
      </c>
      <c r="P18" t="s">
        <v>48</v>
      </c>
      <c r="Q18" t="s">
        <v>48</v>
      </c>
      <c r="R18" t="s">
        <v>56</v>
      </c>
      <c r="S18" t="s">
        <v>48</v>
      </c>
      <c r="T18" t="s">
        <v>56</v>
      </c>
      <c r="U18" t="s">
        <v>56</v>
      </c>
      <c r="V18" t="s">
        <v>135</v>
      </c>
      <c r="W18" t="s">
        <v>182</v>
      </c>
      <c r="X18" t="s">
        <v>183</v>
      </c>
      <c r="Y18" t="s">
        <v>184</v>
      </c>
      <c r="Z18" t="s">
        <v>91</v>
      </c>
    </row>
    <row r="19" spans="1:26" ht="15.75" customHeight="1" x14ac:dyDescent="0.35">
      <c r="A19">
        <v>18</v>
      </c>
      <c r="B19">
        <v>45874.62751421296</v>
      </c>
      <c r="D19" t="s">
        <v>185</v>
      </c>
      <c r="E19" t="s">
        <v>186</v>
      </c>
      <c r="F19" t="s">
        <v>28</v>
      </c>
      <c r="G19" t="s">
        <v>29</v>
      </c>
      <c r="H19" t="s">
        <v>157</v>
      </c>
      <c r="I19" t="s">
        <v>34</v>
      </c>
      <c r="J19" t="s">
        <v>34</v>
      </c>
      <c r="K19" t="s">
        <v>45</v>
      </c>
      <c r="L19" t="s">
        <v>36</v>
      </c>
      <c r="N19" t="s">
        <v>187</v>
      </c>
      <c r="O19" t="s">
        <v>49</v>
      </c>
      <c r="P19" t="s">
        <v>48</v>
      </c>
      <c r="Q19" t="s">
        <v>49</v>
      </c>
      <c r="R19" t="s">
        <v>188</v>
      </c>
      <c r="S19" t="s">
        <v>49</v>
      </c>
      <c r="T19" t="s">
        <v>189</v>
      </c>
      <c r="U19" t="s">
        <v>190</v>
      </c>
      <c r="V19" t="s">
        <v>65</v>
      </c>
      <c r="W19" t="s">
        <v>191</v>
      </c>
      <c r="X19" t="s">
        <v>192</v>
      </c>
      <c r="Y19" t="s">
        <v>193</v>
      </c>
      <c r="Z19" t="s">
        <v>57</v>
      </c>
    </row>
    <row r="20" spans="1:26" ht="15.75" customHeight="1" x14ac:dyDescent="0.35">
      <c r="A20">
        <v>19</v>
      </c>
      <c r="B20">
        <v>45874.797023912033</v>
      </c>
      <c r="D20" t="s">
        <v>194</v>
      </c>
      <c r="E20" t="s">
        <v>195</v>
      </c>
      <c r="F20" t="s">
        <v>29</v>
      </c>
      <c r="G20" t="s">
        <v>196</v>
      </c>
      <c r="H20" t="s">
        <v>29</v>
      </c>
      <c r="I20" t="s">
        <v>197</v>
      </c>
      <c r="J20" t="s">
        <v>34</v>
      </c>
      <c r="K20" t="s">
        <v>28</v>
      </c>
      <c r="L20" t="s">
        <v>46</v>
      </c>
      <c r="N20" t="s">
        <v>198</v>
      </c>
      <c r="O20" t="s">
        <v>38</v>
      </c>
      <c r="P20" t="s">
        <v>49</v>
      </c>
      <c r="Q20" t="s">
        <v>38</v>
      </c>
      <c r="R20" t="s">
        <v>199</v>
      </c>
      <c r="S20" t="s">
        <v>49</v>
      </c>
      <c r="T20" t="s">
        <v>200</v>
      </c>
      <c r="V20" t="s">
        <v>135</v>
      </c>
      <c r="W20" t="s">
        <v>201</v>
      </c>
      <c r="X20" t="s">
        <v>202</v>
      </c>
      <c r="Y20" t="s">
        <v>203</v>
      </c>
      <c r="Z20" t="s">
        <v>129</v>
      </c>
    </row>
    <row r="21" spans="1:26" ht="15.75" customHeight="1" x14ac:dyDescent="0.35">
      <c r="A21">
        <v>20</v>
      </c>
      <c r="B21">
        <v>45874.896271712962</v>
      </c>
      <c r="D21" t="s">
        <v>204</v>
      </c>
      <c r="E21" t="s">
        <v>205</v>
      </c>
      <c r="F21" t="s">
        <v>71</v>
      </c>
      <c r="G21" t="s">
        <v>72</v>
      </c>
      <c r="H21" t="s">
        <v>206</v>
      </c>
      <c r="I21" t="s">
        <v>34</v>
      </c>
      <c r="J21" t="s">
        <v>173</v>
      </c>
      <c r="K21" t="s">
        <v>28</v>
      </c>
      <c r="L21" t="s">
        <v>46</v>
      </c>
      <c r="N21" t="s">
        <v>207</v>
      </c>
      <c r="O21" t="s">
        <v>48</v>
      </c>
      <c r="P21" t="s">
        <v>48</v>
      </c>
      <c r="Q21" t="s">
        <v>48</v>
      </c>
      <c r="S21" t="s">
        <v>49</v>
      </c>
      <c r="V21" t="s">
        <v>87</v>
      </c>
      <c r="W21" t="s">
        <v>208</v>
      </c>
      <c r="X21" t="s">
        <v>161</v>
      </c>
      <c r="Y21" t="s">
        <v>209</v>
      </c>
      <c r="Z21" t="s">
        <v>91</v>
      </c>
    </row>
    <row r="22" spans="1:26" ht="15.75" customHeight="1" x14ac:dyDescent="0.35">
      <c r="A22">
        <v>21</v>
      </c>
      <c r="B22">
        <v>45875.297836817132</v>
      </c>
      <c r="D22" t="s">
        <v>155</v>
      </c>
      <c r="E22" t="s">
        <v>210</v>
      </c>
      <c r="F22" t="s">
        <v>29</v>
      </c>
      <c r="G22" t="s">
        <v>28</v>
      </c>
      <c r="H22" t="s">
        <v>28</v>
      </c>
      <c r="I22" t="s">
        <v>28</v>
      </c>
      <c r="J22" t="s">
        <v>28</v>
      </c>
      <c r="K22" t="s">
        <v>28</v>
      </c>
      <c r="L22" t="s">
        <v>36</v>
      </c>
      <c r="N22" t="s">
        <v>159</v>
      </c>
      <c r="O22" t="s">
        <v>38</v>
      </c>
      <c r="P22" t="s">
        <v>38</v>
      </c>
      <c r="Q22" t="s">
        <v>38</v>
      </c>
      <c r="R22" t="s">
        <v>211</v>
      </c>
      <c r="S22" t="s">
        <v>38</v>
      </c>
      <c r="T22" t="s">
        <v>212</v>
      </c>
      <c r="U22" t="s">
        <v>213</v>
      </c>
      <c r="V22" t="s">
        <v>135</v>
      </c>
      <c r="W22" t="s">
        <v>214</v>
      </c>
      <c r="X22" t="s">
        <v>215</v>
      </c>
      <c r="Y22" t="s">
        <v>216</v>
      </c>
      <c r="Z22" t="s">
        <v>91</v>
      </c>
    </row>
    <row r="23" spans="1:26" ht="15.75" customHeight="1" x14ac:dyDescent="0.35">
      <c r="A23">
        <v>22</v>
      </c>
      <c r="B23">
        <v>45875.596824745371</v>
      </c>
      <c r="D23" t="s">
        <v>217</v>
      </c>
      <c r="E23" t="s">
        <v>218</v>
      </c>
      <c r="F23" t="s">
        <v>71</v>
      </c>
      <c r="G23" t="s">
        <v>33</v>
      </c>
      <c r="H23" t="s">
        <v>33</v>
      </c>
      <c r="I23" t="s">
        <v>34</v>
      </c>
      <c r="J23" t="s">
        <v>34</v>
      </c>
      <c r="K23" t="s">
        <v>74</v>
      </c>
      <c r="L23" t="s">
        <v>46</v>
      </c>
      <c r="N23" t="s">
        <v>219</v>
      </c>
      <c r="O23" t="s">
        <v>48</v>
      </c>
      <c r="P23" t="s">
        <v>48</v>
      </c>
      <c r="Q23" t="s">
        <v>48</v>
      </c>
      <c r="S23" t="s">
        <v>48</v>
      </c>
      <c r="V23" t="s">
        <v>135</v>
      </c>
      <c r="W23" t="s">
        <v>220</v>
      </c>
      <c r="X23" t="s">
        <v>168</v>
      </c>
      <c r="Y23" t="s">
        <v>221</v>
      </c>
      <c r="Z23" t="s">
        <v>170</v>
      </c>
    </row>
    <row r="24" spans="1:26" ht="15.75" customHeight="1" x14ac:dyDescent="0.35">
      <c r="A24">
        <v>23</v>
      </c>
      <c r="B24">
        <v>45875.825013784721</v>
      </c>
      <c r="D24" t="s">
        <v>222</v>
      </c>
      <c r="E24" t="s">
        <v>223</v>
      </c>
      <c r="F24" t="s">
        <v>33</v>
      </c>
      <c r="G24" t="s">
        <v>28</v>
      </c>
      <c r="H24" t="s">
        <v>28</v>
      </c>
      <c r="I24" t="s">
        <v>28</v>
      </c>
      <c r="J24" t="s">
        <v>103</v>
      </c>
      <c r="K24" t="s">
        <v>28</v>
      </c>
      <c r="L24" t="s">
        <v>46</v>
      </c>
      <c r="N24" t="s">
        <v>224</v>
      </c>
      <c r="O24" t="s">
        <v>38</v>
      </c>
      <c r="P24" t="s">
        <v>48</v>
      </c>
      <c r="Q24" t="s">
        <v>48</v>
      </c>
      <c r="R24" t="s">
        <v>225</v>
      </c>
      <c r="S24" t="s">
        <v>38</v>
      </c>
      <c r="T24" t="s">
        <v>226</v>
      </c>
      <c r="U24" t="s">
        <v>227</v>
      </c>
      <c r="V24" t="s">
        <v>87</v>
      </c>
      <c r="W24" t="s">
        <v>228</v>
      </c>
      <c r="X24" t="s">
        <v>229</v>
      </c>
      <c r="Y24" t="s">
        <v>230</v>
      </c>
      <c r="Z24" t="s">
        <v>91</v>
      </c>
    </row>
    <row r="25" spans="1:26" ht="12.75" customHeight="1" x14ac:dyDescent="0.35">
      <c r="A25">
        <v>24</v>
      </c>
      <c r="B25">
        <v>45875.892325497683</v>
      </c>
      <c r="D25" t="s">
        <v>231</v>
      </c>
      <c r="E25" t="s">
        <v>232</v>
      </c>
      <c r="F25" t="s">
        <v>28</v>
      </c>
      <c r="G25" t="s">
        <v>28</v>
      </c>
      <c r="H25" t="s">
        <v>28</v>
      </c>
      <c r="I25" t="s">
        <v>28</v>
      </c>
      <c r="J25" t="s">
        <v>28</v>
      </c>
      <c r="K25" t="s">
        <v>28</v>
      </c>
      <c r="L25" t="s">
        <v>46</v>
      </c>
      <c r="N25" t="s">
        <v>233</v>
      </c>
      <c r="O25" t="s">
        <v>48</v>
      </c>
      <c r="P25" t="s">
        <v>48</v>
      </c>
      <c r="Q25" t="s">
        <v>48</v>
      </c>
      <c r="R25" t="s">
        <v>234</v>
      </c>
      <c r="S25" t="s">
        <v>48</v>
      </c>
      <c r="T25" t="s">
        <v>235</v>
      </c>
      <c r="U25" t="s">
        <v>236</v>
      </c>
      <c r="V25" t="s">
        <v>135</v>
      </c>
      <c r="W25" t="s">
        <v>237</v>
      </c>
      <c r="X25" t="s">
        <v>109</v>
      </c>
      <c r="Y25" t="s">
        <v>238</v>
      </c>
      <c r="Z25" t="s">
        <v>91</v>
      </c>
    </row>
    <row r="26" spans="1:26" ht="12.75" customHeight="1" x14ac:dyDescent="0.35">
      <c r="A26">
        <v>25</v>
      </c>
      <c r="B26">
        <v>45875.900502662036</v>
      </c>
      <c r="D26" t="s">
        <v>239</v>
      </c>
      <c r="E26" t="s">
        <v>232</v>
      </c>
      <c r="F26" t="s">
        <v>33</v>
      </c>
      <c r="G26" t="s">
        <v>29</v>
      </c>
      <c r="H26" t="s">
        <v>60</v>
      </c>
      <c r="I26" t="s">
        <v>28</v>
      </c>
      <c r="J26" t="s">
        <v>103</v>
      </c>
      <c r="K26" t="s">
        <v>45</v>
      </c>
      <c r="L26" t="s">
        <v>36</v>
      </c>
      <c r="N26" t="s">
        <v>233</v>
      </c>
      <c r="O26" t="s">
        <v>38</v>
      </c>
      <c r="P26" t="s">
        <v>40</v>
      </c>
      <c r="Q26" t="s">
        <v>40</v>
      </c>
      <c r="R26" t="s">
        <v>240</v>
      </c>
      <c r="S26" t="s">
        <v>48</v>
      </c>
      <c r="T26" t="s">
        <v>241</v>
      </c>
      <c r="U26" t="s">
        <v>86</v>
      </c>
      <c r="V26" t="s">
        <v>135</v>
      </c>
      <c r="W26" t="s">
        <v>242</v>
      </c>
      <c r="X26" t="s">
        <v>192</v>
      </c>
      <c r="Y26" t="s">
        <v>243</v>
      </c>
      <c r="Z26" t="s">
        <v>91</v>
      </c>
    </row>
    <row r="27" spans="1:26" ht="12.75" customHeight="1" x14ac:dyDescent="0.35">
      <c r="A27">
        <v>26</v>
      </c>
      <c r="B27">
        <v>45875.903885821761</v>
      </c>
      <c r="D27" t="s">
        <v>244</v>
      </c>
      <c r="E27" t="s">
        <v>232</v>
      </c>
      <c r="F27" t="s">
        <v>71</v>
      </c>
      <c r="G27" t="s">
        <v>33</v>
      </c>
      <c r="H27" t="s">
        <v>28</v>
      </c>
      <c r="I27" t="s">
        <v>30</v>
      </c>
      <c r="J27" t="s">
        <v>94</v>
      </c>
      <c r="K27" t="s">
        <v>28</v>
      </c>
      <c r="L27" t="s">
        <v>46</v>
      </c>
      <c r="N27" t="s">
        <v>245</v>
      </c>
      <c r="O27" t="s">
        <v>48</v>
      </c>
      <c r="P27" t="s">
        <v>48</v>
      </c>
      <c r="Q27" t="s">
        <v>48</v>
      </c>
      <c r="R27" t="s">
        <v>246</v>
      </c>
      <c r="S27" t="s">
        <v>48</v>
      </c>
      <c r="T27" t="s">
        <v>247</v>
      </c>
      <c r="U27" t="s">
        <v>248</v>
      </c>
      <c r="V27" t="s">
        <v>87</v>
      </c>
      <c r="W27" t="s">
        <v>249</v>
      </c>
      <c r="X27" t="s">
        <v>250</v>
      </c>
      <c r="Y27" t="s">
        <v>251</v>
      </c>
      <c r="Z27" t="s">
        <v>129</v>
      </c>
    </row>
    <row r="28" spans="1:26" ht="12.75" customHeight="1" x14ac:dyDescent="0.35">
      <c r="A28">
        <v>27</v>
      </c>
      <c r="B28">
        <v>45875.905232569443</v>
      </c>
      <c r="D28" t="s">
        <v>252</v>
      </c>
      <c r="E28" t="s">
        <v>232</v>
      </c>
      <c r="F28" t="s">
        <v>28</v>
      </c>
      <c r="G28" t="s">
        <v>28</v>
      </c>
      <c r="H28" t="s">
        <v>28</v>
      </c>
      <c r="I28" t="s">
        <v>28</v>
      </c>
      <c r="J28" t="s">
        <v>28</v>
      </c>
      <c r="K28" t="s">
        <v>28</v>
      </c>
      <c r="L28" t="s">
        <v>46</v>
      </c>
      <c r="N28" t="s">
        <v>253</v>
      </c>
      <c r="O28" t="s">
        <v>48</v>
      </c>
      <c r="P28" t="s">
        <v>48</v>
      </c>
      <c r="Q28" t="s">
        <v>48</v>
      </c>
      <c r="R28" t="s">
        <v>254</v>
      </c>
      <c r="S28" t="s">
        <v>48</v>
      </c>
      <c r="T28" t="s">
        <v>255</v>
      </c>
      <c r="U28" t="s">
        <v>256</v>
      </c>
      <c r="V28" t="s">
        <v>135</v>
      </c>
      <c r="W28" t="s">
        <v>257</v>
      </c>
      <c r="X28" t="s">
        <v>250</v>
      </c>
      <c r="Y28" t="s">
        <v>258</v>
      </c>
      <c r="Z28" t="s">
        <v>91</v>
      </c>
    </row>
    <row r="29" spans="1:26" ht="12.75" customHeight="1" x14ac:dyDescent="0.35">
      <c r="A29">
        <v>28</v>
      </c>
      <c r="B29">
        <v>45875.905831550925</v>
      </c>
      <c r="D29" t="s">
        <v>259</v>
      </c>
      <c r="E29" t="s">
        <v>223</v>
      </c>
      <c r="F29" t="s">
        <v>28</v>
      </c>
      <c r="G29" t="s">
        <v>28</v>
      </c>
      <c r="H29" t="s">
        <v>28</v>
      </c>
      <c r="I29" t="s">
        <v>28</v>
      </c>
      <c r="J29" t="s">
        <v>28</v>
      </c>
      <c r="K29" t="s">
        <v>28</v>
      </c>
      <c r="L29" t="s">
        <v>46</v>
      </c>
      <c r="N29" t="s">
        <v>260</v>
      </c>
      <c r="O29" t="s">
        <v>48</v>
      </c>
      <c r="P29" t="s">
        <v>48</v>
      </c>
      <c r="Q29" t="s">
        <v>48</v>
      </c>
      <c r="S29" t="s">
        <v>48</v>
      </c>
      <c r="V29" t="s">
        <v>87</v>
      </c>
      <c r="W29" t="s">
        <v>261</v>
      </c>
      <c r="X29" t="s">
        <v>192</v>
      </c>
      <c r="Y29" t="s">
        <v>262</v>
      </c>
      <c r="Z29" t="s">
        <v>91</v>
      </c>
    </row>
    <row r="30" spans="1:26" ht="12.75" customHeight="1" x14ac:dyDescent="0.35">
      <c r="A30">
        <v>29</v>
      </c>
      <c r="B30">
        <v>45875.915011701392</v>
      </c>
      <c r="D30" t="s">
        <v>263</v>
      </c>
      <c r="E30" t="s">
        <v>223</v>
      </c>
      <c r="F30" t="s">
        <v>33</v>
      </c>
      <c r="G30" t="s">
        <v>33</v>
      </c>
      <c r="H30" t="s">
        <v>33</v>
      </c>
      <c r="I30" t="s">
        <v>34</v>
      </c>
      <c r="J30" t="s">
        <v>34</v>
      </c>
      <c r="K30" t="s">
        <v>74</v>
      </c>
      <c r="L30" t="s">
        <v>36</v>
      </c>
      <c r="N30" t="s">
        <v>264</v>
      </c>
      <c r="O30" t="s">
        <v>48</v>
      </c>
      <c r="P30" t="s">
        <v>48</v>
      </c>
      <c r="Q30" t="s">
        <v>48</v>
      </c>
      <c r="R30" t="s">
        <v>265</v>
      </c>
      <c r="S30" t="s">
        <v>48</v>
      </c>
      <c r="T30" t="s">
        <v>266</v>
      </c>
      <c r="U30" t="s">
        <v>267</v>
      </c>
      <c r="V30" t="s">
        <v>135</v>
      </c>
      <c r="W30" t="s">
        <v>268</v>
      </c>
      <c r="X30" t="s">
        <v>192</v>
      </c>
      <c r="Y30" t="s">
        <v>269</v>
      </c>
      <c r="Z30" t="s">
        <v>129</v>
      </c>
    </row>
    <row r="31" spans="1:26" ht="12.75" customHeight="1" x14ac:dyDescent="0.35">
      <c r="A31">
        <v>30</v>
      </c>
      <c r="B31">
        <v>45875.93103537037</v>
      </c>
      <c r="D31" t="s">
        <v>270</v>
      </c>
      <c r="E31" t="s">
        <v>223</v>
      </c>
      <c r="F31" t="s">
        <v>28</v>
      </c>
      <c r="G31" t="s">
        <v>60</v>
      </c>
      <c r="H31" t="s">
        <v>28</v>
      </c>
      <c r="I31" t="s">
        <v>158</v>
      </c>
      <c r="J31" t="s">
        <v>45</v>
      </c>
      <c r="K31" t="s">
        <v>28</v>
      </c>
      <c r="L31" t="s">
        <v>36</v>
      </c>
      <c r="N31" t="s">
        <v>271</v>
      </c>
      <c r="O31" t="s">
        <v>49</v>
      </c>
      <c r="P31" t="s">
        <v>48</v>
      </c>
      <c r="Q31" t="s">
        <v>38</v>
      </c>
      <c r="R31" t="s">
        <v>272</v>
      </c>
      <c r="S31" t="s">
        <v>49</v>
      </c>
      <c r="T31" t="s">
        <v>273</v>
      </c>
      <c r="U31" t="s">
        <v>274</v>
      </c>
      <c r="V31" t="s">
        <v>53</v>
      </c>
      <c r="W31" t="s">
        <v>275</v>
      </c>
      <c r="X31" t="s">
        <v>109</v>
      </c>
      <c r="Y31" t="s">
        <v>193</v>
      </c>
      <c r="Z31" t="s">
        <v>91</v>
      </c>
    </row>
    <row r="32" spans="1:26" ht="12.75" customHeight="1" x14ac:dyDescent="0.35">
      <c r="A32">
        <v>31</v>
      </c>
      <c r="B32">
        <v>45875.954156944441</v>
      </c>
      <c r="D32" t="s">
        <v>276</v>
      </c>
      <c r="E32" t="s">
        <v>232</v>
      </c>
      <c r="F32" t="s">
        <v>28</v>
      </c>
      <c r="G32" t="s">
        <v>28</v>
      </c>
      <c r="H32" t="s">
        <v>28</v>
      </c>
      <c r="I32" t="s">
        <v>173</v>
      </c>
      <c r="J32" t="s">
        <v>28</v>
      </c>
      <c r="K32" t="s">
        <v>28</v>
      </c>
      <c r="L32" t="s">
        <v>46</v>
      </c>
      <c r="N32" t="s">
        <v>277</v>
      </c>
      <c r="O32" t="s">
        <v>49</v>
      </c>
      <c r="P32" t="s">
        <v>38</v>
      </c>
      <c r="Q32" t="s">
        <v>49</v>
      </c>
      <c r="R32" t="s">
        <v>278</v>
      </c>
      <c r="S32" t="s">
        <v>49</v>
      </c>
      <c r="T32" t="s">
        <v>279</v>
      </c>
      <c r="U32" t="s">
        <v>280</v>
      </c>
      <c r="V32" t="s">
        <v>135</v>
      </c>
      <c r="W32" t="s">
        <v>281</v>
      </c>
      <c r="X32" t="s">
        <v>250</v>
      </c>
      <c r="Y32" t="s">
        <v>282</v>
      </c>
      <c r="Z32" t="s">
        <v>91</v>
      </c>
    </row>
    <row r="33" spans="1:26" ht="12.75" customHeight="1" x14ac:dyDescent="0.35">
      <c r="A33">
        <v>32</v>
      </c>
      <c r="B33">
        <v>45876.021332893521</v>
      </c>
      <c r="D33" t="s">
        <v>283</v>
      </c>
      <c r="E33" t="s">
        <v>223</v>
      </c>
      <c r="F33" t="s">
        <v>28</v>
      </c>
      <c r="G33" t="s">
        <v>196</v>
      </c>
      <c r="H33" t="s">
        <v>284</v>
      </c>
      <c r="I33" t="s">
        <v>197</v>
      </c>
      <c r="J33" t="s">
        <v>28</v>
      </c>
      <c r="K33" t="s">
        <v>28</v>
      </c>
      <c r="L33" t="s">
        <v>36</v>
      </c>
      <c r="N33" t="s">
        <v>233</v>
      </c>
      <c r="O33" t="s">
        <v>48</v>
      </c>
      <c r="P33" t="s">
        <v>48</v>
      </c>
      <c r="Q33" t="s">
        <v>48</v>
      </c>
      <c r="R33" t="s">
        <v>285</v>
      </c>
      <c r="S33" t="s">
        <v>48</v>
      </c>
      <c r="T33" t="s">
        <v>286</v>
      </c>
      <c r="U33" t="s">
        <v>287</v>
      </c>
      <c r="V33" t="s">
        <v>135</v>
      </c>
      <c r="W33" t="s">
        <v>288</v>
      </c>
      <c r="X33" t="s">
        <v>192</v>
      </c>
      <c r="Y33" t="s">
        <v>289</v>
      </c>
      <c r="Z33" t="s">
        <v>91</v>
      </c>
    </row>
    <row r="34" spans="1:26" ht="12.75" customHeight="1" x14ac:dyDescent="0.35">
      <c r="A34">
        <v>33</v>
      </c>
      <c r="B34">
        <v>45876.205091863427</v>
      </c>
      <c r="D34" t="s">
        <v>290</v>
      </c>
      <c r="E34" t="s">
        <v>291</v>
      </c>
      <c r="F34" t="s">
        <v>28</v>
      </c>
      <c r="G34" t="s">
        <v>33</v>
      </c>
      <c r="H34" t="s">
        <v>284</v>
      </c>
      <c r="I34" t="s">
        <v>30</v>
      </c>
      <c r="J34" t="s">
        <v>34</v>
      </c>
      <c r="K34" t="s">
        <v>292</v>
      </c>
      <c r="L34" t="s">
        <v>46</v>
      </c>
      <c r="N34" t="s">
        <v>233</v>
      </c>
      <c r="O34" t="s">
        <v>38</v>
      </c>
      <c r="P34" t="s">
        <v>38</v>
      </c>
      <c r="Q34" t="s">
        <v>38</v>
      </c>
      <c r="R34" t="s">
        <v>293</v>
      </c>
      <c r="S34" t="s">
        <v>38</v>
      </c>
      <c r="T34" t="s">
        <v>294</v>
      </c>
      <c r="U34" t="s">
        <v>295</v>
      </c>
      <c r="V34" t="s">
        <v>87</v>
      </c>
      <c r="W34" t="s">
        <v>296</v>
      </c>
      <c r="X34" t="s">
        <v>192</v>
      </c>
      <c r="Y34" t="s">
        <v>56</v>
      </c>
      <c r="Z34" t="s">
        <v>91</v>
      </c>
    </row>
    <row r="35" spans="1:26" ht="12.75" customHeight="1" x14ac:dyDescent="0.35">
      <c r="A35">
        <v>34</v>
      </c>
      <c r="B35">
        <v>45876.237986840279</v>
      </c>
      <c r="D35" t="s">
        <v>297</v>
      </c>
      <c r="E35" t="s">
        <v>232</v>
      </c>
      <c r="F35" t="s">
        <v>28</v>
      </c>
      <c r="G35" t="s">
        <v>29</v>
      </c>
      <c r="H35" t="s">
        <v>206</v>
      </c>
      <c r="I35" t="s">
        <v>30</v>
      </c>
      <c r="J35" t="s">
        <v>28</v>
      </c>
      <c r="K35" t="s">
        <v>94</v>
      </c>
      <c r="L35" t="s">
        <v>46</v>
      </c>
      <c r="N35" t="s">
        <v>253</v>
      </c>
      <c r="O35" t="s">
        <v>48</v>
      </c>
      <c r="P35" t="s">
        <v>48</v>
      </c>
      <c r="Q35" t="s">
        <v>48</v>
      </c>
      <c r="R35" t="s">
        <v>298</v>
      </c>
      <c r="S35" t="s">
        <v>48</v>
      </c>
      <c r="T35" t="s">
        <v>299</v>
      </c>
      <c r="U35" t="s">
        <v>300</v>
      </c>
      <c r="V35" t="s">
        <v>87</v>
      </c>
      <c r="W35" t="s">
        <v>301</v>
      </c>
      <c r="X35" t="s">
        <v>250</v>
      </c>
      <c r="Y35" t="s">
        <v>302</v>
      </c>
      <c r="Z35" t="s">
        <v>91</v>
      </c>
    </row>
    <row r="36" spans="1:26" ht="12.75" customHeight="1" x14ac:dyDescent="0.35">
      <c r="A36">
        <v>35</v>
      </c>
      <c r="B36">
        <v>45876.268329768514</v>
      </c>
      <c r="D36" t="s">
        <v>303</v>
      </c>
      <c r="E36" t="s">
        <v>205</v>
      </c>
      <c r="F36" t="s">
        <v>33</v>
      </c>
      <c r="G36" t="s">
        <v>33</v>
      </c>
      <c r="H36" t="s">
        <v>33</v>
      </c>
      <c r="I36" t="s">
        <v>34</v>
      </c>
      <c r="J36" t="s">
        <v>34</v>
      </c>
      <c r="K36" t="s">
        <v>28</v>
      </c>
      <c r="L36" t="s">
        <v>36</v>
      </c>
      <c r="N36" t="s">
        <v>304</v>
      </c>
      <c r="O36" t="s">
        <v>48</v>
      </c>
      <c r="P36" t="s">
        <v>48</v>
      </c>
      <c r="Q36" t="s">
        <v>48</v>
      </c>
      <c r="R36" t="s">
        <v>305</v>
      </c>
      <c r="S36" t="s">
        <v>40</v>
      </c>
      <c r="T36" t="s">
        <v>306</v>
      </c>
      <c r="U36" t="s">
        <v>86</v>
      </c>
      <c r="V36" t="s">
        <v>135</v>
      </c>
      <c r="W36" t="s">
        <v>307</v>
      </c>
      <c r="X36" t="s">
        <v>192</v>
      </c>
      <c r="Y36" t="s">
        <v>308</v>
      </c>
      <c r="Z36" t="s">
        <v>129</v>
      </c>
    </row>
    <row r="37" spans="1:26" ht="12.75" customHeight="1" x14ac:dyDescent="0.35">
      <c r="A37">
        <v>36</v>
      </c>
      <c r="B37">
        <v>45876.32839811343</v>
      </c>
      <c r="D37" t="s">
        <v>309</v>
      </c>
      <c r="E37" t="s">
        <v>223</v>
      </c>
      <c r="F37" t="s">
        <v>33</v>
      </c>
      <c r="G37" t="s">
        <v>72</v>
      </c>
      <c r="H37" t="s">
        <v>33</v>
      </c>
      <c r="I37" t="s">
        <v>72</v>
      </c>
      <c r="J37" t="s">
        <v>34</v>
      </c>
      <c r="K37" t="s">
        <v>74</v>
      </c>
      <c r="L37" t="s">
        <v>46</v>
      </c>
      <c r="N37" t="s">
        <v>233</v>
      </c>
      <c r="O37" t="s">
        <v>39</v>
      </c>
      <c r="P37" t="s">
        <v>48</v>
      </c>
      <c r="Q37" t="s">
        <v>48</v>
      </c>
      <c r="R37" t="s">
        <v>310</v>
      </c>
      <c r="S37" t="s">
        <v>48</v>
      </c>
      <c r="T37" t="s">
        <v>311</v>
      </c>
      <c r="U37" t="s">
        <v>312</v>
      </c>
      <c r="V37" t="s">
        <v>53</v>
      </c>
      <c r="W37" t="s">
        <v>313</v>
      </c>
      <c r="X37" t="s">
        <v>109</v>
      </c>
      <c r="Y37" t="s">
        <v>26</v>
      </c>
      <c r="Z37" t="s">
        <v>91</v>
      </c>
    </row>
    <row r="38" spans="1:26" ht="12.75" customHeight="1" x14ac:dyDescent="0.35">
      <c r="A38">
        <v>37</v>
      </c>
      <c r="B38">
        <v>45876.381225370365</v>
      </c>
      <c r="D38" t="s">
        <v>314</v>
      </c>
      <c r="E38" t="s">
        <v>223</v>
      </c>
      <c r="F38" t="s">
        <v>33</v>
      </c>
      <c r="G38" t="s">
        <v>33</v>
      </c>
      <c r="H38" t="s">
        <v>33</v>
      </c>
      <c r="I38" t="s">
        <v>34</v>
      </c>
      <c r="J38" t="s">
        <v>34</v>
      </c>
      <c r="K38" t="s">
        <v>74</v>
      </c>
      <c r="L38" t="s">
        <v>36</v>
      </c>
      <c r="N38" t="s">
        <v>260</v>
      </c>
      <c r="O38" t="s">
        <v>48</v>
      </c>
      <c r="P38" t="s">
        <v>48</v>
      </c>
      <c r="Q38" t="s">
        <v>38</v>
      </c>
      <c r="S38" t="s">
        <v>38</v>
      </c>
      <c r="V38" t="s">
        <v>135</v>
      </c>
      <c r="W38" t="s">
        <v>315</v>
      </c>
      <c r="X38" t="s">
        <v>192</v>
      </c>
      <c r="Y38" t="s">
        <v>316</v>
      </c>
      <c r="Z38" t="s">
        <v>91</v>
      </c>
    </row>
    <row r="39" spans="1:26" ht="12.75" customHeight="1" x14ac:dyDescent="0.35">
      <c r="A39">
        <v>38</v>
      </c>
      <c r="B39">
        <v>45876.428207592588</v>
      </c>
      <c r="D39" t="s">
        <v>317</v>
      </c>
      <c r="E39" t="s">
        <v>318</v>
      </c>
      <c r="F39" t="s">
        <v>28</v>
      </c>
      <c r="G39" t="s">
        <v>29</v>
      </c>
      <c r="H39" t="s">
        <v>29</v>
      </c>
      <c r="I39" t="s">
        <v>173</v>
      </c>
      <c r="J39" t="s">
        <v>30</v>
      </c>
      <c r="K39" t="s">
        <v>35</v>
      </c>
      <c r="L39" t="s">
        <v>46</v>
      </c>
      <c r="N39" t="s">
        <v>233</v>
      </c>
      <c r="O39" t="s">
        <v>48</v>
      </c>
      <c r="P39" t="s">
        <v>48</v>
      </c>
      <c r="Q39" t="s">
        <v>49</v>
      </c>
      <c r="R39" t="s">
        <v>319</v>
      </c>
      <c r="S39" t="s">
        <v>49</v>
      </c>
      <c r="T39" t="s">
        <v>320</v>
      </c>
      <c r="U39" t="s">
        <v>321</v>
      </c>
      <c r="V39" t="s">
        <v>135</v>
      </c>
      <c r="W39" t="s">
        <v>322</v>
      </c>
      <c r="X39" t="s">
        <v>192</v>
      </c>
      <c r="Y39" t="s">
        <v>232</v>
      </c>
      <c r="Z39" t="s">
        <v>129</v>
      </c>
    </row>
    <row r="40" spans="1:26" ht="12.75" customHeight="1" x14ac:dyDescent="0.35">
      <c r="A40">
        <v>39</v>
      </c>
      <c r="B40">
        <v>45876.459660474538</v>
      </c>
      <c r="D40" t="s">
        <v>323</v>
      </c>
      <c r="E40" t="s">
        <v>318</v>
      </c>
      <c r="F40" t="s">
        <v>28</v>
      </c>
      <c r="G40" t="s">
        <v>28</v>
      </c>
      <c r="H40" t="s">
        <v>28</v>
      </c>
      <c r="I40" t="s">
        <v>103</v>
      </c>
      <c r="J40" t="s">
        <v>103</v>
      </c>
      <c r="K40" t="s">
        <v>28</v>
      </c>
      <c r="L40" t="s">
        <v>46</v>
      </c>
      <c r="N40" t="s">
        <v>233</v>
      </c>
      <c r="O40" t="s">
        <v>38</v>
      </c>
      <c r="P40" t="s">
        <v>49</v>
      </c>
      <c r="Q40" t="s">
        <v>49</v>
      </c>
      <c r="R40" t="s">
        <v>324</v>
      </c>
      <c r="S40" t="s">
        <v>49</v>
      </c>
      <c r="T40" t="s">
        <v>325</v>
      </c>
      <c r="U40" t="s">
        <v>326</v>
      </c>
      <c r="V40" t="s">
        <v>135</v>
      </c>
      <c r="W40" t="s">
        <v>327</v>
      </c>
      <c r="X40" t="s">
        <v>109</v>
      </c>
      <c r="Y40" t="s">
        <v>223</v>
      </c>
      <c r="Z40" t="s">
        <v>129</v>
      </c>
    </row>
    <row r="41" spans="1:26" ht="12.75" customHeight="1" x14ac:dyDescent="0.35">
      <c r="A41">
        <v>40</v>
      </c>
      <c r="B41">
        <v>45876.807092210649</v>
      </c>
      <c r="D41" t="s">
        <v>328</v>
      </c>
      <c r="E41" t="s">
        <v>223</v>
      </c>
      <c r="F41" t="s">
        <v>33</v>
      </c>
      <c r="G41" t="s">
        <v>28</v>
      </c>
      <c r="H41" t="s">
        <v>33</v>
      </c>
      <c r="I41" t="s">
        <v>30</v>
      </c>
      <c r="J41" t="s">
        <v>34</v>
      </c>
      <c r="K41" t="s">
        <v>74</v>
      </c>
      <c r="L41" t="s">
        <v>36</v>
      </c>
      <c r="N41" t="s">
        <v>233</v>
      </c>
      <c r="O41" t="s">
        <v>48</v>
      </c>
      <c r="P41" t="s">
        <v>48</v>
      </c>
      <c r="Q41" t="s">
        <v>48</v>
      </c>
      <c r="R41" t="s">
        <v>329</v>
      </c>
      <c r="S41" t="s">
        <v>48</v>
      </c>
      <c r="T41" t="s">
        <v>330</v>
      </c>
      <c r="U41" t="s">
        <v>86</v>
      </c>
      <c r="V41" t="s">
        <v>135</v>
      </c>
      <c r="W41" t="s">
        <v>331</v>
      </c>
      <c r="X41" t="s">
        <v>192</v>
      </c>
      <c r="Y41" t="s">
        <v>332</v>
      </c>
      <c r="Z41" t="s">
        <v>129</v>
      </c>
    </row>
    <row r="42" spans="1:26" ht="12.75" customHeight="1" x14ac:dyDescent="0.35">
      <c r="A42">
        <v>41</v>
      </c>
      <c r="B42">
        <v>45877.009490115743</v>
      </c>
      <c r="D42" t="s">
        <v>333</v>
      </c>
      <c r="E42" t="s">
        <v>334</v>
      </c>
      <c r="F42" t="s">
        <v>33</v>
      </c>
      <c r="G42" t="s">
        <v>28</v>
      </c>
      <c r="H42" t="s">
        <v>33</v>
      </c>
      <c r="I42" t="s">
        <v>34</v>
      </c>
      <c r="J42" t="s">
        <v>34</v>
      </c>
      <c r="K42" t="s">
        <v>74</v>
      </c>
      <c r="L42" t="s">
        <v>36</v>
      </c>
      <c r="N42" t="s">
        <v>335</v>
      </c>
      <c r="O42" t="s">
        <v>49</v>
      </c>
      <c r="P42" t="s">
        <v>48</v>
      </c>
      <c r="Q42" t="s">
        <v>49</v>
      </c>
      <c r="R42" t="s">
        <v>336</v>
      </c>
      <c r="S42" t="s">
        <v>48</v>
      </c>
      <c r="T42" t="s">
        <v>337</v>
      </c>
      <c r="U42" t="s">
        <v>338</v>
      </c>
      <c r="V42" t="s">
        <v>87</v>
      </c>
      <c r="W42" t="s">
        <v>339</v>
      </c>
      <c r="X42" t="s">
        <v>340</v>
      </c>
      <c r="Y42" t="s">
        <v>341</v>
      </c>
      <c r="Z42" t="s">
        <v>129</v>
      </c>
    </row>
    <row r="43" spans="1:26" ht="12.75" customHeight="1" x14ac:dyDescent="0.35">
      <c r="A43">
        <v>42</v>
      </c>
      <c r="B43">
        <v>45878.041128333338</v>
      </c>
      <c r="D43" t="s">
        <v>342</v>
      </c>
      <c r="E43" t="s">
        <v>343</v>
      </c>
      <c r="F43" t="s">
        <v>344</v>
      </c>
      <c r="G43" t="s">
        <v>29</v>
      </c>
      <c r="H43" t="s">
        <v>29</v>
      </c>
      <c r="I43" t="s">
        <v>30</v>
      </c>
      <c r="J43" t="s">
        <v>30</v>
      </c>
      <c r="K43" t="s">
        <v>94</v>
      </c>
      <c r="L43" t="s">
        <v>46</v>
      </c>
      <c r="N43" t="s">
        <v>335</v>
      </c>
      <c r="O43" t="s">
        <v>48</v>
      </c>
      <c r="P43" t="s">
        <v>48</v>
      </c>
      <c r="Q43" t="s">
        <v>49</v>
      </c>
      <c r="R43" t="s">
        <v>345</v>
      </c>
      <c r="S43" t="s">
        <v>48</v>
      </c>
      <c r="T43" t="s">
        <v>106</v>
      </c>
      <c r="U43" t="s">
        <v>346</v>
      </c>
      <c r="V43" t="s">
        <v>87</v>
      </c>
      <c r="W43" t="s">
        <v>347</v>
      </c>
      <c r="X43" t="s">
        <v>348</v>
      </c>
      <c r="Y43" t="s">
        <v>349</v>
      </c>
      <c r="Z43" t="s">
        <v>91</v>
      </c>
    </row>
    <row r="44" spans="1:26" ht="12.75" customHeight="1" x14ac:dyDescent="0.35">
      <c r="A44">
        <v>43</v>
      </c>
      <c r="B44">
        <v>45878.041132071754</v>
      </c>
      <c r="D44" t="s">
        <v>350</v>
      </c>
      <c r="E44" t="s">
        <v>351</v>
      </c>
      <c r="F44" t="s">
        <v>33</v>
      </c>
      <c r="G44" t="s">
        <v>33</v>
      </c>
      <c r="H44" t="s">
        <v>33</v>
      </c>
      <c r="I44" t="s">
        <v>34</v>
      </c>
      <c r="J44" t="s">
        <v>34</v>
      </c>
      <c r="K44" t="s">
        <v>74</v>
      </c>
      <c r="L44" t="s">
        <v>36</v>
      </c>
      <c r="N44" t="s">
        <v>352</v>
      </c>
      <c r="O44" t="s">
        <v>39</v>
      </c>
      <c r="P44" t="s">
        <v>39</v>
      </c>
      <c r="Q44" t="s">
        <v>38</v>
      </c>
      <c r="R44" t="s">
        <v>353</v>
      </c>
      <c r="S44" t="s">
        <v>38</v>
      </c>
      <c r="T44" t="s">
        <v>354</v>
      </c>
      <c r="U44" t="s">
        <v>355</v>
      </c>
      <c r="V44" t="s">
        <v>87</v>
      </c>
      <c r="W44" t="s">
        <v>356</v>
      </c>
      <c r="X44" t="s">
        <v>357</v>
      </c>
      <c r="Y44" t="s">
        <v>358</v>
      </c>
      <c r="Z44" t="s">
        <v>91</v>
      </c>
    </row>
    <row r="45" spans="1:26" ht="12.75" customHeight="1" x14ac:dyDescent="0.35">
      <c r="A45">
        <v>44</v>
      </c>
      <c r="B45">
        <v>45878.045761319445</v>
      </c>
      <c r="D45" t="s">
        <v>359</v>
      </c>
      <c r="E45" t="s">
        <v>32</v>
      </c>
      <c r="F45" t="s">
        <v>29</v>
      </c>
      <c r="G45" t="s">
        <v>60</v>
      </c>
      <c r="H45" t="s">
        <v>33</v>
      </c>
      <c r="I45" t="s">
        <v>28</v>
      </c>
      <c r="J45" t="s">
        <v>34</v>
      </c>
      <c r="K45" t="s">
        <v>61</v>
      </c>
      <c r="L45" t="s">
        <v>46</v>
      </c>
      <c r="N45" t="s">
        <v>335</v>
      </c>
      <c r="O45" t="s">
        <v>49</v>
      </c>
      <c r="P45" t="s">
        <v>49</v>
      </c>
      <c r="Q45" t="s">
        <v>49</v>
      </c>
      <c r="R45" t="s">
        <v>360</v>
      </c>
      <c r="S45" t="s">
        <v>48</v>
      </c>
      <c r="T45" t="s">
        <v>361</v>
      </c>
      <c r="U45" t="s">
        <v>362</v>
      </c>
      <c r="V45" t="s">
        <v>65</v>
      </c>
      <c r="W45" t="s">
        <v>363</v>
      </c>
      <c r="X45" t="s">
        <v>364</v>
      </c>
      <c r="Y45" t="s">
        <v>365</v>
      </c>
      <c r="Z45" t="s">
        <v>91</v>
      </c>
    </row>
    <row r="46" spans="1:26" ht="12.75" customHeight="1" x14ac:dyDescent="0.35">
      <c r="A46">
        <v>45</v>
      </c>
      <c r="B46">
        <v>45879.914345393518</v>
      </c>
      <c r="D46" t="s">
        <v>366</v>
      </c>
      <c r="E46" t="s">
        <v>367</v>
      </c>
      <c r="F46" t="s">
        <v>29</v>
      </c>
      <c r="G46" t="s">
        <v>28</v>
      </c>
      <c r="H46" t="s">
        <v>284</v>
      </c>
      <c r="I46" t="s">
        <v>103</v>
      </c>
      <c r="J46" t="s">
        <v>368</v>
      </c>
      <c r="K46" t="s">
        <v>28</v>
      </c>
      <c r="L46" t="s">
        <v>46</v>
      </c>
      <c r="N46" t="s">
        <v>369</v>
      </c>
      <c r="O46" t="s">
        <v>48</v>
      </c>
      <c r="P46" t="s">
        <v>48</v>
      </c>
      <c r="Q46" t="s">
        <v>49</v>
      </c>
      <c r="R46" t="s">
        <v>370</v>
      </c>
      <c r="S46" t="s">
        <v>49</v>
      </c>
      <c r="T46" t="s">
        <v>371</v>
      </c>
      <c r="U46" t="s">
        <v>372</v>
      </c>
      <c r="V46" t="s">
        <v>65</v>
      </c>
      <c r="W46" t="s">
        <v>373</v>
      </c>
      <c r="X46" t="s">
        <v>374</v>
      </c>
      <c r="Y46" t="s">
        <v>56</v>
      </c>
      <c r="Z46" t="s">
        <v>57</v>
      </c>
    </row>
    <row r="47" spans="1:26" ht="12.75" customHeight="1" x14ac:dyDescent="0.35">
      <c r="A47">
        <v>46</v>
      </c>
      <c r="B47">
        <v>45880.626176319449</v>
      </c>
      <c r="E47" t="s">
        <v>180</v>
      </c>
      <c r="F47" t="s">
        <v>28</v>
      </c>
      <c r="G47" t="s">
        <v>29</v>
      </c>
      <c r="H47" t="s">
        <v>284</v>
      </c>
      <c r="I47" t="s">
        <v>30</v>
      </c>
      <c r="J47" t="s">
        <v>30</v>
      </c>
      <c r="K47" t="s">
        <v>28</v>
      </c>
      <c r="L47" t="s">
        <v>46</v>
      </c>
      <c r="N47" t="s">
        <v>375</v>
      </c>
      <c r="V47" t="s">
        <v>65</v>
      </c>
      <c r="X47" t="s">
        <v>81</v>
      </c>
      <c r="Y47" t="s">
        <v>376</v>
      </c>
      <c r="Z47" t="s">
        <v>129</v>
      </c>
    </row>
    <row r="48" spans="1:26" ht="12.75" customHeight="1" x14ac:dyDescent="0.35">
      <c r="A48">
        <v>47</v>
      </c>
      <c r="B48">
        <v>45880.711926863427</v>
      </c>
      <c r="E48" t="s">
        <v>180</v>
      </c>
      <c r="F48" t="s">
        <v>377</v>
      </c>
      <c r="G48" t="s">
        <v>29</v>
      </c>
      <c r="H48" t="s">
        <v>28</v>
      </c>
      <c r="I48" t="s">
        <v>34</v>
      </c>
      <c r="J48" t="s">
        <v>28</v>
      </c>
      <c r="K48" t="s">
        <v>368</v>
      </c>
      <c r="L48" t="s">
        <v>36</v>
      </c>
      <c r="N48" t="s">
        <v>375</v>
      </c>
      <c r="O48" t="s">
        <v>38</v>
      </c>
      <c r="P48" t="s">
        <v>38</v>
      </c>
      <c r="Q48" t="s">
        <v>49</v>
      </c>
      <c r="R48" t="s">
        <v>378</v>
      </c>
      <c r="S48" t="s">
        <v>49</v>
      </c>
      <c r="T48" t="s">
        <v>379</v>
      </c>
      <c r="U48" t="s">
        <v>380</v>
      </c>
      <c r="V48" t="s">
        <v>65</v>
      </c>
      <c r="X48" t="s">
        <v>81</v>
      </c>
      <c r="Y48" t="s">
        <v>381</v>
      </c>
      <c r="Z48" t="s">
        <v>129</v>
      </c>
    </row>
    <row r="49" spans="1:26" ht="12.75" customHeight="1" x14ac:dyDescent="0.35">
      <c r="A49">
        <v>48</v>
      </c>
      <c r="B49">
        <v>45881.386411099535</v>
      </c>
      <c r="D49" t="s">
        <v>382</v>
      </c>
      <c r="E49" t="s">
        <v>84</v>
      </c>
      <c r="F49" t="s">
        <v>29</v>
      </c>
      <c r="G49" t="s">
        <v>29</v>
      </c>
      <c r="H49" t="s">
        <v>28</v>
      </c>
      <c r="I49" t="s">
        <v>28</v>
      </c>
      <c r="J49" t="s">
        <v>28</v>
      </c>
      <c r="K49" t="s">
        <v>28</v>
      </c>
      <c r="L49" t="s">
        <v>46</v>
      </c>
      <c r="N49" t="s">
        <v>383</v>
      </c>
      <c r="O49" t="s">
        <v>49</v>
      </c>
      <c r="P49" t="s">
        <v>49</v>
      </c>
      <c r="Q49" t="s">
        <v>49</v>
      </c>
      <c r="R49" t="s">
        <v>384</v>
      </c>
      <c r="S49" t="s">
        <v>49</v>
      </c>
      <c r="T49" t="s">
        <v>385</v>
      </c>
      <c r="U49" t="s">
        <v>386</v>
      </c>
      <c r="V49" t="s">
        <v>87</v>
      </c>
      <c r="W49" t="s">
        <v>387</v>
      </c>
      <c r="X49" t="s">
        <v>304</v>
      </c>
      <c r="Y49" t="s">
        <v>388</v>
      </c>
      <c r="Z49" t="s">
        <v>129</v>
      </c>
    </row>
    <row r="50" spans="1:26" ht="12.75" customHeight="1" x14ac:dyDescent="0.35">
      <c r="A50">
        <v>49</v>
      </c>
      <c r="B50">
        <v>45881.480328692131</v>
      </c>
      <c r="D50" t="s">
        <v>389</v>
      </c>
      <c r="E50" t="s">
        <v>180</v>
      </c>
      <c r="F50" t="s">
        <v>344</v>
      </c>
      <c r="G50" t="s">
        <v>29</v>
      </c>
      <c r="H50" t="s">
        <v>28</v>
      </c>
      <c r="I50" t="s">
        <v>173</v>
      </c>
      <c r="J50" t="s">
        <v>28</v>
      </c>
      <c r="K50" t="s">
        <v>35</v>
      </c>
      <c r="L50" t="s">
        <v>36</v>
      </c>
      <c r="N50" t="s">
        <v>375</v>
      </c>
      <c r="O50" t="s">
        <v>48</v>
      </c>
      <c r="P50" t="s">
        <v>49</v>
      </c>
      <c r="Q50" t="s">
        <v>48</v>
      </c>
      <c r="R50" t="s">
        <v>390</v>
      </c>
      <c r="S50" t="s">
        <v>48</v>
      </c>
      <c r="T50" t="s">
        <v>391</v>
      </c>
      <c r="U50" t="s">
        <v>392</v>
      </c>
      <c r="V50" t="s">
        <v>65</v>
      </c>
      <c r="X50" t="s">
        <v>81</v>
      </c>
      <c r="Y50" t="s">
        <v>393</v>
      </c>
      <c r="Z50" t="s">
        <v>129</v>
      </c>
    </row>
    <row r="51" spans="1:26" ht="12.75" customHeight="1" x14ac:dyDescent="0.35">
      <c r="A51">
        <v>50</v>
      </c>
      <c r="B51">
        <v>45881.493912418984</v>
      </c>
      <c r="D51" t="s">
        <v>394</v>
      </c>
      <c r="E51" t="s">
        <v>180</v>
      </c>
      <c r="F51" t="s">
        <v>29</v>
      </c>
      <c r="G51" t="s">
        <v>44</v>
      </c>
      <c r="H51" t="s">
        <v>28</v>
      </c>
      <c r="I51" t="s">
        <v>173</v>
      </c>
      <c r="J51" t="s">
        <v>28</v>
      </c>
      <c r="K51" t="s">
        <v>28</v>
      </c>
      <c r="L51" t="s">
        <v>36</v>
      </c>
      <c r="N51" t="s">
        <v>375</v>
      </c>
      <c r="O51" t="s">
        <v>48</v>
      </c>
      <c r="P51" t="s">
        <v>49</v>
      </c>
      <c r="Q51" t="s">
        <v>49</v>
      </c>
      <c r="R51" t="s">
        <v>395</v>
      </c>
      <c r="S51" t="s">
        <v>49</v>
      </c>
      <c r="T51" t="s">
        <v>396</v>
      </c>
      <c r="U51" t="s">
        <v>397</v>
      </c>
      <c r="V51" t="s">
        <v>65</v>
      </c>
      <c r="X51" t="s">
        <v>81</v>
      </c>
      <c r="Y51" t="s">
        <v>398</v>
      </c>
      <c r="Z51" t="s">
        <v>129</v>
      </c>
    </row>
    <row r="52" spans="1:26" ht="12.75" customHeight="1" x14ac:dyDescent="0.35">
      <c r="A52">
        <v>51</v>
      </c>
      <c r="B52">
        <v>45881.506461041667</v>
      </c>
      <c r="D52" t="s">
        <v>399</v>
      </c>
      <c r="E52" t="s">
        <v>180</v>
      </c>
      <c r="F52" t="s">
        <v>60</v>
      </c>
      <c r="G52" t="s">
        <v>60</v>
      </c>
      <c r="H52" t="s">
        <v>60</v>
      </c>
      <c r="I52" t="s">
        <v>28</v>
      </c>
      <c r="J52" t="s">
        <v>28</v>
      </c>
      <c r="K52" t="s">
        <v>28</v>
      </c>
      <c r="L52" t="s">
        <v>36</v>
      </c>
      <c r="N52" t="s">
        <v>375</v>
      </c>
      <c r="O52" t="s">
        <v>48</v>
      </c>
      <c r="P52" t="s">
        <v>48</v>
      </c>
      <c r="Q52" t="s">
        <v>48</v>
      </c>
      <c r="R52" t="s">
        <v>400</v>
      </c>
      <c r="S52" t="s">
        <v>48</v>
      </c>
      <c r="T52" t="s">
        <v>401</v>
      </c>
      <c r="U52" t="s">
        <v>402</v>
      </c>
      <c r="V52" t="s">
        <v>65</v>
      </c>
      <c r="X52" t="s">
        <v>81</v>
      </c>
      <c r="Y52" t="s">
        <v>403</v>
      </c>
      <c r="Z52" t="s">
        <v>129</v>
      </c>
    </row>
    <row r="53" spans="1:26" ht="12.75" customHeight="1" x14ac:dyDescent="0.35">
      <c r="A53">
        <v>52</v>
      </c>
      <c r="B53">
        <v>45881.517395555551</v>
      </c>
      <c r="D53" t="s">
        <v>404</v>
      </c>
      <c r="E53" t="s">
        <v>180</v>
      </c>
      <c r="F53" t="s">
        <v>28</v>
      </c>
      <c r="G53" t="s">
        <v>28</v>
      </c>
      <c r="H53" t="s">
        <v>28</v>
      </c>
      <c r="I53" t="s">
        <v>28</v>
      </c>
      <c r="J53" t="s">
        <v>28</v>
      </c>
      <c r="K53" t="s">
        <v>28</v>
      </c>
      <c r="L53" t="s">
        <v>36</v>
      </c>
      <c r="N53" t="s">
        <v>375</v>
      </c>
      <c r="O53" t="s">
        <v>48</v>
      </c>
      <c r="P53" t="s">
        <v>48</v>
      </c>
      <c r="Q53" t="s">
        <v>48</v>
      </c>
      <c r="R53" t="s">
        <v>405</v>
      </c>
      <c r="S53" t="s">
        <v>48</v>
      </c>
      <c r="T53" t="s">
        <v>406</v>
      </c>
      <c r="U53" t="s">
        <v>407</v>
      </c>
      <c r="V53" t="s">
        <v>65</v>
      </c>
      <c r="X53" t="s">
        <v>81</v>
      </c>
      <c r="Y53" t="s">
        <v>408</v>
      </c>
      <c r="Z53" t="s">
        <v>129</v>
      </c>
    </row>
    <row r="54" spans="1:26" ht="12.75" customHeight="1" x14ac:dyDescent="0.35">
      <c r="A54">
        <v>53</v>
      </c>
      <c r="B54">
        <v>45881.524564016203</v>
      </c>
      <c r="D54" t="s">
        <v>409</v>
      </c>
      <c r="E54" t="s">
        <v>205</v>
      </c>
      <c r="F54" t="s">
        <v>29</v>
      </c>
      <c r="G54" t="s">
        <v>28</v>
      </c>
      <c r="H54" t="s">
        <v>28</v>
      </c>
      <c r="I54" t="s">
        <v>28</v>
      </c>
      <c r="J54" t="s">
        <v>28</v>
      </c>
      <c r="K54" t="s">
        <v>28</v>
      </c>
      <c r="L54" t="s">
        <v>36</v>
      </c>
      <c r="N54" t="s">
        <v>375</v>
      </c>
      <c r="O54" t="s">
        <v>48</v>
      </c>
      <c r="P54" t="s">
        <v>49</v>
      </c>
      <c r="Q54" t="s">
        <v>49</v>
      </c>
      <c r="R54" t="s">
        <v>410</v>
      </c>
      <c r="S54" t="s">
        <v>49</v>
      </c>
      <c r="T54" t="s">
        <v>411</v>
      </c>
      <c r="U54" t="s">
        <v>412</v>
      </c>
      <c r="V54" t="s">
        <v>65</v>
      </c>
      <c r="X54" t="s">
        <v>81</v>
      </c>
      <c r="Y54" t="s">
        <v>413</v>
      </c>
      <c r="Z54" t="s">
        <v>57</v>
      </c>
    </row>
    <row r="55" spans="1:26" ht="12.75" customHeight="1" x14ac:dyDescent="0.35">
      <c r="A55">
        <v>54</v>
      </c>
      <c r="B55">
        <v>45881.527552037034</v>
      </c>
      <c r="D55" t="s">
        <v>414</v>
      </c>
      <c r="E55" t="s">
        <v>415</v>
      </c>
      <c r="F55" t="s">
        <v>28</v>
      </c>
      <c r="G55" t="s">
        <v>28</v>
      </c>
      <c r="H55" t="s">
        <v>28</v>
      </c>
      <c r="I55" t="s">
        <v>28</v>
      </c>
      <c r="J55" t="s">
        <v>28</v>
      </c>
      <c r="K55" t="s">
        <v>28</v>
      </c>
      <c r="L55" t="s">
        <v>36</v>
      </c>
      <c r="N55" t="s">
        <v>37</v>
      </c>
      <c r="O55" t="s">
        <v>48</v>
      </c>
      <c r="P55" t="s">
        <v>48</v>
      </c>
      <c r="Q55" t="s">
        <v>48</v>
      </c>
      <c r="R55" t="s">
        <v>416</v>
      </c>
      <c r="S55" t="s">
        <v>48</v>
      </c>
      <c r="T55" t="s">
        <v>417</v>
      </c>
      <c r="U55" t="s">
        <v>418</v>
      </c>
      <c r="V55" t="s">
        <v>79</v>
      </c>
      <c r="W55" t="s">
        <v>419</v>
      </c>
      <c r="X55" t="s">
        <v>109</v>
      </c>
      <c r="Y55" t="s">
        <v>56</v>
      </c>
      <c r="Z55" t="s">
        <v>57</v>
      </c>
    </row>
    <row r="56" spans="1:26" ht="12.75" customHeight="1" x14ac:dyDescent="0.35">
      <c r="A56">
        <v>55</v>
      </c>
      <c r="B56">
        <v>45881.531659629632</v>
      </c>
      <c r="D56" t="s">
        <v>420</v>
      </c>
      <c r="E56" t="s">
        <v>180</v>
      </c>
      <c r="F56" t="s">
        <v>28</v>
      </c>
      <c r="G56" t="s">
        <v>28</v>
      </c>
      <c r="H56" t="s">
        <v>28</v>
      </c>
      <c r="I56" t="s">
        <v>28</v>
      </c>
      <c r="J56" t="s">
        <v>28</v>
      </c>
      <c r="K56" t="s">
        <v>28</v>
      </c>
      <c r="L56" t="s">
        <v>46</v>
      </c>
      <c r="N56" t="s">
        <v>375</v>
      </c>
      <c r="O56" t="s">
        <v>48</v>
      </c>
      <c r="P56" t="s">
        <v>48</v>
      </c>
      <c r="Q56" t="s">
        <v>48</v>
      </c>
      <c r="R56" t="s">
        <v>421</v>
      </c>
      <c r="S56" t="s">
        <v>48</v>
      </c>
      <c r="T56" t="s">
        <v>422</v>
      </c>
      <c r="U56" t="s">
        <v>423</v>
      </c>
      <c r="V56" t="s">
        <v>65</v>
      </c>
      <c r="X56" t="s">
        <v>81</v>
      </c>
      <c r="Y56" t="s">
        <v>424</v>
      </c>
      <c r="Z56" t="s">
        <v>91</v>
      </c>
    </row>
    <row r="57" spans="1:26" ht="12.75" customHeight="1" x14ac:dyDescent="0.35">
      <c r="A57">
        <v>56</v>
      </c>
      <c r="B57">
        <v>45881.59648709491</v>
      </c>
      <c r="D57" t="s">
        <v>425</v>
      </c>
      <c r="E57" t="s">
        <v>415</v>
      </c>
      <c r="F57" t="s">
        <v>344</v>
      </c>
      <c r="G57" t="s">
        <v>29</v>
      </c>
      <c r="H57" t="s">
        <v>28</v>
      </c>
      <c r="I57" t="s">
        <v>28</v>
      </c>
      <c r="J57" t="s">
        <v>28</v>
      </c>
      <c r="K57" t="s">
        <v>368</v>
      </c>
      <c r="L57" t="s">
        <v>36</v>
      </c>
      <c r="N57" t="s">
        <v>426</v>
      </c>
      <c r="O57" t="s">
        <v>48</v>
      </c>
      <c r="P57" t="s">
        <v>48</v>
      </c>
      <c r="Q57" t="s">
        <v>48</v>
      </c>
      <c r="R57" t="s">
        <v>427</v>
      </c>
      <c r="S57" t="s">
        <v>48</v>
      </c>
      <c r="T57" t="s">
        <v>428</v>
      </c>
      <c r="U57" t="s">
        <v>429</v>
      </c>
      <c r="V57" t="s">
        <v>87</v>
      </c>
      <c r="W57" t="s">
        <v>430</v>
      </c>
      <c r="X57" t="s">
        <v>109</v>
      </c>
      <c r="Y57" t="s">
        <v>431</v>
      </c>
      <c r="Z57" t="s">
        <v>57</v>
      </c>
    </row>
    <row r="58" spans="1:26" ht="12.75" customHeight="1" x14ac:dyDescent="0.35">
      <c r="A58">
        <v>57</v>
      </c>
      <c r="B58">
        <v>45881.791398622685</v>
      </c>
      <c r="D58" t="s">
        <v>432</v>
      </c>
      <c r="E58" t="s">
        <v>433</v>
      </c>
      <c r="F58" t="s">
        <v>33</v>
      </c>
      <c r="G58" t="s">
        <v>33</v>
      </c>
      <c r="H58" t="s">
        <v>33</v>
      </c>
      <c r="I58" t="s">
        <v>34</v>
      </c>
      <c r="J58" t="s">
        <v>34</v>
      </c>
      <c r="K58" t="s">
        <v>73</v>
      </c>
      <c r="L58" t="s">
        <v>36</v>
      </c>
      <c r="N58" t="s">
        <v>434</v>
      </c>
      <c r="O58" t="s">
        <v>48</v>
      </c>
      <c r="P58" t="s">
        <v>48</v>
      </c>
      <c r="Q58" t="s">
        <v>49</v>
      </c>
      <c r="R58" t="s">
        <v>435</v>
      </c>
      <c r="S58" t="s">
        <v>48</v>
      </c>
      <c r="T58" t="s">
        <v>436</v>
      </c>
      <c r="U58" t="s">
        <v>437</v>
      </c>
      <c r="V58" t="s">
        <v>135</v>
      </c>
      <c r="W58" t="s">
        <v>438</v>
      </c>
      <c r="X58" t="s">
        <v>250</v>
      </c>
      <c r="Y58" t="s">
        <v>439</v>
      </c>
      <c r="Z58" t="s">
        <v>57</v>
      </c>
    </row>
    <row r="59" spans="1:26" ht="12.75" customHeight="1" x14ac:dyDescent="0.35">
      <c r="A59">
        <v>58</v>
      </c>
      <c r="B59">
        <v>45882.44042175926</v>
      </c>
      <c r="D59" t="s">
        <v>440</v>
      </c>
      <c r="E59" t="s">
        <v>441</v>
      </c>
      <c r="F59" t="s">
        <v>28</v>
      </c>
      <c r="G59" t="s">
        <v>28</v>
      </c>
      <c r="H59" t="s">
        <v>60</v>
      </c>
      <c r="I59" t="s">
        <v>196</v>
      </c>
      <c r="J59" t="s">
        <v>28</v>
      </c>
      <c r="K59" t="s">
        <v>61</v>
      </c>
      <c r="L59" t="s">
        <v>36</v>
      </c>
      <c r="N59" t="s">
        <v>442</v>
      </c>
      <c r="O59" t="s">
        <v>49</v>
      </c>
      <c r="P59" t="s">
        <v>49</v>
      </c>
      <c r="Q59" t="s">
        <v>49</v>
      </c>
      <c r="R59" t="s">
        <v>443</v>
      </c>
      <c r="S59" t="s">
        <v>49</v>
      </c>
      <c r="T59" t="s">
        <v>444</v>
      </c>
      <c r="U59" t="s">
        <v>445</v>
      </c>
      <c r="V59" t="s">
        <v>79</v>
      </c>
      <c r="W59" t="s">
        <v>446</v>
      </c>
      <c r="X59" t="s">
        <v>447</v>
      </c>
      <c r="Y59" t="s">
        <v>441</v>
      </c>
      <c r="Z59" t="s">
        <v>57</v>
      </c>
    </row>
    <row r="60" spans="1:26" ht="12.75" customHeight="1" x14ac:dyDescent="0.35">
      <c r="A60">
        <v>59</v>
      </c>
      <c r="B60">
        <v>45882.520201817126</v>
      </c>
      <c r="E60" t="s">
        <v>448</v>
      </c>
      <c r="F60" t="s">
        <v>449</v>
      </c>
      <c r="G60" t="s">
        <v>28</v>
      </c>
      <c r="H60" t="s">
        <v>28</v>
      </c>
      <c r="I60" t="s">
        <v>28</v>
      </c>
      <c r="J60" t="s">
        <v>45</v>
      </c>
      <c r="K60" t="s">
        <v>45</v>
      </c>
      <c r="L60" t="s">
        <v>46</v>
      </c>
      <c r="N60" t="s">
        <v>375</v>
      </c>
      <c r="V60" t="s">
        <v>53</v>
      </c>
      <c r="X60" t="s">
        <v>81</v>
      </c>
      <c r="Y60" t="s">
        <v>450</v>
      </c>
      <c r="Z60" t="s">
        <v>91</v>
      </c>
    </row>
    <row r="61" spans="1:26" ht="12.75" customHeight="1" x14ac:dyDescent="0.35">
      <c r="A61">
        <v>60</v>
      </c>
      <c r="B61">
        <v>45882.534172546293</v>
      </c>
      <c r="E61" t="s">
        <v>448</v>
      </c>
      <c r="F61" t="s">
        <v>28</v>
      </c>
      <c r="G61" t="s">
        <v>60</v>
      </c>
      <c r="H61" t="s">
        <v>206</v>
      </c>
      <c r="I61" t="s">
        <v>34</v>
      </c>
      <c r="J61" t="s">
        <v>28</v>
      </c>
      <c r="K61" t="s">
        <v>368</v>
      </c>
      <c r="L61" t="s">
        <v>46</v>
      </c>
      <c r="N61" t="s">
        <v>375</v>
      </c>
      <c r="O61" t="s">
        <v>48</v>
      </c>
      <c r="P61" t="s">
        <v>38</v>
      </c>
      <c r="Q61" t="s">
        <v>38</v>
      </c>
      <c r="R61" t="s">
        <v>451</v>
      </c>
      <c r="S61" t="s">
        <v>48</v>
      </c>
      <c r="T61" t="s">
        <v>452</v>
      </c>
      <c r="U61" t="s">
        <v>453</v>
      </c>
      <c r="V61" t="s">
        <v>65</v>
      </c>
      <c r="X61" t="s">
        <v>81</v>
      </c>
      <c r="Y61" t="s">
        <v>454</v>
      </c>
      <c r="Z61" t="s">
        <v>129</v>
      </c>
    </row>
    <row r="62" spans="1:26" ht="12.75" customHeight="1" x14ac:dyDescent="0.35">
      <c r="A62">
        <v>61</v>
      </c>
      <c r="B62">
        <v>45882.540530868057</v>
      </c>
      <c r="E62" t="s">
        <v>448</v>
      </c>
      <c r="F62" t="s">
        <v>28</v>
      </c>
      <c r="G62" t="s">
        <v>33</v>
      </c>
      <c r="H62" t="s">
        <v>28</v>
      </c>
      <c r="I62" t="s">
        <v>30</v>
      </c>
      <c r="J62" t="s">
        <v>28</v>
      </c>
      <c r="K62" t="s">
        <v>368</v>
      </c>
      <c r="L62" t="s">
        <v>36</v>
      </c>
      <c r="N62" t="s">
        <v>455</v>
      </c>
      <c r="V62" t="s">
        <v>79</v>
      </c>
      <c r="X62" t="s">
        <v>81</v>
      </c>
      <c r="Y62" t="s">
        <v>456</v>
      </c>
      <c r="Z62" t="s">
        <v>129</v>
      </c>
    </row>
    <row r="63" spans="1:26" ht="12.75" customHeight="1" x14ac:dyDescent="0.35">
      <c r="A63">
        <v>62</v>
      </c>
      <c r="B63">
        <v>45882.570803495371</v>
      </c>
      <c r="D63" t="s">
        <v>457</v>
      </c>
      <c r="E63" t="s">
        <v>180</v>
      </c>
      <c r="F63" t="s">
        <v>28</v>
      </c>
      <c r="G63" t="s">
        <v>33</v>
      </c>
      <c r="H63" t="s">
        <v>28</v>
      </c>
      <c r="I63" t="s">
        <v>34</v>
      </c>
      <c r="J63" t="s">
        <v>28</v>
      </c>
      <c r="K63" t="s">
        <v>368</v>
      </c>
      <c r="L63" t="s">
        <v>36</v>
      </c>
      <c r="N63" t="s">
        <v>458</v>
      </c>
      <c r="O63" t="s">
        <v>49</v>
      </c>
      <c r="P63" t="s">
        <v>49</v>
      </c>
      <c r="Q63" t="s">
        <v>38</v>
      </c>
      <c r="R63" t="s">
        <v>459</v>
      </c>
      <c r="S63" t="s">
        <v>48</v>
      </c>
      <c r="T63" t="s">
        <v>460</v>
      </c>
      <c r="U63" t="s">
        <v>461</v>
      </c>
      <c r="V63" t="s">
        <v>65</v>
      </c>
      <c r="X63" t="s">
        <v>81</v>
      </c>
      <c r="Y63" t="s">
        <v>462</v>
      </c>
      <c r="Z63" t="s">
        <v>57</v>
      </c>
    </row>
    <row r="64" spans="1:26" ht="12.75" customHeight="1" x14ac:dyDescent="0.35">
      <c r="A64">
        <v>63</v>
      </c>
      <c r="B64">
        <v>45882.579527743059</v>
      </c>
      <c r="E64" t="s">
        <v>448</v>
      </c>
      <c r="F64" t="s">
        <v>28</v>
      </c>
      <c r="G64" t="s">
        <v>28</v>
      </c>
      <c r="H64" t="s">
        <v>28</v>
      </c>
      <c r="I64" t="s">
        <v>28</v>
      </c>
      <c r="J64" t="s">
        <v>34</v>
      </c>
      <c r="K64" t="s">
        <v>28</v>
      </c>
      <c r="L64" t="s">
        <v>36</v>
      </c>
      <c r="N64" t="s">
        <v>463</v>
      </c>
      <c r="O64" t="s">
        <v>38</v>
      </c>
      <c r="P64" t="s">
        <v>38</v>
      </c>
      <c r="Q64" t="s">
        <v>48</v>
      </c>
      <c r="R64" t="s">
        <v>464</v>
      </c>
      <c r="S64" t="s">
        <v>49</v>
      </c>
      <c r="T64" t="s">
        <v>465</v>
      </c>
      <c r="U64" t="s">
        <v>466</v>
      </c>
      <c r="V64" t="s">
        <v>87</v>
      </c>
      <c r="X64" t="s">
        <v>463</v>
      </c>
      <c r="Y64" t="s">
        <v>467</v>
      </c>
      <c r="Z64" t="s">
        <v>91</v>
      </c>
    </row>
    <row r="65" spans="1:26" ht="12.75" customHeight="1" x14ac:dyDescent="0.35">
      <c r="A65">
        <v>64</v>
      </c>
      <c r="B65">
        <v>45882.581645532409</v>
      </c>
      <c r="E65" t="s">
        <v>448</v>
      </c>
      <c r="F65" t="s">
        <v>28</v>
      </c>
      <c r="G65" t="s">
        <v>28</v>
      </c>
      <c r="H65" t="s">
        <v>28</v>
      </c>
      <c r="I65" t="s">
        <v>28</v>
      </c>
      <c r="J65" t="s">
        <v>28</v>
      </c>
      <c r="K65" t="s">
        <v>28</v>
      </c>
      <c r="L65" t="s">
        <v>46</v>
      </c>
      <c r="N65" t="s">
        <v>468</v>
      </c>
      <c r="O65" t="s">
        <v>38</v>
      </c>
      <c r="P65" t="s">
        <v>38</v>
      </c>
      <c r="Q65" t="s">
        <v>38</v>
      </c>
      <c r="R65" t="s">
        <v>469</v>
      </c>
      <c r="S65" t="s">
        <v>38</v>
      </c>
      <c r="T65" t="s">
        <v>470</v>
      </c>
      <c r="U65" t="s">
        <v>471</v>
      </c>
      <c r="V65" t="s">
        <v>53</v>
      </c>
      <c r="X65" t="s">
        <v>250</v>
      </c>
      <c r="Y65" t="s">
        <v>472</v>
      </c>
      <c r="Z65" t="s">
        <v>129</v>
      </c>
    </row>
    <row r="66" spans="1:26" ht="12.75" customHeight="1" x14ac:dyDescent="0.35">
      <c r="A66">
        <v>65</v>
      </c>
      <c r="B66">
        <v>45882.591086782406</v>
      </c>
      <c r="E66" t="s">
        <v>180</v>
      </c>
      <c r="F66" t="s">
        <v>28</v>
      </c>
      <c r="G66" t="s">
        <v>29</v>
      </c>
      <c r="H66" t="s">
        <v>73</v>
      </c>
      <c r="I66" t="s">
        <v>34</v>
      </c>
      <c r="J66" t="s">
        <v>28</v>
      </c>
      <c r="K66" t="s">
        <v>368</v>
      </c>
      <c r="L66" t="s">
        <v>36</v>
      </c>
      <c r="N66" t="s">
        <v>473</v>
      </c>
      <c r="O66" t="s">
        <v>48</v>
      </c>
      <c r="P66" t="s">
        <v>48</v>
      </c>
      <c r="Q66" t="s">
        <v>38</v>
      </c>
      <c r="R66" t="s">
        <v>474</v>
      </c>
      <c r="S66" t="s">
        <v>48</v>
      </c>
      <c r="T66" t="s">
        <v>475</v>
      </c>
      <c r="U66" t="s">
        <v>476</v>
      </c>
      <c r="V66" t="s">
        <v>65</v>
      </c>
      <c r="X66" t="s">
        <v>81</v>
      </c>
      <c r="Y66" t="s">
        <v>477</v>
      </c>
      <c r="Z66" t="s">
        <v>129</v>
      </c>
    </row>
    <row r="67" spans="1:26" ht="12.75" customHeight="1" x14ac:dyDescent="0.35">
      <c r="A67">
        <v>66</v>
      </c>
      <c r="B67">
        <v>45882.603114722224</v>
      </c>
      <c r="E67" t="s">
        <v>180</v>
      </c>
      <c r="F67" t="s">
        <v>28</v>
      </c>
      <c r="G67" t="s">
        <v>33</v>
      </c>
      <c r="H67" t="s">
        <v>28</v>
      </c>
      <c r="I67" t="s">
        <v>30</v>
      </c>
      <c r="J67" t="s">
        <v>28</v>
      </c>
      <c r="K67" t="s">
        <v>94</v>
      </c>
      <c r="L67" t="s">
        <v>36</v>
      </c>
      <c r="N67" t="s">
        <v>478</v>
      </c>
      <c r="O67" t="s">
        <v>49</v>
      </c>
      <c r="P67" t="s">
        <v>48</v>
      </c>
      <c r="Q67" t="s">
        <v>40</v>
      </c>
      <c r="R67" t="s">
        <v>479</v>
      </c>
      <c r="S67" t="s">
        <v>48</v>
      </c>
      <c r="T67" t="s">
        <v>480</v>
      </c>
      <c r="U67" t="s">
        <v>481</v>
      </c>
      <c r="V67" t="s">
        <v>65</v>
      </c>
      <c r="X67" t="s">
        <v>81</v>
      </c>
      <c r="Y67" t="s">
        <v>482</v>
      </c>
      <c r="Z67" t="s">
        <v>129</v>
      </c>
    </row>
    <row r="68" spans="1:26" ht="12.75" customHeight="1" x14ac:dyDescent="0.35">
      <c r="A68">
        <v>67</v>
      </c>
      <c r="B68">
        <v>45882.611226886569</v>
      </c>
      <c r="E68" t="s">
        <v>180</v>
      </c>
      <c r="F68" t="s">
        <v>60</v>
      </c>
      <c r="G68" t="s">
        <v>33</v>
      </c>
      <c r="H68" t="s">
        <v>284</v>
      </c>
      <c r="I68" t="s">
        <v>34</v>
      </c>
      <c r="J68" t="s">
        <v>28</v>
      </c>
      <c r="K68" t="s">
        <v>94</v>
      </c>
      <c r="L68" t="s">
        <v>36</v>
      </c>
      <c r="N68" t="s">
        <v>483</v>
      </c>
      <c r="O68" t="s">
        <v>48</v>
      </c>
      <c r="P68" t="s">
        <v>48</v>
      </c>
      <c r="Q68" t="s">
        <v>38</v>
      </c>
      <c r="R68" t="s">
        <v>484</v>
      </c>
      <c r="S68" t="s">
        <v>49</v>
      </c>
      <c r="T68" t="s">
        <v>485</v>
      </c>
      <c r="U68" t="s">
        <v>486</v>
      </c>
      <c r="V68" t="s">
        <v>65</v>
      </c>
      <c r="X68" t="s">
        <v>81</v>
      </c>
      <c r="Y68" t="s">
        <v>487</v>
      </c>
      <c r="Z68" t="s">
        <v>57</v>
      </c>
    </row>
    <row r="69" spans="1:26" ht="12.75" customHeight="1" x14ac:dyDescent="0.35">
      <c r="A69">
        <v>68</v>
      </c>
      <c r="B69">
        <v>45882.623752372689</v>
      </c>
      <c r="E69" t="s">
        <v>180</v>
      </c>
      <c r="F69" t="s">
        <v>28</v>
      </c>
      <c r="G69" t="s">
        <v>33</v>
      </c>
      <c r="H69" t="s">
        <v>284</v>
      </c>
      <c r="I69" t="s">
        <v>34</v>
      </c>
      <c r="J69" t="s">
        <v>103</v>
      </c>
      <c r="K69" t="s">
        <v>368</v>
      </c>
      <c r="L69" t="s">
        <v>36</v>
      </c>
      <c r="N69" t="s">
        <v>488</v>
      </c>
      <c r="O69" t="s">
        <v>49</v>
      </c>
      <c r="P69" t="s">
        <v>48</v>
      </c>
      <c r="Q69" t="s">
        <v>40</v>
      </c>
      <c r="R69" t="s">
        <v>489</v>
      </c>
      <c r="S69" t="s">
        <v>49</v>
      </c>
      <c r="T69" t="s">
        <v>490</v>
      </c>
      <c r="U69" t="s">
        <v>491</v>
      </c>
      <c r="V69" t="s">
        <v>53</v>
      </c>
      <c r="X69" t="s">
        <v>81</v>
      </c>
      <c r="Y69" t="s">
        <v>492</v>
      </c>
      <c r="Z69" t="s">
        <v>129</v>
      </c>
    </row>
    <row r="70" spans="1:26" ht="12.75" customHeight="1" x14ac:dyDescent="0.35">
      <c r="A70">
        <v>69</v>
      </c>
      <c r="B70">
        <v>45882.724907685188</v>
      </c>
      <c r="E70" t="s">
        <v>493</v>
      </c>
      <c r="F70" t="s">
        <v>28</v>
      </c>
      <c r="G70" t="s">
        <v>29</v>
      </c>
      <c r="H70" t="s">
        <v>28</v>
      </c>
      <c r="I70" t="s">
        <v>30</v>
      </c>
      <c r="J70" t="s">
        <v>45</v>
      </c>
      <c r="K70" t="s">
        <v>368</v>
      </c>
      <c r="L70" t="s">
        <v>46</v>
      </c>
      <c r="N70" t="s">
        <v>494</v>
      </c>
      <c r="O70" t="s">
        <v>48</v>
      </c>
      <c r="P70" t="s">
        <v>48</v>
      </c>
      <c r="Q70" t="s">
        <v>49</v>
      </c>
      <c r="R70" t="s">
        <v>495</v>
      </c>
      <c r="S70" t="s">
        <v>49</v>
      </c>
      <c r="T70" t="s">
        <v>496</v>
      </c>
      <c r="U70" t="s">
        <v>497</v>
      </c>
      <c r="V70" t="s">
        <v>65</v>
      </c>
      <c r="X70" t="s">
        <v>81</v>
      </c>
      <c r="Y70" t="s">
        <v>498</v>
      </c>
      <c r="Z70" t="s">
        <v>57</v>
      </c>
    </row>
    <row r="71" spans="1:26" ht="12.75" customHeight="1" x14ac:dyDescent="0.35">
      <c r="A71">
        <v>70</v>
      </c>
      <c r="B71">
        <v>45882.732324490746</v>
      </c>
      <c r="E71" t="s">
        <v>180</v>
      </c>
      <c r="F71" t="s">
        <v>28</v>
      </c>
      <c r="G71" t="s">
        <v>60</v>
      </c>
      <c r="H71" t="s">
        <v>28</v>
      </c>
      <c r="I71" t="s">
        <v>158</v>
      </c>
      <c r="J71" t="s">
        <v>173</v>
      </c>
      <c r="K71" t="s">
        <v>94</v>
      </c>
      <c r="L71" t="s">
        <v>36</v>
      </c>
      <c r="N71" t="s">
        <v>499</v>
      </c>
      <c r="O71" t="s">
        <v>49</v>
      </c>
      <c r="P71" t="s">
        <v>49</v>
      </c>
      <c r="Q71" t="s">
        <v>38</v>
      </c>
      <c r="R71" t="s">
        <v>500</v>
      </c>
      <c r="S71" t="s">
        <v>38</v>
      </c>
      <c r="T71" t="s">
        <v>501</v>
      </c>
      <c r="U71" t="s">
        <v>502</v>
      </c>
      <c r="V71" t="s">
        <v>79</v>
      </c>
      <c r="X71" t="s">
        <v>81</v>
      </c>
      <c r="Y71" t="s">
        <v>482</v>
      </c>
      <c r="Z71" t="s">
        <v>129</v>
      </c>
    </row>
    <row r="72" spans="1:26" ht="12.75" customHeight="1" x14ac:dyDescent="0.35">
      <c r="A72">
        <v>71</v>
      </c>
      <c r="B72">
        <v>45882.737677638885</v>
      </c>
      <c r="E72" t="s">
        <v>503</v>
      </c>
      <c r="F72" t="s">
        <v>28</v>
      </c>
      <c r="G72" t="s">
        <v>60</v>
      </c>
      <c r="H72" t="s">
        <v>284</v>
      </c>
      <c r="I72" t="s">
        <v>34</v>
      </c>
      <c r="J72" t="s">
        <v>28</v>
      </c>
      <c r="K72" t="s">
        <v>94</v>
      </c>
      <c r="L72" t="s">
        <v>36</v>
      </c>
      <c r="N72" t="s">
        <v>504</v>
      </c>
      <c r="O72" t="s">
        <v>49</v>
      </c>
      <c r="P72" t="s">
        <v>38</v>
      </c>
      <c r="Q72" t="s">
        <v>49</v>
      </c>
      <c r="R72" t="s">
        <v>505</v>
      </c>
      <c r="S72" t="s">
        <v>48</v>
      </c>
      <c r="T72" t="s">
        <v>506</v>
      </c>
      <c r="U72" t="s">
        <v>507</v>
      </c>
      <c r="V72" t="s">
        <v>79</v>
      </c>
      <c r="X72" t="s">
        <v>81</v>
      </c>
      <c r="Y72" t="s">
        <v>508</v>
      </c>
      <c r="Z72" t="s">
        <v>129</v>
      </c>
    </row>
    <row r="73" spans="1:26" ht="12.75" customHeight="1" x14ac:dyDescent="0.35">
      <c r="A73">
        <v>72</v>
      </c>
      <c r="B73">
        <v>45882.741779444448</v>
      </c>
      <c r="E73" t="s">
        <v>205</v>
      </c>
      <c r="F73" t="s">
        <v>28</v>
      </c>
      <c r="G73" t="s">
        <v>29</v>
      </c>
      <c r="H73" t="s">
        <v>28</v>
      </c>
      <c r="I73" t="s">
        <v>173</v>
      </c>
      <c r="J73" t="s">
        <v>173</v>
      </c>
      <c r="K73" t="s">
        <v>368</v>
      </c>
      <c r="L73" t="s">
        <v>36</v>
      </c>
      <c r="N73" t="s">
        <v>509</v>
      </c>
      <c r="O73" t="s">
        <v>49</v>
      </c>
      <c r="P73" t="s">
        <v>48</v>
      </c>
      <c r="Q73" t="s">
        <v>49</v>
      </c>
      <c r="R73" t="s">
        <v>510</v>
      </c>
      <c r="S73" t="s">
        <v>49</v>
      </c>
      <c r="T73" t="s">
        <v>511</v>
      </c>
      <c r="U73" t="s">
        <v>512</v>
      </c>
      <c r="V73" t="s">
        <v>65</v>
      </c>
      <c r="X73" t="s">
        <v>81</v>
      </c>
      <c r="Y73" t="s">
        <v>513</v>
      </c>
      <c r="Z73" t="s">
        <v>57</v>
      </c>
    </row>
    <row r="74" spans="1:26" ht="12.75" customHeight="1" x14ac:dyDescent="0.35">
      <c r="A74">
        <v>73</v>
      </c>
      <c r="B74">
        <v>45882.749929398153</v>
      </c>
      <c r="E74" t="s">
        <v>205</v>
      </c>
      <c r="F74" t="s">
        <v>28</v>
      </c>
      <c r="G74" t="s">
        <v>60</v>
      </c>
      <c r="H74" t="s">
        <v>28</v>
      </c>
      <c r="I74" t="s">
        <v>173</v>
      </c>
      <c r="J74" t="s">
        <v>28</v>
      </c>
      <c r="K74" t="s">
        <v>368</v>
      </c>
      <c r="L74" t="s">
        <v>46</v>
      </c>
      <c r="N74" t="s">
        <v>514</v>
      </c>
      <c r="O74" t="s">
        <v>48</v>
      </c>
      <c r="P74" t="s">
        <v>48</v>
      </c>
      <c r="Q74" t="s">
        <v>38</v>
      </c>
      <c r="R74" t="s">
        <v>515</v>
      </c>
      <c r="S74" t="s">
        <v>48</v>
      </c>
      <c r="T74" t="s">
        <v>516</v>
      </c>
      <c r="U74" t="s">
        <v>517</v>
      </c>
      <c r="V74" t="s">
        <v>65</v>
      </c>
      <c r="X74" t="s">
        <v>81</v>
      </c>
      <c r="Y74" t="s">
        <v>518</v>
      </c>
      <c r="Z74" t="s">
        <v>57</v>
      </c>
    </row>
    <row r="75" spans="1:26" ht="12.75" customHeight="1" x14ac:dyDescent="0.35">
      <c r="A75">
        <v>74</v>
      </c>
      <c r="B75">
        <v>45882.893332175925</v>
      </c>
      <c r="E75" t="s">
        <v>448</v>
      </c>
      <c r="F75" t="s">
        <v>28</v>
      </c>
      <c r="G75" t="s">
        <v>28</v>
      </c>
      <c r="H75" t="s">
        <v>28</v>
      </c>
      <c r="I75" t="s">
        <v>28</v>
      </c>
      <c r="J75" t="s">
        <v>28</v>
      </c>
      <c r="K75" t="s">
        <v>28</v>
      </c>
      <c r="L75" t="s">
        <v>36</v>
      </c>
      <c r="N75" t="s">
        <v>519</v>
      </c>
      <c r="O75" t="s">
        <v>49</v>
      </c>
      <c r="P75" t="s">
        <v>49</v>
      </c>
      <c r="Q75" t="s">
        <v>49</v>
      </c>
      <c r="R75" t="s">
        <v>520</v>
      </c>
      <c r="S75" t="s">
        <v>49</v>
      </c>
      <c r="T75" t="s">
        <v>521</v>
      </c>
      <c r="U75" t="s">
        <v>522</v>
      </c>
      <c r="V75" t="s">
        <v>53</v>
      </c>
      <c r="X75" t="s">
        <v>127</v>
      </c>
      <c r="Y75" t="s">
        <v>523</v>
      </c>
      <c r="Z75" t="s">
        <v>91</v>
      </c>
    </row>
    <row r="76" spans="1:26" ht="12.75" customHeight="1" x14ac:dyDescent="0.35">
      <c r="A76">
        <v>75</v>
      </c>
      <c r="B76">
        <v>45882.895617523143</v>
      </c>
      <c r="E76" t="s">
        <v>448</v>
      </c>
      <c r="F76" t="s">
        <v>28</v>
      </c>
      <c r="G76" t="s">
        <v>28</v>
      </c>
      <c r="H76" t="s">
        <v>28</v>
      </c>
      <c r="I76" t="s">
        <v>28</v>
      </c>
      <c r="J76" t="s">
        <v>28</v>
      </c>
      <c r="K76" t="s">
        <v>28</v>
      </c>
      <c r="L76" t="s">
        <v>46</v>
      </c>
      <c r="N76" t="s">
        <v>524</v>
      </c>
      <c r="O76" t="s">
        <v>49</v>
      </c>
      <c r="P76" t="s">
        <v>49</v>
      </c>
      <c r="Q76" t="s">
        <v>49</v>
      </c>
      <c r="R76" t="s">
        <v>525</v>
      </c>
      <c r="S76" t="s">
        <v>49</v>
      </c>
      <c r="T76" t="s">
        <v>526</v>
      </c>
      <c r="U76" t="s">
        <v>527</v>
      </c>
      <c r="V76" t="s">
        <v>87</v>
      </c>
      <c r="X76" t="s">
        <v>250</v>
      </c>
      <c r="Y76" t="s">
        <v>528</v>
      </c>
      <c r="Z76" t="s">
        <v>91</v>
      </c>
    </row>
    <row r="77" spans="1:26" ht="12.75" customHeight="1" x14ac:dyDescent="0.35">
      <c r="A77">
        <v>76</v>
      </c>
      <c r="B77">
        <v>45882.897757199069</v>
      </c>
      <c r="E77" t="s">
        <v>448</v>
      </c>
      <c r="F77" t="s">
        <v>28</v>
      </c>
      <c r="G77" t="s">
        <v>28</v>
      </c>
      <c r="H77" t="s">
        <v>28</v>
      </c>
      <c r="I77" t="s">
        <v>28</v>
      </c>
      <c r="J77" t="s">
        <v>28</v>
      </c>
      <c r="K77" t="s">
        <v>45</v>
      </c>
      <c r="L77" t="s">
        <v>36</v>
      </c>
      <c r="N77" t="s">
        <v>529</v>
      </c>
      <c r="O77" t="s">
        <v>38</v>
      </c>
      <c r="P77" t="s">
        <v>49</v>
      </c>
      <c r="Q77" t="s">
        <v>48</v>
      </c>
      <c r="R77" t="s">
        <v>530</v>
      </c>
      <c r="S77" t="s">
        <v>49</v>
      </c>
      <c r="T77" t="s">
        <v>531</v>
      </c>
      <c r="U77" t="s">
        <v>532</v>
      </c>
      <c r="V77" t="s">
        <v>79</v>
      </c>
      <c r="X77" t="s">
        <v>250</v>
      </c>
      <c r="Y77" t="s">
        <v>533</v>
      </c>
      <c r="Z77" t="s">
        <v>129</v>
      </c>
    </row>
    <row r="78" spans="1:26" ht="12.75" customHeight="1" x14ac:dyDescent="0.35">
      <c r="A78">
        <v>77</v>
      </c>
      <c r="B78">
        <v>45882.901444270829</v>
      </c>
      <c r="E78" t="s">
        <v>448</v>
      </c>
      <c r="F78" t="s">
        <v>28</v>
      </c>
      <c r="G78" t="s">
        <v>28</v>
      </c>
      <c r="H78" t="s">
        <v>28</v>
      </c>
      <c r="I78" t="s">
        <v>28</v>
      </c>
      <c r="J78" t="s">
        <v>28</v>
      </c>
      <c r="K78" t="s">
        <v>28</v>
      </c>
      <c r="L78" t="s">
        <v>36</v>
      </c>
      <c r="N78" t="s">
        <v>534</v>
      </c>
      <c r="O78" t="s">
        <v>49</v>
      </c>
      <c r="P78" t="s">
        <v>38</v>
      </c>
      <c r="Q78" t="s">
        <v>49</v>
      </c>
      <c r="R78" t="s">
        <v>535</v>
      </c>
      <c r="S78" t="s">
        <v>38</v>
      </c>
      <c r="T78" t="s">
        <v>536</v>
      </c>
      <c r="U78" t="s">
        <v>537</v>
      </c>
      <c r="V78" t="s">
        <v>79</v>
      </c>
      <c r="X78" t="s">
        <v>538</v>
      </c>
      <c r="Y78" t="s">
        <v>539</v>
      </c>
      <c r="Z78" t="s">
        <v>129</v>
      </c>
    </row>
    <row r="79" spans="1:26" ht="12.75" customHeight="1" x14ac:dyDescent="0.35">
      <c r="A79">
        <v>78</v>
      </c>
      <c r="B79">
        <v>45882.903605567131</v>
      </c>
      <c r="E79" t="s">
        <v>448</v>
      </c>
      <c r="F79" t="s">
        <v>28</v>
      </c>
      <c r="G79" t="s">
        <v>29</v>
      </c>
      <c r="H79" t="s">
        <v>44</v>
      </c>
      <c r="I79" t="s">
        <v>28</v>
      </c>
      <c r="J79" t="s">
        <v>94</v>
      </c>
      <c r="K79" t="s">
        <v>45</v>
      </c>
      <c r="L79" t="s">
        <v>46</v>
      </c>
      <c r="N79" t="s">
        <v>95</v>
      </c>
      <c r="O79" t="s">
        <v>49</v>
      </c>
      <c r="P79" t="s">
        <v>49</v>
      </c>
      <c r="Q79" t="s">
        <v>38</v>
      </c>
      <c r="R79" t="s">
        <v>540</v>
      </c>
      <c r="S79" t="s">
        <v>48</v>
      </c>
      <c r="T79" t="s">
        <v>541</v>
      </c>
      <c r="U79" t="s">
        <v>542</v>
      </c>
      <c r="V79" t="s">
        <v>65</v>
      </c>
      <c r="X79" t="s">
        <v>543</v>
      </c>
      <c r="Y79" t="s">
        <v>544</v>
      </c>
      <c r="Z79" t="s">
        <v>129</v>
      </c>
    </row>
    <row r="80" spans="1:26" ht="12.75" customHeight="1" x14ac:dyDescent="0.35">
      <c r="A80">
        <v>79</v>
      </c>
      <c r="B80">
        <v>45882.905566145833</v>
      </c>
      <c r="E80" t="s">
        <v>448</v>
      </c>
      <c r="F80" t="s">
        <v>28</v>
      </c>
      <c r="G80" t="s">
        <v>44</v>
      </c>
      <c r="H80" t="s">
        <v>284</v>
      </c>
      <c r="I80" t="s">
        <v>103</v>
      </c>
      <c r="J80" t="s">
        <v>28</v>
      </c>
      <c r="K80" t="s">
        <v>28</v>
      </c>
      <c r="L80" t="s">
        <v>46</v>
      </c>
      <c r="N80" t="s">
        <v>463</v>
      </c>
      <c r="O80" t="s">
        <v>48</v>
      </c>
      <c r="P80" t="s">
        <v>49</v>
      </c>
      <c r="Q80" t="s">
        <v>49</v>
      </c>
      <c r="R80" t="s">
        <v>545</v>
      </c>
      <c r="S80" t="s">
        <v>38</v>
      </c>
      <c r="T80" t="s">
        <v>546</v>
      </c>
      <c r="U80" t="s">
        <v>547</v>
      </c>
      <c r="V80" t="s">
        <v>87</v>
      </c>
      <c r="X80" t="s">
        <v>463</v>
      </c>
      <c r="Y80" t="s">
        <v>548</v>
      </c>
      <c r="Z80" t="s">
        <v>91</v>
      </c>
    </row>
    <row r="81" spans="1:26" ht="12.75" customHeight="1" x14ac:dyDescent="0.35">
      <c r="A81">
        <v>80</v>
      </c>
      <c r="B81">
        <v>45882.907040219907</v>
      </c>
      <c r="E81" t="s">
        <v>448</v>
      </c>
      <c r="F81" t="s">
        <v>28</v>
      </c>
      <c r="G81" t="s">
        <v>158</v>
      </c>
      <c r="H81" t="s">
        <v>28</v>
      </c>
      <c r="I81" t="s">
        <v>28</v>
      </c>
      <c r="J81" t="s">
        <v>368</v>
      </c>
      <c r="K81" t="s">
        <v>28</v>
      </c>
      <c r="L81" t="s">
        <v>36</v>
      </c>
      <c r="N81" t="s">
        <v>549</v>
      </c>
      <c r="O81" t="s">
        <v>49</v>
      </c>
      <c r="P81" t="s">
        <v>48</v>
      </c>
      <c r="Q81" t="s">
        <v>48</v>
      </c>
      <c r="R81" t="s">
        <v>550</v>
      </c>
      <c r="S81" t="s">
        <v>48</v>
      </c>
      <c r="T81" t="s">
        <v>551</v>
      </c>
      <c r="U81" t="s">
        <v>552</v>
      </c>
      <c r="V81" t="s">
        <v>53</v>
      </c>
      <c r="X81" t="s">
        <v>553</v>
      </c>
      <c r="Y81" t="s">
        <v>554</v>
      </c>
      <c r="Z81" t="s">
        <v>129</v>
      </c>
    </row>
    <row r="82" spans="1:26" ht="12.75" customHeight="1" x14ac:dyDescent="0.35">
      <c r="A82">
        <v>81</v>
      </c>
      <c r="B82">
        <v>45882.908442627318</v>
      </c>
      <c r="E82" t="s">
        <v>448</v>
      </c>
      <c r="F82" t="s">
        <v>28</v>
      </c>
      <c r="G82" t="s">
        <v>28</v>
      </c>
      <c r="H82" t="s">
        <v>157</v>
      </c>
      <c r="I82" t="s">
        <v>158</v>
      </c>
      <c r="J82" t="s">
        <v>28</v>
      </c>
      <c r="K82" t="s">
        <v>28</v>
      </c>
      <c r="L82" t="s">
        <v>46</v>
      </c>
      <c r="N82" t="s">
        <v>555</v>
      </c>
      <c r="O82" t="s">
        <v>48</v>
      </c>
      <c r="P82" t="s">
        <v>49</v>
      </c>
      <c r="Q82" t="s">
        <v>48</v>
      </c>
      <c r="R82" t="s">
        <v>556</v>
      </c>
      <c r="S82" t="s">
        <v>49</v>
      </c>
      <c r="T82" t="s">
        <v>557</v>
      </c>
      <c r="U82" t="s">
        <v>558</v>
      </c>
      <c r="V82" t="s">
        <v>87</v>
      </c>
      <c r="X82" t="s">
        <v>538</v>
      </c>
      <c r="Y82" t="s">
        <v>559</v>
      </c>
      <c r="Z82" t="s">
        <v>91</v>
      </c>
    </row>
    <row r="83" spans="1:26" ht="12.75" customHeight="1" x14ac:dyDescent="0.35">
      <c r="A83">
        <v>82</v>
      </c>
      <c r="B83">
        <v>45882.960230532408</v>
      </c>
      <c r="E83" t="s">
        <v>448</v>
      </c>
      <c r="F83" t="s">
        <v>28</v>
      </c>
      <c r="G83" t="s">
        <v>28</v>
      </c>
      <c r="H83" t="s">
        <v>28</v>
      </c>
      <c r="I83" t="s">
        <v>28</v>
      </c>
      <c r="J83" t="s">
        <v>173</v>
      </c>
      <c r="K83" t="s">
        <v>28</v>
      </c>
      <c r="L83" t="s">
        <v>36</v>
      </c>
      <c r="N83" t="s">
        <v>81</v>
      </c>
      <c r="O83" t="s">
        <v>38</v>
      </c>
      <c r="P83" t="s">
        <v>49</v>
      </c>
      <c r="Q83" t="s">
        <v>38</v>
      </c>
      <c r="R83" t="s">
        <v>560</v>
      </c>
      <c r="S83" t="s">
        <v>49</v>
      </c>
      <c r="T83" t="s">
        <v>561</v>
      </c>
      <c r="U83" t="s">
        <v>562</v>
      </c>
      <c r="V83" t="s">
        <v>79</v>
      </c>
      <c r="X83" t="s">
        <v>81</v>
      </c>
      <c r="Y83" t="s">
        <v>467</v>
      </c>
      <c r="Z83" t="s">
        <v>129</v>
      </c>
    </row>
    <row r="84" spans="1:26" ht="12.75" customHeight="1" x14ac:dyDescent="0.35">
      <c r="A84">
        <v>83</v>
      </c>
      <c r="B84">
        <v>45882.962084675921</v>
      </c>
      <c r="E84" t="s">
        <v>448</v>
      </c>
      <c r="F84" t="s">
        <v>28</v>
      </c>
      <c r="G84" t="s">
        <v>28</v>
      </c>
      <c r="H84" t="s">
        <v>28</v>
      </c>
      <c r="I84" t="s">
        <v>158</v>
      </c>
      <c r="J84" t="s">
        <v>45</v>
      </c>
      <c r="K84" t="s">
        <v>35</v>
      </c>
      <c r="L84" t="s">
        <v>36</v>
      </c>
      <c r="N84" t="s">
        <v>81</v>
      </c>
      <c r="O84" t="s">
        <v>49</v>
      </c>
      <c r="P84" t="s">
        <v>49</v>
      </c>
      <c r="Q84" t="s">
        <v>49</v>
      </c>
      <c r="R84" t="s">
        <v>563</v>
      </c>
      <c r="S84" t="s">
        <v>38</v>
      </c>
      <c r="T84" t="s">
        <v>564</v>
      </c>
      <c r="U84" t="s">
        <v>565</v>
      </c>
      <c r="V84" t="s">
        <v>79</v>
      </c>
      <c r="X84" t="s">
        <v>81</v>
      </c>
      <c r="Y84" t="s">
        <v>566</v>
      </c>
      <c r="Z84" t="s">
        <v>129</v>
      </c>
    </row>
    <row r="85" spans="1:26" ht="12.75" customHeight="1" x14ac:dyDescent="0.35">
      <c r="A85">
        <v>84</v>
      </c>
      <c r="B85">
        <v>45882.963579328702</v>
      </c>
      <c r="E85" t="s">
        <v>448</v>
      </c>
      <c r="F85" t="s">
        <v>28</v>
      </c>
      <c r="G85" t="s">
        <v>44</v>
      </c>
      <c r="H85" t="s">
        <v>284</v>
      </c>
      <c r="I85" t="s">
        <v>28</v>
      </c>
      <c r="J85" t="s">
        <v>28</v>
      </c>
      <c r="K85" t="s">
        <v>292</v>
      </c>
      <c r="L85" t="s">
        <v>36</v>
      </c>
      <c r="N85" t="s">
        <v>81</v>
      </c>
      <c r="P85" t="s">
        <v>38</v>
      </c>
      <c r="Q85" t="s">
        <v>49</v>
      </c>
      <c r="R85" t="s">
        <v>567</v>
      </c>
      <c r="S85" t="s">
        <v>38</v>
      </c>
      <c r="T85" t="s">
        <v>568</v>
      </c>
      <c r="U85" t="s">
        <v>569</v>
      </c>
      <c r="V85" t="s">
        <v>79</v>
      </c>
      <c r="X85" t="s">
        <v>81</v>
      </c>
      <c r="Y85" t="s">
        <v>523</v>
      </c>
      <c r="Z85" t="s">
        <v>129</v>
      </c>
    </row>
    <row r="86" spans="1:26" ht="12.75" customHeight="1" x14ac:dyDescent="0.35">
      <c r="A86">
        <v>85</v>
      </c>
      <c r="B86">
        <v>45882.965309965279</v>
      </c>
      <c r="E86" t="s">
        <v>570</v>
      </c>
      <c r="F86" t="s">
        <v>28</v>
      </c>
      <c r="G86" t="s">
        <v>60</v>
      </c>
      <c r="H86" t="s">
        <v>157</v>
      </c>
      <c r="I86" t="s">
        <v>173</v>
      </c>
      <c r="J86" t="s">
        <v>45</v>
      </c>
      <c r="K86" t="s">
        <v>292</v>
      </c>
      <c r="L86" t="s">
        <v>36</v>
      </c>
      <c r="N86" t="s">
        <v>571</v>
      </c>
      <c r="O86" t="s">
        <v>49</v>
      </c>
      <c r="P86" t="s">
        <v>49</v>
      </c>
      <c r="Q86" t="s">
        <v>49</v>
      </c>
      <c r="R86" t="s">
        <v>572</v>
      </c>
      <c r="S86" t="s">
        <v>49</v>
      </c>
      <c r="T86" t="s">
        <v>573</v>
      </c>
      <c r="U86" t="s">
        <v>527</v>
      </c>
      <c r="V86" t="s">
        <v>79</v>
      </c>
      <c r="X86" t="s">
        <v>81</v>
      </c>
      <c r="Y86" t="s">
        <v>574</v>
      </c>
      <c r="Z86" t="s">
        <v>129</v>
      </c>
    </row>
    <row r="87" spans="1:26" ht="12.75" customHeight="1" x14ac:dyDescent="0.35">
      <c r="A87">
        <v>86</v>
      </c>
      <c r="B87">
        <v>45882.967304282407</v>
      </c>
      <c r="E87" t="s">
        <v>448</v>
      </c>
      <c r="F87" t="s">
        <v>28</v>
      </c>
      <c r="G87" t="s">
        <v>28</v>
      </c>
      <c r="H87" t="s">
        <v>157</v>
      </c>
      <c r="I87" t="s">
        <v>197</v>
      </c>
      <c r="J87" t="s">
        <v>173</v>
      </c>
      <c r="K87" t="s">
        <v>74</v>
      </c>
      <c r="L87" t="s">
        <v>46</v>
      </c>
      <c r="N87" t="s">
        <v>81</v>
      </c>
      <c r="O87" t="s">
        <v>38</v>
      </c>
      <c r="P87" t="s">
        <v>40</v>
      </c>
      <c r="Q87" t="s">
        <v>38</v>
      </c>
      <c r="R87" t="s">
        <v>575</v>
      </c>
      <c r="S87" t="s">
        <v>38</v>
      </c>
      <c r="T87" t="s">
        <v>576</v>
      </c>
      <c r="U87" t="s">
        <v>577</v>
      </c>
      <c r="V87" t="s">
        <v>79</v>
      </c>
      <c r="X87" t="s">
        <v>81</v>
      </c>
      <c r="Y87" t="s">
        <v>578</v>
      </c>
      <c r="Z87" t="s">
        <v>129</v>
      </c>
    </row>
    <row r="88" spans="1:26" ht="12.75" customHeight="1" x14ac:dyDescent="0.35">
      <c r="A88">
        <v>87</v>
      </c>
      <c r="B88">
        <v>45882.968717546297</v>
      </c>
      <c r="E88" t="s">
        <v>448</v>
      </c>
      <c r="F88" t="s">
        <v>28</v>
      </c>
      <c r="G88" t="s">
        <v>60</v>
      </c>
      <c r="H88" t="s">
        <v>29</v>
      </c>
      <c r="I88" t="s">
        <v>158</v>
      </c>
      <c r="J88" t="s">
        <v>45</v>
      </c>
      <c r="K88" t="s">
        <v>28</v>
      </c>
      <c r="L88" t="s">
        <v>46</v>
      </c>
      <c r="N88" t="s">
        <v>81</v>
      </c>
      <c r="O88" t="s">
        <v>48</v>
      </c>
      <c r="P88" t="s">
        <v>49</v>
      </c>
      <c r="Q88" t="s">
        <v>49</v>
      </c>
      <c r="R88" t="s">
        <v>579</v>
      </c>
      <c r="S88" t="s">
        <v>38</v>
      </c>
      <c r="T88" t="s">
        <v>580</v>
      </c>
      <c r="U88" t="s">
        <v>581</v>
      </c>
      <c r="V88" t="s">
        <v>79</v>
      </c>
      <c r="X88" t="s">
        <v>81</v>
      </c>
      <c r="Y88" t="s">
        <v>539</v>
      </c>
      <c r="Z88" t="s">
        <v>129</v>
      </c>
    </row>
    <row r="89" spans="1:26" ht="12.75" customHeight="1" x14ac:dyDescent="0.35">
      <c r="A89">
        <v>88</v>
      </c>
      <c r="B89">
        <v>45882.970129282403</v>
      </c>
      <c r="E89" t="s">
        <v>448</v>
      </c>
      <c r="F89" t="s">
        <v>28</v>
      </c>
      <c r="G89" t="s">
        <v>28</v>
      </c>
      <c r="H89" t="s">
        <v>60</v>
      </c>
      <c r="I89" t="s">
        <v>30</v>
      </c>
      <c r="J89" t="s">
        <v>30</v>
      </c>
      <c r="K89" t="s">
        <v>61</v>
      </c>
      <c r="L89" t="s">
        <v>36</v>
      </c>
      <c r="N89" t="s">
        <v>81</v>
      </c>
      <c r="O89" t="s">
        <v>38</v>
      </c>
      <c r="P89" t="s">
        <v>49</v>
      </c>
      <c r="Q89" t="s">
        <v>49</v>
      </c>
      <c r="R89" t="s">
        <v>582</v>
      </c>
      <c r="S89" t="s">
        <v>49</v>
      </c>
      <c r="T89" t="s">
        <v>583</v>
      </c>
      <c r="U89" t="s">
        <v>577</v>
      </c>
      <c r="V89" t="s">
        <v>65</v>
      </c>
      <c r="X89" t="s">
        <v>81</v>
      </c>
      <c r="Y89" t="s">
        <v>584</v>
      </c>
      <c r="Z89" t="s">
        <v>57</v>
      </c>
    </row>
    <row r="90" spans="1:26" ht="12.75" customHeight="1" x14ac:dyDescent="0.35">
      <c r="A90">
        <v>89</v>
      </c>
      <c r="B90">
        <v>45882.971437800923</v>
      </c>
      <c r="E90" t="s">
        <v>570</v>
      </c>
      <c r="F90" t="s">
        <v>29</v>
      </c>
      <c r="G90" t="s">
        <v>60</v>
      </c>
      <c r="H90" t="s">
        <v>33</v>
      </c>
      <c r="I90" t="s">
        <v>34</v>
      </c>
      <c r="J90" t="s">
        <v>28</v>
      </c>
      <c r="K90" t="s">
        <v>45</v>
      </c>
      <c r="L90" t="s">
        <v>36</v>
      </c>
      <c r="N90" t="s">
        <v>81</v>
      </c>
      <c r="O90" t="s">
        <v>49</v>
      </c>
      <c r="P90" t="s">
        <v>48</v>
      </c>
      <c r="Q90" t="s">
        <v>40</v>
      </c>
      <c r="R90" t="s">
        <v>585</v>
      </c>
      <c r="S90" t="s">
        <v>38</v>
      </c>
      <c r="T90" t="s">
        <v>586</v>
      </c>
      <c r="U90" t="s">
        <v>587</v>
      </c>
      <c r="V90" t="s">
        <v>65</v>
      </c>
      <c r="X90" t="s">
        <v>81</v>
      </c>
      <c r="Y90" t="s">
        <v>588</v>
      </c>
      <c r="Z90" t="s">
        <v>57</v>
      </c>
    </row>
    <row r="91" spans="1:26" ht="12.75" customHeight="1" x14ac:dyDescent="0.35">
      <c r="A91">
        <v>90</v>
      </c>
      <c r="B91">
        <v>45882.972998252313</v>
      </c>
      <c r="E91" t="s">
        <v>448</v>
      </c>
      <c r="F91" t="s">
        <v>29</v>
      </c>
      <c r="G91" t="s">
        <v>60</v>
      </c>
      <c r="H91" t="s">
        <v>33</v>
      </c>
      <c r="I91" t="s">
        <v>34</v>
      </c>
      <c r="J91" t="s">
        <v>28</v>
      </c>
      <c r="K91" t="s">
        <v>28</v>
      </c>
      <c r="L91" t="s">
        <v>36</v>
      </c>
      <c r="N91" t="s">
        <v>81</v>
      </c>
      <c r="O91" t="s">
        <v>38</v>
      </c>
      <c r="P91" t="s">
        <v>38</v>
      </c>
      <c r="Q91" t="s">
        <v>38</v>
      </c>
      <c r="R91" t="s">
        <v>589</v>
      </c>
      <c r="S91" t="s">
        <v>39</v>
      </c>
      <c r="T91" t="s">
        <v>590</v>
      </c>
      <c r="U91" t="s">
        <v>591</v>
      </c>
      <c r="V91" t="s">
        <v>65</v>
      </c>
      <c r="X91" t="s">
        <v>81</v>
      </c>
      <c r="Y91" t="s">
        <v>592</v>
      </c>
      <c r="Z91" t="s">
        <v>57</v>
      </c>
    </row>
    <row r="92" spans="1:26" ht="12.75" customHeight="1" x14ac:dyDescent="0.35">
      <c r="A92">
        <v>91</v>
      </c>
      <c r="B92">
        <v>45882.974472210648</v>
      </c>
      <c r="E92" t="s">
        <v>448</v>
      </c>
      <c r="F92" t="s">
        <v>28</v>
      </c>
      <c r="G92" t="s">
        <v>28</v>
      </c>
      <c r="H92" t="s">
        <v>28</v>
      </c>
      <c r="I92" t="s">
        <v>28</v>
      </c>
      <c r="J92" t="s">
        <v>103</v>
      </c>
      <c r="K92" t="s">
        <v>28</v>
      </c>
      <c r="L92" t="s">
        <v>36</v>
      </c>
      <c r="N92" t="s">
        <v>81</v>
      </c>
      <c r="O92" t="s">
        <v>49</v>
      </c>
      <c r="P92" t="s">
        <v>49</v>
      </c>
      <c r="Q92" t="s">
        <v>48</v>
      </c>
      <c r="R92" t="s">
        <v>593</v>
      </c>
      <c r="S92" t="s">
        <v>48</v>
      </c>
      <c r="T92" t="s">
        <v>594</v>
      </c>
      <c r="U92" t="s">
        <v>595</v>
      </c>
      <c r="V92" t="s">
        <v>65</v>
      </c>
      <c r="X92" t="s">
        <v>81</v>
      </c>
      <c r="Y92" t="s">
        <v>596</v>
      </c>
      <c r="Z92" t="s">
        <v>57</v>
      </c>
    </row>
    <row r="93" spans="1:26" ht="12.75" customHeight="1" x14ac:dyDescent="0.35">
      <c r="A93">
        <v>92</v>
      </c>
      <c r="B93">
        <v>45883.29763695602</v>
      </c>
      <c r="D93" t="s">
        <v>597</v>
      </c>
      <c r="E93" t="s">
        <v>598</v>
      </c>
      <c r="F93" t="s">
        <v>28</v>
      </c>
      <c r="G93" t="s">
        <v>44</v>
      </c>
      <c r="H93" t="s">
        <v>44</v>
      </c>
      <c r="I93" t="s">
        <v>173</v>
      </c>
      <c r="J93" t="s">
        <v>30</v>
      </c>
      <c r="K93" t="s">
        <v>61</v>
      </c>
      <c r="L93" t="s">
        <v>46</v>
      </c>
      <c r="N93" t="s">
        <v>599</v>
      </c>
      <c r="O93" t="s">
        <v>49</v>
      </c>
      <c r="P93" t="s">
        <v>49</v>
      </c>
      <c r="Q93" t="s">
        <v>49</v>
      </c>
      <c r="R93" t="s">
        <v>600</v>
      </c>
      <c r="S93" t="s">
        <v>49</v>
      </c>
      <c r="T93" t="s">
        <v>601</v>
      </c>
      <c r="U93" t="s">
        <v>602</v>
      </c>
      <c r="V93" t="s">
        <v>65</v>
      </c>
      <c r="X93" t="s">
        <v>603</v>
      </c>
      <c r="Y93" t="s">
        <v>349</v>
      </c>
      <c r="Z93" t="s">
        <v>129</v>
      </c>
    </row>
    <row r="94" spans="1:26" ht="12.75" customHeight="1" x14ac:dyDescent="0.35">
      <c r="A94">
        <v>93</v>
      </c>
      <c r="B94">
        <v>45883.302429837961</v>
      </c>
      <c r="D94" t="s">
        <v>604</v>
      </c>
      <c r="E94" t="s">
        <v>598</v>
      </c>
      <c r="F94" t="s">
        <v>344</v>
      </c>
      <c r="G94" t="s">
        <v>29</v>
      </c>
      <c r="H94" t="s">
        <v>29</v>
      </c>
      <c r="I94" t="s">
        <v>30</v>
      </c>
      <c r="J94" t="s">
        <v>30</v>
      </c>
      <c r="K94" t="s">
        <v>94</v>
      </c>
      <c r="L94" t="s">
        <v>36</v>
      </c>
      <c r="N94" t="s">
        <v>605</v>
      </c>
      <c r="O94" t="s">
        <v>48</v>
      </c>
      <c r="P94" t="s">
        <v>48</v>
      </c>
      <c r="Q94" t="s">
        <v>48</v>
      </c>
      <c r="R94" t="s">
        <v>606</v>
      </c>
      <c r="S94" t="s">
        <v>48</v>
      </c>
      <c r="T94" t="s">
        <v>607</v>
      </c>
      <c r="U94" t="s">
        <v>608</v>
      </c>
      <c r="V94" t="s">
        <v>65</v>
      </c>
      <c r="X94" t="s">
        <v>603</v>
      </c>
      <c r="Y94" t="s">
        <v>609</v>
      </c>
      <c r="Z94" t="s">
        <v>91</v>
      </c>
    </row>
    <row r="95" spans="1:26" ht="12.75" customHeight="1" x14ac:dyDescent="0.35">
      <c r="A95">
        <v>94</v>
      </c>
      <c r="B95">
        <v>45883.306485219902</v>
      </c>
      <c r="D95" t="s">
        <v>610</v>
      </c>
      <c r="E95" t="s">
        <v>598</v>
      </c>
      <c r="F95" t="s">
        <v>28</v>
      </c>
      <c r="G95" t="s">
        <v>29</v>
      </c>
      <c r="H95" t="s">
        <v>33</v>
      </c>
      <c r="I95" t="s">
        <v>30</v>
      </c>
      <c r="J95" t="s">
        <v>94</v>
      </c>
      <c r="K95" t="s">
        <v>94</v>
      </c>
      <c r="L95" t="s">
        <v>46</v>
      </c>
      <c r="N95" t="s">
        <v>611</v>
      </c>
      <c r="O95" t="s">
        <v>49</v>
      </c>
      <c r="P95" t="s">
        <v>49</v>
      </c>
      <c r="Q95" t="s">
        <v>49</v>
      </c>
      <c r="R95" t="s">
        <v>612</v>
      </c>
      <c r="S95" t="s">
        <v>49</v>
      </c>
      <c r="T95" t="s">
        <v>613</v>
      </c>
      <c r="U95" t="s">
        <v>614</v>
      </c>
      <c r="V95" t="s">
        <v>79</v>
      </c>
      <c r="W95" t="s">
        <v>615</v>
      </c>
      <c r="X95" t="s">
        <v>603</v>
      </c>
      <c r="Y95" t="s">
        <v>616</v>
      </c>
      <c r="Z95" t="s">
        <v>129</v>
      </c>
    </row>
    <row r="96" spans="1:26" ht="12.75" customHeight="1" x14ac:dyDescent="0.35">
      <c r="A96">
        <v>95</v>
      </c>
      <c r="B96">
        <v>45883.311400555554</v>
      </c>
      <c r="D96" t="s">
        <v>617</v>
      </c>
      <c r="E96" t="s">
        <v>598</v>
      </c>
      <c r="F96" t="s">
        <v>71</v>
      </c>
      <c r="G96" t="s">
        <v>33</v>
      </c>
      <c r="H96" t="s">
        <v>33</v>
      </c>
      <c r="I96" t="s">
        <v>34</v>
      </c>
      <c r="J96" t="s">
        <v>34</v>
      </c>
      <c r="K96" t="s">
        <v>73</v>
      </c>
      <c r="L96" t="s">
        <v>46</v>
      </c>
      <c r="N96" t="s">
        <v>605</v>
      </c>
      <c r="O96" t="s">
        <v>49</v>
      </c>
      <c r="P96" t="s">
        <v>49</v>
      </c>
      <c r="Q96" t="s">
        <v>49</v>
      </c>
      <c r="R96" t="s">
        <v>618</v>
      </c>
      <c r="S96" t="s">
        <v>49</v>
      </c>
      <c r="T96" t="s">
        <v>619</v>
      </c>
      <c r="U96" t="s">
        <v>620</v>
      </c>
      <c r="V96" t="s">
        <v>53</v>
      </c>
      <c r="W96" t="s">
        <v>621</v>
      </c>
      <c r="X96" t="s">
        <v>603</v>
      </c>
      <c r="Y96" t="s">
        <v>622</v>
      </c>
      <c r="Z96" t="s">
        <v>129</v>
      </c>
    </row>
    <row r="97" spans="1:26" ht="12.75" customHeight="1" x14ac:dyDescent="0.35">
      <c r="A97">
        <v>96</v>
      </c>
      <c r="B97">
        <v>45883.315489189816</v>
      </c>
      <c r="D97" t="s">
        <v>623</v>
      </c>
      <c r="E97" t="s">
        <v>598</v>
      </c>
      <c r="F97" t="s">
        <v>29</v>
      </c>
      <c r="G97" t="s">
        <v>29</v>
      </c>
      <c r="H97" t="s">
        <v>29</v>
      </c>
      <c r="I97" t="s">
        <v>30</v>
      </c>
      <c r="J97" t="s">
        <v>30</v>
      </c>
      <c r="K97" t="s">
        <v>94</v>
      </c>
      <c r="L97" t="s">
        <v>46</v>
      </c>
      <c r="N97" t="s">
        <v>624</v>
      </c>
      <c r="O97" t="s">
        <v>49</v>
      </c>
      <c r="P97" t="s">
        <v>48</v>
      </c>
      <c r="Q97" t="s">
        <v>49</v>
      </c>
      <c r="R97" t="s">
        <v>625</v>
      </c>
      <c r="S97" t="s">
        <v>48</v>
      </c>
      <c r="T97" t="s">
        <v>626</v>
      </c>
      <c r="U97" t="s">
        <v>627</v>
      </c>
      <c r="V97" t="s">
        <v>65</v>
      </c>
      <c r="W97" t="s">
        <v>628</v>
      </c>
      <c r="X97" t="s">
        <v>603</v>
      </c>
      <c r="Y97" t="s">
        <v>629</v>
      </c>
      <c r="Z97" t="s">
        <v>91</v>
      </c>
    </row>
    <row r="98" spans="1:26" ht="12.75" customHeight="1" x14ac:dyDescent="0.35">
      <c r="A98">
        <v>97</v>
      </c>
      <c r="B98">
        <v>45883.319992604171</v>
      </c>
      <c r="D98" t="s">
        <v>630</v>
      </c>
      <c r="E98" t="s">
        <v>598</v>
      </c>
      <c r="F98" t="s">
        <v>344</v>
      </c>
      <c r="G98" t="s">
        <v>29</v>
      </c>
      <c r="H98" t="s">
        <v>206</v>
      </c>
      <c r="I98" t="s">
        <v>30</v>
      </c>
      <c r="J98" t="s">
        <v>173</v>
      </c>
      <c r="K98" t="s">
        <v>94</v>
      </c>
      <c r="L98" t="s">
        <v>46</v>
      </c>
      <c r="N98" t="s">
        <v>631</v>
      </c>
      <c r="O98" t="s">
        <v>49</v>
      </c>
      <c r="P98" t="s">
        <v>49</v>
      </c>
      <c r="Q98" t="s">
        <v>49</v>
      </c>
      <c r="R98" t="s">
        <v>632</v>
      </c>
      <c r="S98" t="s">
        <v>49</v>
      </c>
      <c r="T98" t="s">
        <v>633</v>
      </c>
      <c r="U98" t="s">
        <v>634</v>
      </c>
      <c r="V98" t="s">
        <v>87</v>
      </c>
      <c r="W98" t="s">
        <v>635</v>
      </c>
      <c r="X98" t="s">
        <v>603</v>
      </c>
      <c r="Y98" t="s">
        <v>616</v>
      </c>
      <c r="Z98" t="s">
        <v>129</v>
      </c>
    </row>
    <row r="99" spans="1:26" ht="12.75" customHeight="1" x14ac:dyDescent="0.35">
      <c r="A99">
        <v>98</v>
      </c>
      <c r="B99">
        <v>45883.326981782404</v>
      </c>
      <c r="D99" t="s">
        <v>636</v>
      </c>
      <c r="E99" t="s">
        <v>598</v>
      </c>
      <c r="F99" t="s">
        <v>344</v>
      </c>
      <c r="G99" t="s">
        <v>29</v>
      </c>
      <c r="H99" t="s">
        <v>29</v>
      </c>
      <c r="I99" t="s">
        <v>30</v>
      </c>
      <c r="J99" t="s">
        <v>30</v>
      </c>
      <c r="K99" t="s">
        <v>94</v>
      </c>
      <c r="L99" t="s">
        <v>36</v>
      </c>
      <c r="N99" t="s">
        <v>624</v>
      </c>
      <c r="O99" t="s">
        <v>49</v>
      </c>
      <c r="P99" t="s">
        <v>49</v>
      </c>
      <c r="Q99" t="s">
        <v>49</v>
      </c>
      <c r="R99" t="s">
        <v>637</v>
      </c>
      <c r="S99" t="s">
        <v>49</v>
      </c>
      <c r="T99" t="s">
        <v>638</v>
      </c>
      <c r="U99" t="s">
        <v>639</v>
      </c>
      <c r="V99" t="s">
        <v>79</v>
      </c>
      <c r="W99" t="s">
        <v>640</v>
      </c>
      <c r="X99" t="s">
        <v>603</v>
      </c>
      <c r="Y99" t="s">
        <v>622</v>
      </c>
      <c r="Z99" t="s">
        <v>129</v>
      </c>
    </row>
    <row r="100" spans="1:26" ht="12.75" customHeight="1" x14ac:dyDescent="0.35">
      <c r="A100">
        <v>99</v>
      </c>
      <c r="B100">
        <v>45883.332536620372</v>
      </c>
      <c r="D100" t="s">
        <v>641</v>
      </c>
      <c r="E100" t="s">
        <v>598</v>
      </c>
      <c r="F100" t="s">
        <v>344</v>
      </c>
      <c r="G100" t="s">
        <v>196</v>
      </c>
      <c r="H100" t="s">
        <v>206</v>
      </c>
      <c r="I100" t="s">
        <v>34</v>
      </c>
      <c r="J100" t="s">
        <v>34</v>
      </c>
      <c r="K100" t="s">
        <v>94</v>
      </c>
      <c r="L100" t="s">
        <v>36</v>
      </c>
      <c r="N100" t="s">
        <v>642</v>
      </c>
      <c r="O100" t="s">
        <v>49</v>
      </c>
      <c r="P100" t="s">
        <v>49</v>
      </c>
      <c r="Q100" t="s">
        <v>48</v>
      </c>
      <c r="R100" t="s">
        <v>643</v>
      </c>
      <c r="S100" t="s">
        <v>48</v>
      </c>
      <c r="T100" t="s">
        <v>644</v>
      </c>
      <c r="U100" t="s">
        <v>645</v>
      </c>
      <c r="V100" t="s">
        <v>65</v>
      </c>
      <c r="W100" t="s">
        <v>646</v>
      </c>
      <c r="X100" t="s">
        <v>603</v>
      </c>
      <c r="Y100" t="s">
        <v>647</v>
      </c>
      <c r="Z100" t="s">
        <v>129</v>
      </c>
    </row>
    <row r="101" spans="1:26" ht="12.75" customHeight="1" x14ac:dyDescent="0.35">
      <c r="A101">
        <v>100</v>
      </c>
      <c r="B101">
        <v>45883.337591759264</v>
      </c>
      <c r="D101" t="s">
        <v>648</v>
      </c>
      <c r="E101" t="s">
        <v>598</v>
      </c>
      <c r="F101" t="s">
        <v>29</v>
      </c>
      <c r="G101" t="s">
        <v>29</v>
      </c>
      <c r="H101" t="s">
        <v>29</v>
      </c>
      <c r="I101" t="s">
        <v>30</v>
      </c>
      <c r="J101" t="s">
        <v>30</v>
      </c>
      <c r="K101" t="s">
        <v>94</v>
      </c>
      <c r="L101" t="s">
        <v>46</v>
      </c>
      <c r="N101" t="s">
        <v>642</v>
      </c>
      <c r="O101" t="s">
        <v>49</v>
      </c>
      <c r="P101" t="s">
        <v>49</v>
      </c>
      <c r="Q101" t="s">
        <v>49</v>
      </c>
      <c r="R101" t="s">
        <v>649</v>
      </c>
      <c r="S101" t="s">
        <v>49</v>
      </c>
      <c r="T101" t="s">
        <v>650</v>
      </c>
      <c r="U101" t="s">
        <v>651</v>
      </c>
      <c r="V101" t="s">
        <v>53</v>
      </c>
      <c r="X101" t="s">
        <v>603</v>
      </c>
      <c r="Y101" t="s">
        <v>616</v>
      </c>
      <c r="Z101" t="s">
        <v>129</v>
      </c>
    </row>
    <row r="102" spans="1:26" ht="12.75" customHeight="1" x14ac:dyDescent="0.35">
      <c r="A102">
        <v>101</v>
      </c>
      <c r="B102">
        <v>45883.342522164356</v>
      </c>
      <c r="D102" t="s">
        <v>652</v>
      </c>
      <c r="E102" t="s">
        <v>598</v>
      </c>
      <c r="F102" t="s">
        <v>71</v>
      </c>
      <c r="G102" t="s">
        <v>33</v>
      </c>
      <c r="H102" t="s">
        <v>33</v>
      </c>
      <c r="I102" t="s">
        <v>34</v>
      </c>
      <c r="J102" t="s">
        <v>34</v>
      </c>
      <c r="K102" t="s">
        <v>73</v>
      </c>
      <c r="L102" t="s">
        <v>36</v>
      </c>
      <c r="N102" t="s">
        <v>442</v>
      </c>
      <c r="O102" t="s">
        <v>48</v>
      </c>
      <c r="P102" t="s">
        <v>48</v>
      </c>
      <c r="Q102" t="s">
        <v>48</v>
      </c>
      <c r="R102" t="s">
        <v>653</v>
      </c>
      <c r="S102" t="s">
        <v>48</v>
      </c>
      <c r="T102" t="s">
        <v>654</v>
      </c>
      <c r="U102" t="s">
        <v>655</v>
      </c>
      <c r="V102" t="s">
        <v>53</v>
      </c>
      <c r="W102" t="s">
        <v>656</v>
      </c>
      <c r="X102" t="s">
        <v>603</v>
      </c>
      <c r="Y102" t="s">
        <v>622</v>
      </c>
      <c r="Z102" t="s">
        <v>129</v>
      </c>
    </row>
    <row r="103" spans="1:26" ht="12.75" customHeight="1" x14ac:dyDescent="0.35">
      <c r="A103">
        <v>102</v>
      </c>
      <c r="B103">
        <v>45883.346462604168</v>
      </c>
      <c r="D103" t="s">
        <v>657</v>
      </c>
      <c r="E103" t="s">
        <v>658</v>
      </c>
      <c r="F103" t="s">
        <v>28</v>
      </c>
      <c r="G103" t="s">
        <v>28</v>
      </c>
      <c r="H103" t="s">
        <v>28</v>
      </c>
      <c r="I103" t="s">
        <v>28</v>
      </c>
      <c r="J103" t="s">
        <v>28</v>
      </c>
      <c r="K103" t="s">
        <v>28</v>
      </c>
      <c r="L103" t="s">
        <v>46</v>
      </c>
      <c r="N103" t="s">
        <v>442</v>
      </c>
      <c r="O103" t="s">
        <v>49</v>
      </c>
      <c r="P103" t="s">
        <v>49</v>
      </c>
      <c r="Q103" t="s">
        <v>49</v>
      </c>
      <c r="R103" t="s">
        <v>659</v>
      </c>
      <c r="S103" t="s">
        <v>49</v>
      </c>
      <c r="T103" t="s">
        <v>660</v>
      </c>
      <c r="U103" t="s">
        <v>661</v>
      </c>
      <c r="V103" t="s">
        <v>79</v>
      </c>
      <c r="X103" t="s">
        <v>603</v>
      </c>
      <c r="Y103" t="s">
        <v>629</v>
      </c>
      <c r="Z103" t="s">
        <v>91</v>
      </c>
    </row>
    <row r="104" spans="1:26" ht="12.75" customHeight="1" x14ac:dyDescent="0.35">
      <c r="A104">
        <v>103</v>
      </c>
      <c r="B104">
        <v>45883.348456134263</v>
      </c>
      <c r="D104" t="s">
        <v>662</v>
      </c>
      <c r="E104" t="s">
        <v>598</v>
      </c>
      <c r="F104" t="s">
        <v>71</v>
      </c>
      <c r="G104" t="s">
        <v>33</v>
      </c>
      <c r="H104" t="s">
        <v>33</v>
      </c>
      <c r="I104" t="s">
        <v>34</v>
      </c>
      <c r="J104" t="s">
        <v>34</v>
      </c>
      <c r="K104" t="s">
        <v>73</v>
      </c>
      <c r="L104" t="s">
        <v>36</v>
      </c>
      <c r="N104" t="s">
        <v>442</v>
      </c>
      <c r="O104" t="s">
        <v>48</v>
      </c>
      <c r="P104" t="s">
        <v>48</v>
      </c>
      <c r="Q104" t="s">
        <v>48</v>
      </c>
      <c r="R104" t="s">
        <v>663</v>
      </c>
      <c r="S104" t="s">
        <v>48</v>
      </c>
      <c r="T104" t="s">
        <v>664</v>
      </c>
      <c r="U104" t="s">
        <v>665</v>
      </c>
      <c r="V104" t="s">
        <v>79</v>
      </c>
      <c r="W104" t="s">
        <v>666</v>
      </c>
      <c r="X104" t="s">
        <v>603</v>
      </c>
      <c r="Y104" t="s">
        <v>629</v>
      </c>
      <c r="Z104" t="s">
        <v>129</v>
      </c>
    </row>
    <row r="105" spans="1:26" ht="12.75" customHeight="1" x14ac:dyDescent="0.35">
      <c r="A105">
        <v>104</v>
      </c>
      <c r="B105">
        <v>45883.352773576393</v>
      </c>
      <c r="D105" t="s">
        <v>667</v>
      </c>
      <c r="E105" t="s">
        <v>598</v>
      </c>
      <c r="F105" t="s">
        <v>28</v>
      </c>
      <c r="G105" t="s">
        <v>28</v>
      </c>
      <c r="H105" t="s">
        <v>28</v>
      </c>
      <c r="I105" t="s">
        <v>28</v>
      </c>
      <c r="J105" t="s">
        <v>28</v>
      </c>
      <c r="K105" t="s">
        <v>28</v>
      </c>
      <c r="L105" t="s">
        <v>36</v>
      </c>
      <c r="N105" t="s">
        <v>668</v>
      </c>
      <c r="O105" t="s">
        <v>49</v>
      </c>
      <c r="P105" t="s">
        <v>48</v>
      </c>
      <c r="Q105" t="s">
        <v>49</v>
      </c>
      <c r="R105" t="s">
        <v>669</v>
      </c>
      <c r="S105" t="s">
        <v>48</v>
      </c>
      <c r="T105" t="s">
        <v>670</v>
      </c>
      <c r="U105" t="s">
        <v>671</v>
      </c>
      <c r="V105" t="s">
        <v>65</v>
      </c>
      <c r="W105" t="s">
        <v>672</v>
      </c>
      <c r="X105" t="s">
        <v>603</v>
      </c>
      <c r="Y105" t="s">
        <v>647</v>
      </c>
      <c r="Z105" t="s">
        <v>129</v>
      </c>
    </row>
    <row r="106" spans="1:26" ht="12.75" customHeight="1" x14ac:dyDescent="0.35">
      <c r="A106">
        <v>105</v>
      </c>
      <c r="B106">
        <v>45883.358251550926</v>
      </c>
      <c r="D106" t="s">
        <v>673</v>
      </c>
      <c r="E106" t="s">
        <v>180</v>
      </c>
      <c r="F106" t="s">
        <v>29</v>
      </c>
      <c r="G106" t="s">
        <v>29</v>
      </c>
      <c r="H106" t="s">
        <v>29</v>
      </c>
      <c r="I106" t="s">
        <v>30</v>
      </c>
      <c r="J106" t="s">
        <v>30</v>
      </c>
      <c r="K106" t="s">
        <v>94</v>
      </c>
      <c r="L106" t="s">
        <v>46</v>
      </c>
      <c r="N106" t="s">
        <v>442</v>
      </c>
      <c r="O106" t="s">
        <v>48</v>
      </c>
      <c r="P106" t="s">
        <v>48</v>
      </c>
      <c r="Q106" t="s">
        <v>48</v>
      </c>
      <c r="R106" t="s">
        <v>674</v>
      </c>
      <c r="S106" t="s">
        <v>48</v>
      </c>
      <c r="T106" t="s">
        <v>675</v>
      </c>
      <c r="U106" t="s">
        <v>676</v>
      </c>
      <c r="V106" t="s">
        <v>87</v>
      </c>
      <c r="W106" t="s">
        <v>677</v>
      </c>
      <c r="X106" t="s">
        <v>603</v>
      </c>
      <c r="Y106" t="s">
        <v>616</v>
      </c>
      <c r="Z106" t="s">
        <v>57</v>
      </c>
    </row>
    <row r="107" spans="1:26" ht="12.75" customHeight="1" x14ac:dyDescent="0.35">
      <c r="A107">
        <v>106</v>
      </c>
      <c r="B107">
        <v>45883.362960034719</v>
      </c>
      <c r="D107" t="s">
        <v>678</v>
      </c>
      <c r="E107" t="s">
        <v>493</v>
      </c>
      <c r="F107" t="s">
        <v>344</v>
      </c>
      <c r="G107" t="s">
        <v>196</v>
      </c>
      <c r="H107" t="s">
        <v>206</v>
      </c>
      <c r="I107" t="s">
        <v>30</v>
      </c>
      <c r="J107" t="s">
        <v>30</v>
      </c>
      <c r="K107" t="s">
        <v>94</v>
      </c>
      <c r="L107" t="s">
        <v>46</v>
      </c>
      <c r="N107" t="s">
        <v>679</v>
      </c>
      <c r="O107" t="s">
        <v>49</v>
      </c>
      <c r="P107" t="s">
        <v>49</v>
      </c>
      <c r="Q107" t="s">
        <v>49</v>
      </c>
      <c r="R107" t="s">
        <v>680</v>
      </c>
      <c r="S107" t="s">
        <v>49</v>
      </c>
      <c r="T107" t="s">
        <v>681</v>
      </c>
      <c r="U107" t="s">
        <v>682</v>
      </c>
      <c r="V107" t="s">
        <v>53</v>
      </c>
      <c r="X107" t="s">
        <v>603</v>
      </c>
      <c r="Y107" t="s">
        <v>683</v>
      </c>
      <c r="Z107" t="s">
        <v>91</v>
      </c>
    </row>
    <row r="108" spans="1:26" ht="12.75" customHeight="1" x14ac:dyDescent="0.35">
      <c r="A108">
        <v>107</v>
      </c>
      <c r="B108">
        <v>45883.368137673606</v>
      </c>
      <c r="D108" t="s">
        <v>684</v>
      </c>
      <c r="E108" t="s">
        <v>598</v>
      </c>
      <c r="F108" t="s">
        <v>71</v>
      </c>
      <c r="G108" t="s">
        <v>33</v>
      </c>
      <c r="H108" t="s">
        <v>33</v>
      </c>
      <c r="I108" t="s">
        <v>34</v>
      </c>
      <c r="J108" t="s">
        <v>34</v>
      </c>
      <c r="K108" t="s">
        <v>73</v>
      </c>
      <c r="L108" t="s">
        <v>36</v>
      </c>
      <c r="N108" t="s">
        <v>668</v>
      </c>
      <c r="O108" t="s">
        <v>48</v>
      </c>
      <c r="P108" t="s">
        <v>48</v>
      </c>
      <c r="Q108" t="s">
        <v>48</v>
      </c>
      <c r="R108" t="s">
        <v>685</v>
      </c>
      <c r="S108" t="s">
        <v>48</v>
      </c>
      <c r="T108" t="s">
        <v>686</v>
      </c>
      <c r="U108" t="s">
        <v>687</v>
      </c>
      <c r="V108" t="s">
        <v>65</v>
      </c>
      <c r="X108" t="s">
        <v>603</v>
      </c>
      <c r="Y108" t="s">
        <v>688</v>
      </c>
      <c r="Z108" t="s">
        <v>91</v>
      </c>
    </row>
    <row r="109" spans="1:26" ht="12.75" customHeight="1" x14ac:dyDescent="0.35">
      <c r="A109">
        <v>108</v>
      </c>
      <c r="B109">
        <v>45883.378549050925</v>
      </c>
      <c r="D109" t="s">
        <v>689</v>
      </c>
      <c r="E109" t="s">
        <v>180</v>
      </c>
      <c r="F109" t="s">
        <v>29</v>
      </c>
      <c r="G109" t="s">
        <v>29</v>
      </c>
      <c r="H109" t="s">
        <v>29</v>
      </c>
      <c r="I109" t="s">
        <v>30</v>
      </c>
      <c r="J109" t="s">
        <v>30</v>
      </c>
      <c r="K109" t="s">
        <v>94</v>
      </c>
      <c r="L109" t="s">
        <v>46</v>
      </c>
      <c r="N109" t="s">
        <v>442</v>
      </c>
      <c r="O109" t="s">
        <v>49</v>
      </c>
      <c r="P109" t="s">
        <v>48</v>
      </c>
      <c r="Q109" t="s">
        <v>48</v>
      </c>
      <c r="R109" t="s">
        <v>690</v>
      </c>
      <c r="S109" t="s">
        <v>49</v>
      </c>
      <c r="T109" t="s">
        <v>691</v>
      </c>
      <c r="U109" t="s">
        <v>692</v>
      </c>
      <c r="V109" t="s">
        <v>79</v>
      </c>
      <c r="W109" t="s">
        <v>693</v>
      </c>
      <c r="X109" t="s">
        <v>603</v>
      </c>
      <c r="Y109" t="s">
        <v>694</v>
      </c>
      <c r="Z109" t="s">
        <v>57</v>
      </c>
    </row>
    <row r="110" spans="1:26" ht="12.75" customHeight="1" x14ac:dyDescent="0.35">
      <c r="A110">
        <v>109</v>
      </c>
      <c r="B110">
        <v>45883.382942847224</v>
      </c>
      <c r="D110" t="s">
        <v>695</v>
      </c>
      <c r="E110" t="s">
        <v>598</v>
      </c>
      <c r="F110" t="s">
        <v>71</v>
      </c>
      <c r="G110" t="s">
        <v>33</v>
      </c>
      <c r="H110" t="s">
        <v>33</v>
      </c>
      <c r="I110" t="s">
        <v>34</v>
      </c>
      <c r="J110" t="s">
        <v>34</v>
      </c>
      <c r="K110" t="s">
        <v>73</v>
      </c>
      <c r="L110" t="s">
        <v>36</v>
      </c>
      <c r="N110" t="s">
        <v>696</v>
      </c>
      <c r="O110" t="s">
        <v>48</v>
      </c>
      <c r="P110" t="s">
        <v>49</v>
      </c>
      <c r="Q110" t="s">
        <v>49</v>
      </c>
      <c r="R110" t="s">
        <v>697</v>
      </c>
      <c r="S110" t="s">
        <v>48</v>
      </c>
      <c r="T110" t="s">
        <v>698</v>
      </c>
      <c r="U110" t="s">
        <v>699</v>
      </c>
      <c r="V110" t="s">
        <v>79</v>
      </c>
      <c r="X110" t="s">
        <v>603</v>
      </c>
      <c r="Y110" t="s">
        <v>193</v>
      </c>
      <c r="Z110" t="s">
        <v>129</v>
      </c>
    </row>
    <row r="111" spans="1:26" ht="12.75" customHeight="1" x14ac:dyDescent="0.35">
      <c r="A111">
        <v>110</v>
      </c>
      <c r="B111">
        <v>45883.390249039352</v>
      </c>
      <c r="D111" t="s">
        <v>700</v>
      </c>
      <c r="E111" t="s">
        <v>598</v>
      </c>
      <c r="F111" t="s">
        <v>29</v>
      </c>
      <c r="G111" t="s">
        <v>29</v>
      </c>
      <c r="H111" t="s">
        <v>29</v>
      </c>
      <c r="I111" t="s">
        <v>30</v>
      </c>
      <c r="J111" t="s">
        <v>30</v>
      </c>
      <c r="K111" t="s">
        <v>94</v>
      </c>
      <c r="L111" t="s">
        <v>46</v>
      </c>
      <c r="N111" t="s">
        <v>442</v>
      </c>
      <c r="O111" t="s">
        <v>49</v>
      </c>
      <c r="P111" t="s">
        <v>49</v>
      </c>
      <c r="Q111" t="s">
        <v>49</v>
      </c>
      <c r="R111" t="s">
        <v>701</v>
      </c>
      <c r="S111" t="s">
        <v>49</v>
      </c>
      <c r="T111" t="s">
        <v>702</v>
      </c>
      <c r="U111" t="s">
        <v>703</v>
      </c>
      <c r="V111" t="s">
        <v>65</v>
      </c>
      <c r="X111" t="s">
        <v>603</v>
      </c>
      <c r="Y111" t="s">
        <v>704</v>
      </c>
      <c r="Z111" t="s">
        <v>57</v>
      </c>
    </row>
    <row r="112" spans="1:26" ht="12.75" customHeight="1" x14ac:dyDescent="0.35">
      <c r="A112">
        <v>111</v>
      </c>
      <c r="B112">
        <v>45883.394423587961</v>
      </c>
      <c r="D112" t="s">
        <v>705</v>
      </c>
      <c r="E112" t="s">
        <v>706</v>
      </c>
      <c r="F112" t="s">
        <v>344</v>
      </c>
      <c r="G112" t="s">
        <v>33</v>
      </c>
      <c r="H112" t="s">
        <v>29</v>
      </c>
      <c r="I112" t="s">
        <v>34</v>
      </c>
      <c r="J112" t="s">
        <v>34</v>
      </c>
      <c r="K112" t="s">
        <v>73</v>
      </c>
      <c r="L112" t="s">
        <v>36</v>
      </c>
      <c r="N112" t="s">
        <v>679</v>
      </c>
      <c r="O112" t="s">
        <v>48</v>
      </c>
      <c r="P112" t="s">
        <v>48</v>
      </c>
      <c r="Q112" t="s">
        <v>48</v>
      </c>
      <c r="R112" t="s">
        <v>707</v>
      </c>
      <c r="S112" t="s">
        <v>48</v>
      </c>
      <c r="T112" t="s">
        <v>708</v>
      </c>
      <c r="U112" t="s">
        <v>709</v>
      </c>
      <c r="V112" t="s">
        <v>65</v>
      </c>
      <c r="W112" t="s">
        <v>710</v>
      </c>
      <c r="X112" t="s">
        <v>603</v>
      </c>
      <c r="Y112" t="s">
        <v>629</v>
      </c>
      <c r="Z112" t="s">
        <v>129</v>
      </c>
    </row>
    <row r="113" spans="1:26" ht="12.75" customHeight="1" x14ac:dyDescent="0.35">
      <c r="A113">
        <v>112</v>
      </c>
      <c r="B113">
        <v>45883.398942951389</v>
      </c>
      <c r="D113" t="s">
        <v>711</v>
      </c>
      <c r="E113" t="s">
        <v>712</v>
      </c>
      <c r="F113" t="s">
        <v>33</v>
      </c>
      <c r="G113" t="s">
        <v>33</v>
      </c>
      <c r="H113" t="s">
        <v>33</v>
      </c>
      <c r="I113" t="s">
        <v>34</v>
      </c>
      <c r="J113" t="s">
        <v>34</v>
      </c>
      <c r="K113" t="s">
        <v>74</v>
      </c>
      <c r="L113" t="s">
        <v>46</v>
      </c>
      <c r="N113" t="s">
        <v>442</v>
      </c>
      <c r="O113" t="s">
        <v>48</v>
      </c>
      <c r="P113" t="s">
        <v>48</v>
      </c>
      <c r="Q113" t="s">
        <v>48</v>
      </c>
      <c r="R113" t="s">
        <v>713</v>
      </c>
      <c r="S113" t="s">
        <v>48</v>
      </c>
      <c r="T113" t="s">
        <v>714</v>
      </c>
      <c r="U113" t="s">
        <v>715</v>
      </c>
      <c r="V113" t="s">
        <v>79</v>
      </c>
      <c r="W113" t="s">
        <v>716</v>
      </c>
      <c r="X113" t="s">
        <v>603</v>
      </c>
      <c r="Y113" t="s">
        <v>647</v>
      </c>
      <c r="Z113" t="s">
        <v>57</v>
      </c>
    </row>
    <row r="114" spans="1:26" ht="12.75" customHeight="1" x14ac:dyDescent="0.35">
      <c r="A114">
        <v>113</v>
      </c>
      <c r="B114">
        <v>45883.404157372686</v>
      </c>
      <c r="D114" t="s">
        <v>717</v>
      </c>
      <c r="E114" t="s">
        <v>598</v>
      </c>
      <c r="F114" t="s">
        <v>29</v>
      </c>
      <c r="G114" t="s">
        <v>29</v>
      </c>
      <c r="H114" t="s">
        <v>29</v>
      </c>
      <c r="I114" t="s">
        <v>30</v>
      </c>
      <c r="J114" t="s">
        <v>30</v>
      </c>
      <c r="K114" t="s">
        <v>61</v>
      </c>
      <c r="L114" t="s">
        <v>46</v>
      </c>
      <c r="N114" t="s">
        <v>442</v>
      </c>
      <c r="O114" t="s">
        <v>49</v>
      </c>
      <c r="P114" t="s">
        <v>49</v>
      </c>
      <c r="Q114" t="s">
        <v>49</v>
      </c>
      <c r="R114" t="s">
        <v>718</v>
      </c>
      <c r="S114" t="s">
        <v>49</v>
      </c>
      <c r="T114" t="s">
        <v>719</v>
      </c>
      <c r="U114" t="s">
        <v>720</v>
      </c>
      <c r="V114" t="s">
        <v>79</v>
      </c>
      <c r="X114" t="s">
        <v>603</v>
      </c>
      <c r="Y114" t="s">
        <v>694</v>
      </c>
      <c r="Z114" t="s">
        <v>129</v>
      </c>
    </row>
    <row r="115" spans="1:26" ht="12.75" customHeight="1" x14ac:dyDescent="0.35">
      <c r="A115">
        <v>114</v>
      </c>
      <c r="B115">
        <v>45883.408487349538</v>
      </c>
      <c r="D115" t="s">
        <v>721</v>
      </c>
      <c r="E115" t="s">
        <v>180</v>
      </c>
      <c r="F115" t="s">
        <v>29</v>
      </c>
      <c r="G115" t="s">
        <v>29</v>
      </c>
      <c r="H115" t="s">
        <v>29</v>
      </c>
      <c r="I115" t="s">
        <v>30</v>
      </c>
      <c r="J115" t="s">
        <v>30</v>
      </c>
      <c r="K115" t="s">
        <v>61</v>
      </c>
      <c r="L115" t="s">
        <v>36</v>
      </c>
      <c r="N115" t="s">
        <v>696</v>
      </c>
      <c r="O115" t="s">
        <v>49</v>
      </c>
      <c r="P115" t="s">
        <v>49</v>
      </c>
      <c r="Q115" t="s">
        <v>49</v>
      </c>
      <c r="R115" t="s">
        <v>722</v>
      </c>
      <c r="S115" t="s">
        <v>49</v>
      </c>
      <c r="T115" t="s">
        <v>723</v>
      </c>
      <c r="U115" t="s">
        <v>724</v>
      </c>
      <c r="V115" t="s">
        <v>79</v>
      </c>
      <c r="X115" t="s">
        <v>603</v>
      </c>
      <c r="Y115" t="s">
        <v>725</v>
      </c>
      <c r="Z115" t="s">
        <v>129</v>
      </c>
    </row>
    <row r="116" spans="1:26" ht="12.75" customHeight="1" x14ac:dyDescent="0.35">
      <c r="A116">
        <v>115</v>
      </c>
      <c r="B116">
        <v>45883.492142083334</v>
      </c>
      <c r="E116" t="s">
        <v>180</v>
      </c>
      <c r="F116" t="s">
        <v>28</v>
      </c>
      <c r="G116" t="s">
        <v>60</v>
      </c>
      <c r="H116" t="s">
        <v>284</v>
      </c>
      <c r="I116" t="s">
        <v>197</v>
      </c>
      <c r="J116" t="s">
        <v>173</v>
      </c>
      <c r="K116" t="s">
        <v>368</v>
      </c>
      <c r="L116" t="s">
        <v>36</v>
      </c>
      <c r="N116" t="s">
        <v>726</v>
      </c>
      <c r="O116" t="s">
        <v>49</v>
      </c>
      <c r="P116" t="s">
        <v>49</v>
      </c>
      <c r="Q116" t="s">
        <v>49</v>
      </c>
      <c r="R116" t="s">
        <v>727</v>
      </c>
      <c r="S116" t="s">
        <v>49</v>
      </c>
      <c r="T116" t="s">
        <v>728</v>
      </c>
      <c r="U116" t="s">
        <v>729</v>
      </c>
      <c r="V116" t="s">
        <v>53</v>
      </c>
      <c r="X116" t="s">
        <v>109</v>
      </c>
      <c r="Y116" t="s">
        <v>730</v>
      </c>
      <c r="Z116" t="s">
        <v>129</v>
      </c>
    </row>
    <row r="117" spans="1:26" ht="12.75" customHeight="1" x14ac:dyDescent="0.35">
      <c r="A117">
        <v>116</v>
      </c>
      <c r="B117">
        <v>45883.502745034726</v>
      </c>
      <c r="E117" t="s">
        <v>205</v>
      </c>
      <c r="F117" t="s">
        <v>28</v>
      </c>
      <c r="G117" t="s">
        <v>60</v>
      </c>
      <c r="H117" t="s">
        <v>28</v>
      </c>
      <c r="I117" t="s">
        <v>30</v>
      </c>
      <c r="J117" t="s">
        <v>28</v>
      </c>
      <c r="K117" t="s">
        <v>94</v>
      </c>
      <c r="L117" t="s">
        <v>46</v>
      </c>
      <c r="N117" t="s">
        <v>731</v>
      </c>
      <c r="O117" t="s">
        <v>49</v>
      </c>
      <c r="P117" t="s">
        <v>49</v>
      </c>
      <c r="Q117" t="s">
        <v>38</v>
      </c>
      <c r="R117" t="s">
        <v>732</v>
      </c>
      <c r="S117" t="s">
        <v>49</v>
      </c>
      <c r="T117" t="s">
        <v>733</v>
      </c>
      <c r="U117" t="s">
        <v>734</v>
      </c>
      <c r="V117" t="s">
        <v>65</v>
      </c>
      <c r="X117" t="s">
        <v>109</v>
      </c>
      <c r="Y117" t="s">
        <v>735</v>
      </c>
      <c r="Z117" t="s">
        <v>129</v>
      </c>
    </row>
    <row r="118" spans="1:26" ht="12.75" customHeight="1" x14ac:dyDescent="0.35">
      <c r="A118">
        <v>117</v>
      </c>
      <c r="B118">
        <v>45883.512258437499</v>
      </c>
      <c r="E118" t="s">
        <v>205</v>
      </c>
      <c r="F118" t="s">
        <v>28</v>
      </c>
      <c r="G118" t="s">
        <v>60</v>
      </c>
      <c r="H118" t="s">
        <v>60</v>
      </c>
      <c r="I118" t="s">
        <v>34</v>
      </c>
      <c r="J118" t="s">
        <v>30</v>
      </c>
      <c r="K118" t="s">
        <v>45</v>
      </c>
      <c r="L118" t="s">
        <v>36</v>
      </c>
      <c r="N118" t="s">
        <v>726</v>
      </c>
      <c r="O118" t="s">
        <v>48</v>
      </c>
      <c r="P118" t="s">
        <v>49</v>
      </c>
      <c r="Q118" t="s">
        <v>39</v>
      </c>
      <c r="R118" t="s">
        <v>736</v>
      </c>
      <c r="S118" t="s">
        <v>40</v>
      </c>
      <c r="T118" t="s">
        <v>737</v>
      </c>
      <c r="U118" t="s">
        <v>738</v>
      </c>
      <c r="V118" t="s">
        <v>79</v>
      </c>
      <c r="X118" t="s">
        <v>109</v>
      </c>
      <c r="Y118" t="s">
        <v>739</v>
      </c>
      <c r="Z118" t="s">
        <v>129</v>
      </c>
    </row>
    <row r="119" spans="1:26" ht="12.75" customHeight="1" x14ac:dyDescent="0.35">
      <c r="A119">
        <v>118</v>
      </c>
      <c r="B119">
        <v>45883.519334560187</v>
      </c>
      <c r="E119" t="s">
        <v>740</v>
      </c>
      <c r="F119" t="s">
        <v>28</v>
      </c>
      <c r="G119" t="s">
        <v>29</v>
      </c>
      <c r="H119" t="s">
        <v>29</v>
      </c>
      <c r="I119" t="s">
        <v>34</v>
      </c>
      <c r="J119" t="s">
        <v>173</v>
      </c>
      <c r="K119" t="s">
        <v>45</v>
      </c>
      <c r="L119" t="s">
        <v>36</v>
      </c>
      <c r="N119" t="s">
        <v>726</v>
      </c>
      <c r="O119" t="s">
        <v>48</v>
      </c>
      <c r="P119" t="s">
        <v>48</v>
      </c>
      <c r="Q119" t="s">
        <v>39</v>
      </c>
      <c r="R119" t="s">
        <v>741</v>
      </c>
      <c r="S119" t="s">
        <v>38</v>
      </c>
      <c r="T119" t="s">
        <v>742</v>
      </c>
      <c r="U119" t="s">
        <v>743</v>
      </c>
      <c r="V119" t="s">
        <v>65</v>
      </c>
      <c r="X119" t="s">
        <v>109</v>
      </c>
      <c r="Y119" t="s">
        <v>744</v>
      </c>
      <c r="Z119" t="s">
        <v>129</v>
      </c>
    </row>
    <row r="120" spans="1:26" ht="12.75" customHeight="1" x14ac:dyDescent="0.35">
      <c r="A120">
        <v>119</v>
      </c>
      <c r="B120">
        <v>45883.522041736112</v>
      </c>
      <c r="E120" t="s">
        <v>180</v>
      </c>
      <c r="F120" t="s">
        <v>449</v>
      </c>
      <c r="G120" t="s">
        <v>29</v>
      </c>
      <c r="H120" t="s">
        <v>44</v>
      </c>
      <c r="I120" t="s">
        <v>173</v>
      </c>
      <c r="J120" t="s">
        <v>34</v>
      </c>
      <c r="K120" t="s">
        <v>28</v>
      </c>
      <c r="L120" t="s">
        <v>36</v>
      </c>
      <c r="N120" t="s">
        <v>726</v>
      </c>
      <c r="O120" t="s">
        <v>49</v>
      </c>
      <c r="P120" t="s">
        <v>48</v>
      </c>
      <c r="Q120" t="s">
        <v>49</v>
      </c>
      <c r="R120" t="s">
        <v>745</v>
      </c>
      <c r="S120" t="s">
        <v>48</v>
      </c>
      <c r="T120" t="s">
        <v>746</v>
      </c>
      <c r="U120" t="s">
        <v>747</v>
      </c>
      <c r="V120" t="s">
        <v>53</v>
      </c>
      <c r="X120" t="s">
        <v>109</v>
      </c>
      <c r="Y120" t="s">
        <v>730</v>
      </c>
      <c r="Z120" t="s">
        <v>129</v>
      </c>
    </row>
    <row r="121" spans="1:26" ht="12.75" customHeight="1" x14ac:dyDescent="0.35">
      <c r="A121">
        <v>120</v>
      </c>
      <c r="B121">
        <v>45883.523575856481</v>
      </c>
      <c r="E121" t="s">
        <v>180</v>
      </c>
      <c r="F121" t="s">
        <v>60</v>
      </c>
      <c r="G121" t="s">
        <v>158</v>
      </c>
      <c r="H121" t="s">
        <v>29</v>
      </c>
      <c r="I121" t="s">
        <v>34</v>
      </c>
      <c r="J121" t="s">
        <v>103</v>
      </c>
      <c r="K121" t="s">
        <v>35</v>
      </c>
      <c r="L121" t="s">
        <v>36</v>
      </c>
      <c r="N121" t="s">
        <v>187</v>
      </c>
      <c r="O121" t="s">
        <v>49</v>
      </c>
      <c r="P121" t="s">
        <v>49</v>
      </c>
      <c r="Q121" t="s">
        <v>49</v>
      </c>
      <c r="R121" t="s">
        <v>748</v>
      </c>
      <c r="S121" t="s">
        <v>49</v>
      </c>
      <c r="T121" t="s">
        <v>749</v>
      </c>
      <c r="U121" t="s">
        <v>750</v>
      </c>
      <c r="V121" t="s">
        <v>87</v>
      </c>
      <c r="X121" t="s">
        <v>109</v>
      </c>
      <c r="Y121" t="s">
        <v>751</v>
      </c>
      <c r="Z121" t="s">
        <v>91</v>
      </c>
    </row>
    <row r="122" spans="1:26" ht="12.75" customHeight="1" x14ac:dyDescent="0.35">
      <c r="A122">
        <v>121</v>
      </c>
      <c r="B122">
        <v>45883.524218379629</v>
      </c>
      <c r="E122" t="s">
        <v>205</v>
      </c>
      <c r="F122" t="s">
        <v>29</v>
      </c>
      <c r="G122" t="s">
        <v>29</v>
      </c>
      <c r="H122" t="s">
        <v>29</v>
      </c>
      <c r="I122" t="s">
        <v>34</v>
      </c>
      <c r="J122" t="s">
        <v>34</v>
      </c>
      <c r="K122" t="s">
        <v>45</v>
      </c>
      <c r="L122" t="s">
        <v>36</v>
      </c>
      <c r="N122" t="s">
        <v>726</v>
      </c>
      <c r="O122" t="s">
        <v>48</v>
      </c>
      <c r="P122" t="s">
        <v>48</v>
      </c>
      <c r="Q122" t="s">
        <v>39</v>
      </c>
      <c r="R122" t="s">
        <v>752</v>
      </c>
      <c r="S122" t="s">
        <v>40</v>
      </c>
      <c r="T122" t="s">
        <v>753</v>
      </c>
      <c r="U122" t="s">
        <v>754</v>
      </c>
      <c r="V122" t="s">
        <v>65</v>
      </c>
      <c r="X122" t="s">
        <v>109</v>
      </c>
      <c r="Y122" t="s">
        <v>755</v>
      </c>
      <c r="Z122" t="s">
        <v>91</v>
      </c>
    </row>
    <row r="123" spans="1:26" ht="12.75" customHeight="1" x14ac:dyDescent="0.35">
      <c r="A123">
        <v>122</v>
      </c>
      <c r="B123">
        <v>45883.525227858801</v>
      </c>
      <c r="E123" t="s">
        <v>180</v>
      </c>
      <c r="F123" t="s">
        <v>449</v>
      </c>
      <c r="G123" t="s">
        <v>44</v>
      </c>
      <c r="H123" t="s">
        <v>29</v>
      </c>
      <c r="I123" t="s">
        <v>103</v>
      </c>
      <c r="J123" t="s">
        <v>30</v>
      </c>
      <c r="K123" t="s">
        <v>35</v>
      </c>
      <c r="L123" t="s">
        <v>46</v>
      </c>
      <c r="N123" t="s">
        <v>304</v>
      </c>
      <c r="O123" t="s">
        <v>48</v>
      </c>
      <c r="P123" t="s">
        <v>48</v>
      </c>
      <c r="Q123" t="s">
        <v>49</v>
      </c>
      <c r="R123" t="s">
        <v>756</v>
      </c>
      <c r="S123" t="s">
        <v>48</v>
      </c>
      <c r="T123" t="s">
        <v>757</v>
      </c>
      <c r="U123" t="s">
        <v>758</v>
      </c>
      <c r="V123" t="s">
        <v>87</v>
      </c>
      <c r="X123" t="s">
        <v>109</v>
      </c>
      <c r="Y123" t="s">
        <v>759</v>
      </c>
      <c r="Z123" t="s">
        <v>129</v>
      </c>
    </row>
    <row r="124" spans="1:26" ht="12.75" customHeight="1" x14ac:dyDescent="0.35">
      <c r="A124">
        <v>123</v>
      </c>
      <c r="B124">
        <v>45883.526990439816</v>
      </c>
      <c r="E124" t="s">
        <v>448</v>
      </c>
      <c r="F124" t="s">
        <v>28</v>
      </c>
      <c r="G124" t="s">
        <v>29</v>
      </c>
      <c r="H124" t="s">
        <v>29</v>
      </c>
      <c r="I124" t="s">
        <v>30</v>
      </c>
      <c r="J124" t="s">
        <v>173</v>
      </c>
      <c r="K124" t="s">
        <v>28</v>
      </c>
      <c r="L124" t="s">
        <v>36</v>
      </c>
      <c r="N124" t="s">
        <v>726</v>
      </c>
      <c r="O124" t="s">
        <v>48</v>
      </c>
      <c r="P124" t="s">
        <v>49</v>
      </c>
      <c r="Q124" t="s">
        <v>38</v>
      </c>
      <c r="R124" t="s">
        <v>760</v>
      </c>
      <c r="S124" t="s">
        <v>49</v>
      </c>
      <c r="T124" t="s">
        <v>761</v>
      </c>
      <c r="U124" t="s">
        <v>762</v>
      </c>
      <c r="V124" t="s">
        <v>53</v>
      </c>
      <c r="X124" t="s">
        <v>109</v>
      </c>
      <c r="Y124" t="s">
        <v>193</v>
      </c>
      <c r="Z124" t="s">
        <v>91</v>
      </c>
    </row>
    <row r="125" spans="1:26" ht="12.75" customHeight="1" x14ac:dyDescent="0.35">
      <c r="A125">
        <v>124</v>
      </c>
      <c r="B125">
        <v>45883.528820208332</v>
      </c>
      <c r="E125" t="s">
        <v>763</v>
      </c>
      <c r="F125" t="s">
        <v>28</v>
      </c>
      <c r="G125" t="s">
        <v>60</v>
      </c>
      <c r="H125" t="s">
        <v>60</v>
      </c>
      <c r="I125" t="s">
        <v>30</v>
      </c>
      <c r="J125" t="s">
        <v>34</v>
      </c>
      <c r="K125" t="s">
        <v>61</v>
      </c>
      <c r="L125" t="s">
        <v>36</v>
      </c>
      <c r="N125" t="s">
        <v>764</v>
      </c>
      <c r="O125" t="s">
        <v>49</v>
      </c>
      <c r="P125" t="s">
        <v>48</v>
      </c>
      <c r="Q125" t="s">
        <v>49</v>
      </c>
      <c r="R125" t="s">
        <v>765</v>
      </c>
      <c r="S125" t="s">
        <v>49</v>
      </c>
      <c r="T125" t="s">
        <v>766</v>
      </c>
      <c r="U125" t="s">
        <v>767</v>
      </c>
      <c r="V125" t="s">
        <v>53</v>
      </c>
      <c r="X125" t="s">
        <v>109</v>
      </c>
      <c r="Y125" t="s">
        <v>768</v>
      </c>
      <c r="Z125" t="s">
        <v>129</v>
      </c>
    </row>
    <row r="126" spans="1:26" ht="12.75" customHeight="1" x14ac:dyDescent="0.35">
      <c r="A126">
        <v>125</v>
      </c>
      <c r="B126">
        <v>45883.530057256939</v>
      </c>
      <c r="E126" t="s">
        <v>205</v>
      </c>
      <c r="F126" t="s">
        <v>28</v>
      </c>
      <c r="G126" t="s">
        <v>33</v>
      </c>
      <c r="H126" t="s">
        <v>33</v>
      </c>
      <c r="I126" t="s">
        <v>34</v>
      </c>
      <c r="J126" t="s">
        <v>34</v>
      </c>
      <c r="K126" t="s">
        <v>45</v>
      </c>
      <c r="L126" t="s">
        <v>46</v>
      </c>
      <c r="N126" t="s">
        <v>769</v>
      </c>
      <c r="O126" t="s">
        <v>48</v>
      </c>
      <c r="P126" t="s">
        <v>48</v>
      </c>
      <c r="Q126" t="s">
        <v>39</v>
      </c>
      <c r="R126" t="s">
        <v>770</v>
      </c>
      <c r="S126" t="s">
        <v>40</v>
      </c>
      <c r="T126" t="s">
        <v>771</v>
      </c>
      <c r="U126" t="s">
        <v>772</v>
      </c>
      <c r="V126" t="s">
        <v>65</v>
      </c>
      <c r="X126" t="s">
        <v>109</v>
      </c>
      <c r="Y126" t="s">
        <v>773</v>
      </c>
      <c r="Z126" t="s">
        <v>129</v>
      </c>
    </row>
    <row r="127" spans="1:26" ht="12.75" customHeight="1" x14ac:dyDescent="0.35">
      <c r="A127">
        <v>126</v>
      </c>
      <c r="B127">
        <v>45883.530288807873</v>
      </c>
      <c r="E127" t="s">
        <v>180</v>
      </c>
      <c r="F127" t="s">
        <v>28</v>
      </c>
      <c r="G127" t="s">
        <v>29</v>
      </c>
      <c r="H127" t="s">
        <v>29</v>
      </c>
      <c r="I127" t="s">
        <v>30</v>
      </c>
      <c r="J127" t="s">
        <v>30</v>
      </c>
      <c r="K127" t="s">
        <v>35</v>
      </c>
      <c r="L127" t="s">
        <v>36</v>
      </c>
      <c r="N127" t="s">
        <v>304</v>
      </c>
      <c r="O127" t="s">
        <v>48</v>
      </c>
      <c r="P127" t="s">
        <v>48</v>
      </c>
      <c r="Q127" t="s">
        <v>49</v>
      </c>
      <c r="R127" t="s">
        <v>774</v>
      </c>
      <c r="S127" t="s">
        <v>49</v>
      </c>
      <c r="T127" t="s">
        <v>775</v>
      </c>
      <c r="U127" t="s">
        <v>776</v>
      </c>
      <c r="V127" t="s">
        <v>65</v>
      </c>
      <c r="X127" t="s">
        <v>109</v>
      </c>
      <c r="Y127" t="s">
        <v>230</v>
      </c>
      <c r="Z127" t="s">
        <v>129</v>
      </c>
    </row>
    <row r="128" spans="1:26" ht="12.75" customHeight="1" x14ac:dyDescent="0.35">
      <c r="A128">
        <v>127</v>
      </c>
      <c r="B128">
        <v>45883.531901759256</v>
      </c>
      <c r="E128" t="s">
        <v>763</v>
      </c>
      <c r="F128" t="s">
        <v>60</v>
      </c>
      <c r="G128" t="s">
        <v>29</v>
      </c>
      <c r="H128" t="s">
        <v>29</v>
      </c>
      <c r="I128" t="s">
        <v>173</v>
      </c>
      <c r="J128" t="s">
        <v>173</v>
      </c>
      <c r="K128" t="s">
        <v>45</v>
      </c>
      <c r="L128" t="s">
        <v>36</v>
      </c>
      <c r="N128" t="s">
        <v>777</v>
      </c>
      <c r="O128" t="s">
        <v>49</v>
      </c>
      <c r="P128" t="s">
        <v>49</v>
      </c>
      <c r="Q128" t="s">
        <v>49</v>
      </c>
      <c r="R128" t="s">
        <v>778</v>
      </c>
      <c r="S128" t="s">
        <v>49</v>
      </c>
      <c r="T128" t="s">
        <v>779</v>
      </c>
      <c r="U128" t="s">
        <v>780</v>
      </c>
      <c r="V128" t="s">
        <v>53</v>
      </c>
      <c r="X128" t="s">
        <v>192</v>
      </c>
      <c r="Y128" t="s">
        <v>751</v>
      </c>
      <c r="Z128" t="s">
        <v>91</v>
      </c>
    </row>
    <row r="129" spans="1:26" ht="12.75" customHeight="1" x14ac:dyDescent="0.35">
      <c r="A129">
        <v>128</v>
      </c>
      <c r="B129">
        <v>45883.533157280093</v>
      </c>
      <c r="E129" t="s">
        <v>763</v>
      </c>
      <c r="F129" t="s">
        <v>28</v>
      </c>
      <c r="G129" t="s">
        <v>60</v>
      </c>
      <c r="H129" t="s">
        <v>60</v>
      </c>
      <c r="I129" t="s">
        <v>173</v>
      </c>
      <c r="J129" t="s">
        <v>173</v>
      </c>
      <c r="K129" t="s">
        <v>28</v>
      </c>
      <c r="L129" t="s">
        <v>46</v>
      </c>
      <c r="N129" t="s">
        <v>304</v>
      </c>
      <c r="O129" t="s">
        <v>48</v>
      </c>
      <c r="P129" t="s">
        <v>48</v>
      </c>
      <c r="Q129" t="s">
        <v>38</v>
      </c>
      <c r="R129" t="s">
        <v>781</v>
      </c>
      <c r="S129" t="s">
        <v>38</v>
      </c>
      <c r="T129" t="s">
        <v>782</v>
      </c>
      <c r="U129" t="s">
        <v>783</v>
      </c>
      <c r="V129" t="s">
        <v>53</v>
      </c>
      <c r="X129" t="s">
        <v>109</v>
      </c>
      <c r="Y129" t="s">
        <v>784</v>
      </c>
      <c r="Z129" t="s">
        <v>129</v>
      </c>
    </row>
    <row r="130" spans="1:26" ht="12.75" customHeight="1" x14ac:dyDescent="0.35">
      <c r="A130">
        <v>129</v>
      </c>
      <c r="B130">
        <v>45883.534915208336</v>
      </c>
      <c r="E130" t="s">
        <v>180</v>
      </c>
      <c r="F130" t="s">
        <v>344</v>
      </c>
      <c r="G130" t="s">
        <v>29</v>
      </c>
      <c r="H130" t="s">
        <v>60</v>
      </c>
      <c r="I130" t="s">
        <v>34</v>
      </c>
      <c r="J130" t="s">
        <v>34</v>
      </c>
      <c r="K130" t="s">
        <v>28</v>
      </c>
      <c r="L130" t="s">
        <v>36</v>
      </c>
      <c r="N130" t="s">
        <v>764</v>
      </c>
      <c r="O130" t="s">
        <v>48</v>
      </c>
      <c r="P130" t="s">
        <v>48</v>
      </c>
      <c r="Q130" t="s">
        <v>49</v>
      </c>
      <c r="R130" t="s">
        <v>785</v>
      </c>
      <c r="S130" t="s">
        <v>49</v>
      </c>
      <c r="T130" t="s">
        <v>786</v>
      </c>
      <c r="U130" t="s">
        <v>787</v>
      </c>
      <c r="V130" t="s">
        <v>87</v>
      </c>
      <c r="X130" t="s">
        <v>109</v>
      </c>
      <c r="Y130" t="s">
        <v>751</v>
      </c>
      <c r="Z130" t="s">
        <v>91</v>
      </c>
    </row>
    <row r="131" spans="1:26" ht="12.75" customHeight="1" x14ac:dyDescent="0.35">
      <c r="A131">
        <v>130</v>
      </c>
      <c r="B131">
        <v>45883.536323877313</v>
      </c>
      <c r="E131" t="s">
        <v>180</v>
      </c>
      <c r="F131" t="s">
        <v>344</v>
      </c>
      <c r="G131" t="s">
        <v>44</v>
      </c>
      <c r="H131" t="s">
        <v>44</v>
      </c>
      <c r="I131" t="s">
        <v>30</v>
      </c>
      <c r="J131" t="s">
        <v>30</v>
      </c>
      <c r="K131" t="s">
        <v>292</v>
      </c>
      <c r="L131" t="s">
        <v>36</v>
      </c>
      <c r="N131" t="s">
        <v>788</v>
      </c>
      <c r="O131" t="s">
        <v>49</v>
      </c>
      <c r="P131" t="s">
        <v>48</v>
      </c>
      <c r="Q131" t="s">
        <v>49</v>
      </c>
      <c r="R131" t="s">
        <v>789</v>
      </c>
      <c r="S131" t="s">
        <v>49</v>
      </c>
      <c r="T131" t="s">
        <v>790</v>
      </c>
      <c r="U131" t="s">
        <v>791</v>
      </c>
      <c r="V131" t="s">
        <v>87</v>
      </c>
      <c r="X131" t="s">
        <v>109</v>
      </c>
      <c r="Y131" t="s">
        <v>193</v>
      </c>
      <c r="Z131" t="s">
        <v>91</v>
      </c>
    </row>
    <row r="132" spans="1:26" ht="12.75" customHeight="1" x14ac:dyDescent="0.35">
      <c r="A132">
        <v>131</v>
      </c>
      <c r="B132">
        <v>45883.53747023148</v>
      </c>
      <c r="E132" t="s">
        <v>448</v>
      </c>
      <c r="F132" t="s">
        <v>28</v>
      </c>
      <c r="G132" t="s">
        <v>44</v>
      </c>
      <c r="H132" t="s">
        <v>29</v>
      </c>
      <c r="I132" t="s">
        <v>30</v>
      </c>
      <c r="J132" t="s">
        <v>30</v>
      </c>
      <c r="K132" t="s">
        <v>35</v>
      </c>
      <c r="L132" t="s">
        <v>36</v>
      </c>
      <c r="N132" t="s">
        <v>726</v>
      </c>
      <c r="O132" t="s">
        <v>49</v>
      </c>
      <c r="P132" t="s">
        <v>49</v>
      </c>
      <c r="Q132" t="s">
        <v>49</v>
      </c>
      <c r="R132" t="s">
        <v>792</v>
      </c>
      <c r="S132" t="s">
        <v>49</v>
      </c>
      <c r="T132" t="s">
        <v>793</v>
      </c>
      <c r="U132" t="s">
        <v>794</v>
      </c>
      <c r="V132" t="s">
        <v>87</v>
      </c>
      <c r="X132" t="s">
        <v>109</v>
      </c>
      <c r="Y132" t="s">
        <v>193</v>
      </c>
      <c r="Z132" t="s">
        <v>91</v>
      </c>
    </row>
    <row r="133" spans="1:26" ht="12.75" customHeight="1" x14ac:dyDescent="0.35">
      <c r="A133">
        <v>132</v>
      </c>
      <c r="B133">
        <v>45883.538694803239</v>
      </c>
      <c r="E133" t="s">
        <v>180</v>
      </c>
      <c r="F133" t="s">
        <v>28</v>
      </c>
      <c r="G133" t="s">
        <v>60</v>
      </c>
      <c r="H133" t="s">
        <v>60</v>
      </c>
      <c r="I133" t="s">
        <v>173</v>
      </c>
      <c r="J133" t="s">
        <v>173</v>
      </c>
      <c r="K133" t="s">
        <v>28</v>
      </c>
      <c r="L133" t="s">
        <v>36</v>
      </c>
      <c r="N133" t="s">
        <v>304</v>
      </c>
      <c r="O133" t="s">
        <v>48</v>
      </c>
      <c r="P133" t="s">
        <v>48</v>
      </c>
      <c r="Q133" t="s">
        <v>49</v>
      </c>
      <c r="R133" t="s">
        <v>795</v>
      </c>
      <c r="S133" t="s">
        <v>38</v>
      </c>
      <c r="T133" t="s">
        <v>796</v>
      </c>
      <c r="U133" t="s">
        <v>797</v>
      </c>
      <c r="V133" t="s">
        <v>53</v>
      </c>
      <c r="X133" t="s">
        <v>109</v>
      </c>
      <c r="Y133" t="s">
        <v>759</v>
      </c>
      <c r="Z133" t="s">
        <v>129</v>
      </c>
    </row>
    <row r="134" spans="1:26" ht="12.75" customHeight="1" x14ac:dyDescent="0.35">
      <c r="A134">
        <v>133</v>
      </c>
      <c r="B134">
        <v>45883.53919862269</v>
      </c>
      <c r="E134" t="s">
        <v>205</v>
      </c>
      <c r="F134" t="s">
        <v>28</v>
      </c>
      <c r="G134" t="s">
        <v>29</v>
      </c>
      <c r="H134" t="s">
        <v>29</v>
      </c>
      <c r="I134" t="s">
        <v>34</v>
      </c>
      <c r="J134" t="s">
        <v>30</v>
      </c>
      <c r="K134" t="s">
        <v>45</v>
      </c>
      <c r="L134" t="s">
        <v>36</v>
      </c>
      <c r="N134" t="s">
        <v>304</v>
      </c>
      <c r="O134" t="s">
        <v>48</v>
      </c>
      <c r="P134" t="s">
        <v>48</v>
      </c>
      <c r="Q134" t="s">
        <v>40</v>
      </c>
      <c r="R134" t="s">
        <v>798</v>
      </c>
      <c r="S134" t="s">
        <v>38</v>
      </c>
      <c r="T134" t="s">
        <v>799</v>
      </c>
      <c r="U134" t="s">
        <v>800</v>
      </c>
      <c r="V134" t="s">
        <v>53</v>
      </c>
      <c r="X134" t="s">
        <v>109</v>
      </c>
      <c r="Y134" t="s">
        <v>768</v>
      </c>
      <c r="Z134" t="s">
        <v>129</v>
      </c>
    </row>
    <row r="135" spans="1:26" ht="12.75" customHeight="1" x14ac:dyDescent="0.35">
      <c r="A135">
        <v>134</v>
      </c>
      <c r="B135">
        <v>45883.543705682867</v>
      </c>
      <c r="E135" t="s">
        <v>205</v>
      </c>
      <c r="F135" t="s">
        <v>28</v>
      </c>
      <c r="G135" t="s">
        <v>33</v>
      </c>
      <c r="H135" t="s">
        <v>33</v>
      </c>
      <c r="I135" t="s">
        <v>34</v>
      </c>
      <c r="J135" t="s">
        <v>34</v>
      </c>
      <c r="K135" t="s">
        <v>45</v>
      </c>
      <c r="L135" t="s">
        <v>36</v>
      </c>
      <c r="N135" t="s">
        <v>726</v>
      </c>
      <c r="O135" t="s">
        <v>48</v>
      </c>
      <c r="P135" t="s">
        <v>48</v>
      </c>
      <c r="Q135" t="s">
        <v>38</v>
      </c>
      <c r="R135" t="s">
        <v>801</v>
      </c>
      <c r="S135" t="s">
        <v>38</v>
      </c>
      <c r="T135" t="s">
        <v>802</v>
      </c>
      <c r="U135" t="s">
        <v>803</v>
      </c>
      <c r="V135" t="s">
        <v>53</v>
      </c>
      <c r="X135" t="s">
        <v>109</v>
      </c>
      <c r="Y135" t="s">
        <v>804</v>
      </c>
      <c r="Z135" t="s">
        <v>129</v>
      </c>
    </row>
    <row r="136" spans="1:26" ht="12.75" customHeight="1" x14ac:dyDescent="0.35">
      <c r="A136">
        <v>135</v>
      </c>
      <c r="B136">
        <v>45883.549805706018</v>
      </c>
      <c r="E136" t="s">
        <v>180</v>
      </c>
      <c r="F136" t="s">
        <v>28</v>
      </c>
      <c r="G136" t="s">
        <v>29</v>
      </c>
      <c r="H136" t="s">
        <v>33</v>
      </c>
      <c r="I136" t="s">
        <v>34</v>
      </c>
      <c r="J136" t="s">
        <v>30</v>
      </c>
      <c r="K136" t="s">
        <v>45</v>
      </c>
      <c r="L136" t="s">
        <v>36</v>
      </c>
      <c r="N136" t="s">
        <v>788</v>
      </c>
      <c r="O136" t="s">
        <v>48</v>
      </c>
      <c r="P136" t="s">
        <v>48</v>
      </c>
      <c r="Q136" t="s">
        <v>38</v>
      </c>
      <c r="R136" t="s">
        <v>805</v>
      </c>
      <c r="S136" t="s">
        <v>38</v>
      </c>
      <c r="T136" t="s">
        <v>806</v>
      </c>
      <c r="U136" t="s">
        <v>807</v>
      </c>
      <c r="V136" t="s">
        <v>79</v>
      </c>
      <c r="X136" t="s">
        <v>109</v>
      </c>
      <c r="Y136" t="s">
        <v>808</v>
      </c>
      <c r="Z136" t="s">
        <v>129</v>
      </c>
    </row>
    <row r="137" spans="1:26" ht="12.75" customHeight="1" x14ac:dyDescent="0.35">
      <c r="A137">
        <v>136</v>
      </c>
      <c r="B137">
        <v>45883.613971400468</v>
      </c>
      <c r="E137" t="s">
        <v>205</v>
      </c>
      <c r="F137" t="s">
        <v>28</v>
      </c>
      <c r="G137" t="s">
        <v>60</v>
      </c>
      <c r="H137" t="s">
        <v>28</v>
      </c>
      <c r="I137" t="s">
        <v>173</v>
      </c>
      <c r="J137" t="s">
        <v>28</v>
      </c>
      <c r="K137" t="s">
        <v>368</v>
      </c>
      <c r="L137" t="s">
        <v>46</v>
      </c>
      <c r="N137" t="s">
        <v>304</v>
      </c>
      <c r="O137" t="s">
        <v>49</v>
      </c>
      <c r="P137" t="s">
        <v>49</v>
      </c>
      <c r="Q137" t="s">
        <v>38</v>
      </c>
      <c r="R137" t="s">
        <v>809</v>
      </c>
      <c r="S137" t="s">
        <v>38</v>
      </c>
      <c r="T137" t="s">
        <v>810</v>
      </c>
      <c r="U137" t="s">
        <v>811</v>
      </c>
      <c r="V137" t="s">
        <v>87</v>
      </c>
      <c r="X137" t="s">
        <v>109</v>
      </c>
      <c r="Y137" t="s">
        <v>812</v>
      </c>
      <c r="Z137" t="s">
        <v>129</v>
      </c>
    </row>
    <row r="138" spans="1:26" ht="12.75" customHeight="1" x14ac:dyDescent="0.35">
      <c r="A138">
        <v>137</v>
      </c>
      <c r="B138">
        <v>45883.679233530092</v>
      </c>
      <c r="D138" t="s">
        <v>813</v>
      </c>
      <c r="E138" t="s">
        <v>598</v>
      </c>
      <c r="F138" t="s">
        <v>29</v>
      </c>
      <c r="G138" t="s">
        <v>29</v>
      </c>
      <c r="H138" t="s">
        <v>29</v>
      </c>
      <c r="I138" t="s">
        <v>30</v>
      </c>
      <c r="J138" t="s">
        <v>30</v>
      </c>
      <c r="K138" t="s">
        <v>94</v>
      </c>
      <c r="L138" t="s">
        <v>36</v>
      </c>
      <c r="N138" t="s">
        <v>642</v>
      </c>
      <c r="O138" t="s">
        <v>49</v>
      </c>
      <c r="P138" t="s">
        <v>49</v>
      </c>
      <c r="Q138" t="s">
        <v>49</v>
      </c>
      <c r="R138" t="s">
        <v>814</v>
      </c>
      <c r="S138" t="s">
        <v>49</v>
      </c>
      <c r="T138" t="s">
        <v>815</v>
      </c>
      <c r="U138" t="s">
        <v>816</v>
      </c>
      <c r="V138" t="s">
        <v>79</v>
      </c>
      <c r="X138" t="s">
        <v>603</v>
      </c>
      <c r="Y138" t="s">
        <v>622</v>
      </c>
      <c r="Z138" t="s">
        <v>129</v>
      </c>
    </row>
    <row r="139" spans="1:26" ht="12.75" customHeight="1" x14ac:dyDescent="0.35">
      <c r="A139">
        <v>138</v>
      </c>
      <c r="B139">
        <v>45883.682608703704</v>
      </c>
      <c r="D139" t="s">
        <v>817</v>
      </c>
      <c r="E139" t="s">
        <v>180</v>
      </c>
      <c r="F139" t="s">
        <v>71</v>
      </c>
      <c r="G139" t="s">
        <v>33</v>
      </c>
      <c r="H139" t="s">
        <v>33</v>
      </c>
      <c r="I139" t="s">
        <v>34</v>
      </c>
      <c r="J139" t="s">
        <v>34</v>
      </c>
      <c r="K139" t="s">
        <v>94</v>
      </c>
      <c r="L139" t="s">
        <v>46</v>
      </c>
      <c r="N139" t="s">
        <v>442</v>
      </c>
      <c r="O139" t="s">
        <v>48</v>
      </c>
      <c r="P139" t="s">
        <v>48</v>
      </c>
      <c r="Q139" t="s">
        <v>49</v>
      </c>
      <c r="R139" t="s">
        <v>818</v>
      </c>
      <c r="S139" t="s">
        <v>49</v>
      </c>
      <c r="T139" t="s">
        <v>819</v>
      </c>
      <c r="U139" t="s">
        <v>820</v>
      </c>
      <c r="V139" t="s">
        <v>79</v>
      </c>
      <c r="X139" t="s">
        <v>603</v>
      </c>
      <c r="Y139" t="s">
        <v>694</v>
      </c>
      <c r="Z139" t="s">
        <v>57</v>
      </c>
    </row>
    <row r="140" spans="1:26" ht="12.75" customHeight="1" x14ac:dyDescent="0.35">
      <c r="A140">
        <v>139</v>
      </c>
      <c r="B140">
        <v>45883.688911458332</v>
      </c>
      <c r="D140" t="s">
        <v>821</v>
      </c>
      <c r="E140" t="s">
        <v>598</v>
      </c>
      <c r="F140" t="s">
        <v>344</v>
      </c>
      <c r="G140" t="s">
        <v>29</v>
      </c>
      <c r="H140" t="s">
        <v>29</v>
      </c>
      <c r="I140" t="s">
        <v>30</v>
      </c>
      <c r="J140" t="s">
        <v>30</v>
      </c>
      <c r="K140" t="s">
        <v>94</v>
      </c>
      <c r="L140" t="s">
        <v>46</v>
      </c>
      <c r="N140" t="s">
        <v>642</v>
      </c>
      <c r="O140" t="s">
        <v>48</v>
      </c>
      <c r="P140" t="s">
        <v>48</v>
      </c>
      <c r="Q140" t="s">
        <v>48</v>
      </c>
      <c r="R140" t="s">
        <v>822</v>
      </c>
      <c r="S140" t="s">
        <v>48</v>
      </c>
      <c r="T140" t="s">
        <v>823</v>
      </c>
      <c r="U140" t="s">
        <v>824</v>
      </c>
      <c r="V140" t="s">
        <v>79</v>
      </c>
      <c r="X140" t="s">
        <v>603</v>
      </c>
      <c r="Y140" t="s">
        <v>629</v>
      </c>
      <c r="Z140" t="s">
        <v>129</v>
      </c>
    </row>
    <row r="141" spans="1:26" ht="12.75" customHeight="1" x14ac:dyDescent="0.35">
      <c r="A141">
        <v>140</v>
      </c>
      <c r="B141">
        <v>45883.692764942127</v>
      </c>
      <c r="D141" t="s">
        <v>825</v>
      </c>
      <c r="E141" t="s">
        <v>712</v>
      </c>
      <c r="F141" t="s">
        <v>29</v>
      </c>
      <c r="G141" t="s">
        <v>29</v>
      </c>
      <c r="H141" t="s">
        <v>29</v>
      </c>
      <c r="I141" t="s">
        <v>30</v>
      </c>
      <c r="J141" t="s">
        <v>30</v>
      </c>
      <c r="K141" t="s">
        <v>61</v>
      </c>
      <c r="L141" t="s">
        <v>36</v>
      </c>
      <c r="N141" t="s">
        <v>679</v>
      </c>
      <c r="O141" t="s">
        <v>49</v>
      </c>
      <c r="P141" t="s">
        <v>49</v>
      </c>
      <c r="Q141" t="s">
        <v>49</v>
      </c>
      <c r="R141" t="s">
        <v>826</v>
      </c>
      <c r="S141" t="s">
        <v>49</v>
      </c>
      <c r="T141" t="s">
        <v>827</v>
      </c>
      <c r="U141" t="s">
        <v>828</v>
      </c>
      <c r="V141" t="s">
        <v>87</v>
      </c>
      <c r="X141" t="s">
        <v>603</v>
      </c>
      <c r="Y141" t="s">
        <v>647</v>
      </c>
      <c r="Z141" t="s">
        <v>129</v>
      </c>
    </row>
    <row r="142" spans="1:26" ht="12.75" customHeight="1" x14ac:dyDescent="0.35">
      <c r="A142">
        <v>141</v>
      </c>
      <c r="B142">
        <v>45883.69605486111</v>
      </c>
      <c r="D142" t="s">
        <v>829</v>
      </c>
      <c r="E142" t="s">
        <v>598</v>
      </c>
      <c r="F142" t="s">
        <v>33</v>
      </c>
      <c r="G142" t="s">
        <v>33</v>
      </c>
      <c r="H142" t="s">
        <v>33</v>
      </c>
      <c r="I142" t="s">
        <v>34</v>
      </c>
      <c r="J142" t="s">
        <v>34</v>
      </c>
      <c r="K142" t="s">
        <v>73</v>
      </c>
      <c r="L142" t="s">
        <v>36</v>
      </c>
      <c r="N142" t="s">
        <v>442</v>
      </c>
      <c r="O142" t="s">
        <v>48</v>
      </c>
      <c r="P142" t="s">
        <v>48</v>
      </c>
      <c r="Q142" t="s">
        <v>48</v>
      </c>
      <c r="R142" t="s">
        <v>830</v>
      </c>
      <c r="S142" t="s">
        <v>48</v>
      </c>
      <c r="T142" t="s">
        <v>831</v>
      </c>
      <c r="U142" t="s">
        <v>832</v>
      </c>
      <c r="V142" t="s">
        <v>53</v>
      </c>
      <c r="X142" t="s">
        <v>603</v>
      </c>
      <c r="Y142" t="s">
        <v>629</v>
      </c>
      <c r="Z142" t="s">
        <v>57</v>
      </c>
    </row>
    <row r="143" spans="1:26" ht="12.75" customHeight="1" x14ac:dyDescent="0.35">
      <c r="A143">
        <v>142</v>
      </c>
      <c r="B143">
        <v>45883.699069583337</v>
      </c>
      <c r="D143" t="s">
        <v>833</v>
      </c>
      <c r="E143" t="s">
        <v>598</v>
      </c>
      <c r="F143" t="s">
        <v>33</v>
      </c>
      <c r="G143" t="s">
        <v>33</v>
      </c>
      <c r="H143" t="s">
        <v>33</v>
      </c>
      <c r="I143" t="s">
        <v>34</v>
      </c>
      <c r="J143" t="s">
        <v>34</v>
      </c>
      <c r="K143" t="s">
        <v>73</v>
      </c>
      <c r="L143" t="s">
        <v>36</v>
      </c>
      <c r="N143" t="s">
        <v>834</v>
      </c>
      <c r="O143" t="s">
        <v>48</v>
      </c>
      <c r="P143" t="s">
        <v>48</v>
      </c>
      <c r="Q143" t="s">
        <v>49</v>
      </c>
      <c r="R143" t="s">
        <v>835</v>
      </c>
      <c r="S143" t="s">
        <v>49</v>
      </c>
      <c r="T143" t="s">
        <v>836</v>
      </c>
      <c r="U143" t="s">
        <v>837</v>
      </c>
      <c r="V143" t="s">
        <v>53</v>
      </c>
      <c r="X143" t="s">
        <v>834</v>
      </c>
      <c r="Y143" t="s">
        <v>629</v>
      </c>
      <c r="Z143" t="s">
        <v>57</v>
      </c>
    </row>
    <row r="144" spans="1:26" ht="12.75" customHeight="1" x14ac:dyDescent="0.35">
      <c r="A144">
        <v>143</v>
      </c>
      <c r="B144">
        <v>45883.701822048606</v>
      </c>
      <c r="D144" t="s">
        <v>838</v>
      </c>
      <c r="E144" t="s">
        <v>839</v>
      </c>
      <c r="F144" t="s">
        <v>33</v>
      </c>
      <c r="G144" t="s">
        <v>28</v>
      </c>
      <c r="H144" t="s">
        <v>29</v>
      </c>
      <c r="I144" t="s">
        <v>30</v>
      </c>
      <c r="J144" t="s">
        <v>103</v>
      </c>
      <c r="K144" t="s">
        <v>74</v>
      </c>
      <c r="L144" t="s">
        <v>46</v>
      </c>
      <c r="N144" t="s">
        <v>840</v>
      </c>
      <c r="O144" t="s">
        <v>48</v>
      </c>
      <c r="P144" t="s">
        <v>48</v>
      </c>
      <c r="Q144" t="s">
        <v>49</v>
      </c>
      <c r="R144" t="s">
        <v>841</v>
      </c>
      <c r="S144" t="s">
        <v>49</v>
      </c>
      <c r="T144" t="s">
        <v>842</v>
      </c>
      <c r="U144" t="s">
        <v>843</v>
      </c>
      <c r="V144" t="s">
        <v>135</v>
      </c>
      <c r="W144" t="s">
        <v>844</v>
      </c>
      <c r="X144" t="s">
        <v>845</v>
      </c>
      <c r="Y144" t="s">
        <v>846</v>
      </c>
      <c r="Z144" t="s">
        <v>129</v>
      </c>
    </row>
    <row r="145" spans="1:26" ht="12.75" customHeight="1" x14ac:dyDescent="0.35">
      <c r="A145">
        <v>144</v>
      </c>
      <c r="B145">
        <v>45883.702397881949</v>
      </c>
      <c r="D145" t="s">
        <v>847</v>
      </c>
      <c r="E145" t="s">
        <v>598</v>
      </c>
      <c r="F145" t="s">
        <v>29</v>
      </c>
      <c r="G145" t="s">
        <v>29</v>
      </c>
      <c r="H145" t="s">
        <v>29</v>
      </c>
      <c r="I145" t="s">
        <v>30</v>
      </c>
      <c r="J145" t="s">
        <v>30</v>
      </c>
      <c r="K145" t="s">
        <v>94</v>
      </c>
      <c r="L145" t="s">
        <v>46</v>
      </c>
      <c r="N145" t="s">
        <v>834</v>
      </c>
      <c r="O145" t="s">
        <v>49</v>
      </c>
      <c r="P145" t="s">
        <v>48</v>
      </c>
      <c r="Q145" t="s">
        <v>49</v>
      </c>
      <c r="R145" t="s">
        <v>848</v>
      </c>
      <c r="S145" t="s">
        <v>48</v>
      </c>
      <c r="T145" t="s">
        <v>849</v>
      </c>
      <c r="U145" t="s">
        <v>850</v>
      </c>
      <c r="V145" t="s">
        <v>87</v>
      </c>
      <c r="X145" t="s">
        <v>834</v>
      </c>
      <c r="Y145" t="s">
        <v>694</v>
      </c>
      <c r="Z145" t="s">
        <v>129</v>
      </c>
    </row>
    <row r="146" spans="1:26" ht="12.75" customHeight="1" x14ac:dyDescent="0.35">
      <c r="A146">
        <v>145</v>
      </c>
      <c r="B146">
        <v>45883.705573726853</v>
      </c>
      <c r="D146" t="s">
        <v>851</v>
      </c>
      <c r="E146" t="s">
        <v>598</v>
      </c>
      <c r="F146" t="s">
        <v>33</v>
      </c>
      <c r="G146" t="s">
        <v>33</v>
      </c>
      <c r="H146" t="s">
        <v>33</v>
      </c>
      <c r="I146" t="s">
        <v>34</v>
      </c>
      <c r="J146" t="s">
        <v>34</v>
      </c>
      <c r="K146" t="s">
        <v>74</v>
      </c>
      <c r="L146" t="s">
        <v>36</v>
      </c>
      <c r="N146" t="s">
        <v>834</v>
      </c>
      <c r="O146" t="s">
        <v>48</v>
      </c>
      <c r="P146" t="s">
        <v>48</v>
      </c>
      <c r="Q146" t="s">
        <v>48</v>
      </c>
      <c r="R146" t="s">
        <v>852</v>
      </c>
      <c r="S146" t="s">
        <v>48</v>
      </c>
      <c r="T146" t="s">
        <v>853</v>
      </c>
      <c r="U146" t="s">
        <v>854</v>
      </c>
      <c r="V146" t="s">
        <v>87</v>
      </c>
      <c r="X146" t="s">
        <v>834</v>
      </c>
      <c r="Y146" t="s">
        <v>629</v>
      </c>
      <c r="Z146" t="s">
        <v>91</v>
      </c>
    </row>
    <row r="147" spans="1:26" ht="12.75" customHeight="1" x14ac:dyDescent="0.35">
      <c r="A147">
        <v>146</v>
      </c>
      <c r="B147">
        <v>45883.709069097225</v>
      </c>
      <c r="D147" t="s">
        <v>855</v>
      </c>
      <c r="E147" t="s">
        <v>598</v>
      </c>
      <c r="F147" t="s">
        <v>29</v>
      </c>
      <c r="G147" t="s">
        <v>29</v>
      </c>
      <c r="H147" t="s">
        <v>29</v>
      </c>
      <c r="I147" t="s">
        <v>30</v>
      </c>
      <c r="J147" t="s">
        <v>30</v>
      </c>
      <c r="K147" t="s">
        <v>94</v>
      </c>
      <c r="L147" t="s">
        <v>46</v>
      </c>
      <c r="N147" t="s">
        <v>834</v>
      </c>
      <c r="O147" t="s">
        <v>49</v>
      </c>
      <c r="P147" t="s">
        <v>49</v>
      </c>
      <c r="Q147" t="s">
        <v>49</v>
      </c>
      <c r="R147" t="s">
        <v>856</v>
      </c>
      <c r="S147" t="s">
        <v>49</v>
      </c>
      <c r="T147" t="s">
        <v>857</v>
      </c>
      <c r="U147" t="s">
        <v>858</v>
      </c>
      <c r="V147" t="s">
        <v>53</v>
      </c>
      <c r="X147" t="s">
        <v>834</v>
      </c>
      <c r="Y147" t="s">
        <v>647</v>
      </c>
      <c r="Z147" t="s">
        <v>129</v>
      </c>
    </row>
    <row r="148" spans="1:26" ht="12.75" customHeight="1" x14ac:dyDescent="0.35">
      <c r="A148">
        <v>147</v>
      </c>
      <c r="B148">
        <v>45883.710799039356</v>
      </c>
      <c r="E148" t="s">
        <v>859</v>
      </c>
      <c r="F148" t="s">
        <v>71</v>
      </c>
      <c r="G148" t="s">
        <v>33</v>
      </c>
      <c r="H148" t="s">
        <v>284</v>
      </c>
      <c r="I148" t="s">
        <v>34</v>
      </c>
      <c r="J148" t="s">
        <v>34</v>
      </c>
      <c r="K148" t="s">
        <v>74</v>
      </c>
      <c r="L148" t="s">
        <v>36</v>
      </c>
      <c r="N148" t="s">
        <v>104</v>
      </c>
      <c r="O148" t="s">
        <v>49</v>
      </c>
      <c r="P148" t="s">
        <v>49</v>
      </c>
      <c r="Q148" t="s">
        <v>49</v>
      </c>
      <c r="S148" t="s">
        <v>49</v>
      </c>
      <c r="V148" t="s">
        <v>79</v>
      </c>
      <c r="W148" t="s">
        <v>860</v>
      </c>
      <c r="X148" t="s">
        <v>109</v>
      </c>
      <c r="Y148" t="s">
        <v>861</v>
      </c>
      <c r="Z148" t="s">
        <v>91</v>
      </c>
    </row>
    <row r="149" spans="1:26" ht="12.75" customHeight="1" x14ac:dyDescent="0.35">
      <c r="A149">
        <v>148</v>
      </c>
      <c r="B149">
        <v>45883.712144131947</v>
      </c>
      <c r="D149" t="s">
        <v>862</v>
      </c>
      <c r="E149" t="s">
        <v>598</v>
      </c>
      <c r="F149" t="s">
        <v>33</v>
      </c>
      <c r="G149" t="s">
        <v>33</v>
      </c>
      <c r="H149" t="s">
        <v>33</v>
      </c>
      <c r="I149" t="s">
        <v>30</v>
      </c>
      <c r="J149" t="s">
        <v>30</v>
      </c>
      <c r="K149" t="s">
        <v>61</v>
      </c>
      <c r="L149" t="s">
        <v>46</v>
      </c>
      <c r="N149" t="s">
        <v>834</v>
      </c>
      <c r="O149" t="s">
        <v>49</v>
      </c>
      <c r="P149" t="s">
        <v>48</v>
      </c>
      <c r="Q149" t="s">
        <v>49</v>
      </c>
      <c r="R149" t="s">
        <v>863</v>
      </c>
      <c r="S149" t="s">
        <v>48</v>
      </c>
      <c r="T149" t="s">
        <v>864</v>
      </c>
      <c r="U149" t="s">
        <v>865</v>
      </c>
      <c r="V149" t="s">
        <v>87</v>
      </c>
      <c r="X149" t="s">
        <v>834</v>
      </c>
      <c r="Y149" t="s">
        <v>629</v>
      </c>
      <c r="Z149" t="s">
        <v>129</v>
      </c>
    </row>
    <row r="150" spans="1:26" ht="12.75" customHeight="1" x14ac:dyDescent="0.35">
      <c r="A150">
        <v>149</v>
      </c>
      <c r="B150">
        <v>45883.715571365741</v>
      </c>
      <c r="D150" t="s">
        <v>866</v>
      </c>
      <c r="E150" t="s">
        <v>598</v>
      </c>
      <c r="F150" t="s">
        <v>33</v>
      </c>
      <c r="G150" t="s">
        <v>33</v>
      </c>
      <c r="H150" t="s">
        <v>33</v>
      </c>
      <c r="I150" t="s">
        <v>34</v>
      </c>
      <c r="J150" t="s">
        <v>34</v>
      </c>
      <c r="K150" t="s">
        <v>74</v>
      </c>
      <c r="L150" t="s">
        <v>36</v>
      </c>
      <c r="N150" t="s">
        <v>834</v>
      </c>
      <c r="O150" t="s">
        <v>49</v>
      </c>
      <c r="P150" t="s">
        <v>48</v>
      </c>
      <c r="Q150" t="s">
        <v>48</v>
      </c>
      <c r="R150" t="s">
        <v>867</v>
      </c>
      <c r="S150" t="s">
        <v>49</v>
      </c>
      <c r="T150" t="s">
        <v>868</v>
      </c>
      <c r="U150" t="s">
        <v>869</v>
      </c>
      <c r="V150" t="s">
        <v>53</v>
      </c>
      <c r="X150" t="s">
        <v>834</v>
      </c>
      <c r="Y150" t="s">
        <v>629</v>
      </c>
      <c r="Z150" t="s">
        <v>91</v>
      </c>
    </row>
    <row r="151" spans="1:26" ht="12.75" customHeight="1" x14ac:dyDescent="0.35">
      <c r="A151">
        <v>150</v>
      </c>
      <c r="B151">
        <v>45883.718876840278</v>
      </c>
      <c r="D151" t="s">
        <v>870</v>
      </c>
      <c r="E151" t="s">
        <v>871</v>
      </c>
      <c r="F151" t="s">
        <v>29</v>
      </c>
      <c r="G151" t="s">
        <v>29</v>
      </c>
      <c r="H151" t="s">
        <v>29</v>
      </c>
      <c r="I151" t="s">
        <v>30</v>
      </c>
      <c r="J151" t="s">
        <v>30</v>
      </c>
      <c r="K151" t="s">
        <v>94</v>
      </c>
      <c r="L151" t="s">
        <v>46</v>
      </c>
      <c r="N151" t="s">
        <v>834</v>
      </c>
      <c r="O151" t="s">
        <v>48</v>
      </c>
      <c r="P151" t="s">
        <v>48</v>
      </c>
      <c r="Q151" t="s">
        <v>48</v>
      </c>
      <c r="R151" t="s">
        <v>872</v>
      </c>
      <c r="S151" t="s">
        <v>48</v>
      </c>
      <c r="T151" t="s">
        <v>873</v>
      </c>
      <c r="U151" t="s">
        <v>874</v>
      </c>
      <c r="V151" t="s">
        <v>87</v>
      </c>
      <c r="X151" t="s">
        <v>834</v>
      </c>
      <c r="Y151" t="s">
        <v>616</v>
      </c>
      <c r="Z151" t="s">
        <v>129</v>
      </c>
    </row>
    <row r="152" spans="1:26" ht="12.75" customHeight="1" x14ac:dyDescent="0.35">
      <c r="A152">
        <v>151</v>
      </c>
      <c r="B152">
        <v>45883.723441319446</v>
      </c>
      <c r="D152" t="s">
        <v>875</v>
      </c>
      <c r="E152" t="s">
        <v>598</v>
      </c>
      <c r="F152" t="s">
        <v>33</v>
      </c>
      <c r="G152" t="s">
        <v>33</v>
      </c>
      <c r="H152" t="s">
        <v>33</v>
      </c>
      <c r="I152" t="s">
        <v>34</v>
      </c>
      <c r="J152" t="s">
        <v>34</v>
      </c>
      <c r="K152" t="s">
        <v>73</v>
      </c>
      <c r="L152" t="s">
        <v>46</v>
      </c>
      <c r="N152" t="s">
        <v>834</v>
      </c>
      <c r="O152" t="s">
        <v>48</v>
      </c>
      <c r="P152" t="s">
        <v>48</v>
      </c>
      <c r="Q152" t="s">
        <v>48</v>
      </c>
      <c r="R152" t="s">
        <v>876</v>
      </c>
      <c r="S152" t="s">
        <v>48</v>
      </c>
      <c r="T152" t="s">
        <v>877</v>
      </c>
      <c r="U152" t="s">
        <v>878</v>
      </c>
      <c r="V152" t="s">
        <v>65</v>
      </c>
      <c r="X152" t="s">
        <v>834</v>
      </c>
      <c r="Y152" t="s">
        <v>629</v>
      </c>
      <c r="Z152" t="s">
        <v>129</v>
      </c>
    </row>
    <row r="153" spans="1:26" ht="12.75" customHeight="1" x14ac:dyDescent="0.35">
      <c r="A153">
        <v>152</v>
      </c>
      <c r="B153">
        <v>45883.727058807868</v>
      </c>
      <c r="D153" t="s">
        <v>879</v>
      </c>
      <c r="E153" t="s">
        <v>598</v>
      </c>
      <c r="F153" t="s">
        <v>29</v>
      </c>
      <c r="G153" t="s">
        <v>29</v>
      </c>
      <c r="H153" t="s">
        <v>29</v>
      </c>
      <c r="I153" t="s">
        <v>30</v>
      </c>
      <c r="J153" t="s">
        <v>30</v>
      </c>
      <c r="K153" t="s">
        <v>61</v>
      </c>
      <c r="L153" t="s">
        <v>46</v>
      </c>
      <c r="N153" t="s">
        <v>834</v>
      </c>
      <c r="O153" t="s">
        <v>49</v>
      </c>
      <c r="P153" t="s">
        <v>49</v>
      </c>
      <c r="Q153" t="s">
        <v>49</v>
      </c>
      <c r="R153" t="s">
        <v>880</v>
      </c>
      <c r="S153" t="s">
        <v>49</v>
      </c>
      <c r="T153" t="s">
        <v>881</v>
      </c>
      <c r="U153" t="s">
        <v>882</v>
      </c>
      <c r="V153" t="s">
        <v>65</v>
      </c>
      <c r="X153" t="s">
        <v>834</v>
      </c>
      <c r="Y153" t="s">
        <v>694</v>
      </c>
      <c r="Z153" t="s">
        <v>129</v>
      </c>
    </row>
    <row r="154" spans="1:26" ht="12.75" customHeight="1" x14ac:dyDescent="0.35">
      <c r="A154">
        <v>153</v>
      </c>
      <c r="B154">
        <v>45883.730627847224</v>
      </c>
      <c r="D154" t="s">
        <v>883</v>
      </c>
      <c r="E154" t="s">
        <v>598</v>
      </c>
      <c r="F154" t="s">
        <v>29</v>
      </c>
      <c r="G154" t="s">
        <v>29</v>
      </c>
      <c r="H154" t="s">
        <v>29</v>
      </c>
      <c r="I154" t="s">
        <v>30</v>
      </c>
      <c r="J154" t="s">
        <v>30</v>
      </c>
      <c r="K154" t="s">
        <v>61</v>
      </c>
      <c r="L154" t="s">
        <v>46</v>
      </c>
      <c r="N154" t="s">
        <v>834</v>
      </c>
      <c r="O154" t="s">
        <v>49</v>
      </c>
      <c r="P154" t="s">
        <v>49</v>
      </c>
      <c r="Q154" t="s">
        <v>49</v>
      </c>
      <c r="R154" t="s">
        <v>884</v>
      </c>
      <c r="S154" t="s">
        <v>49</v>
      </c>
      <c r="T154" t="s">
        <v>885</v>
      </c>
      <c r="U154" t="s">
        <v>886</v>
      </c>
      <c r="V154" t="s">
        <v>87</v>
      </c>
      <c r="X154" t="s">
        <v>834</v>
      </c>
      <c r="Y154" t="s">
        <v>694</v>
      </c>
      <c r="Z154" t="s">
        <v>129</v>
      </c>
    </row>
    <row r="155" spans="1:26" ht="12.75" customHeight="1" x14ac:dyDescent="0.35">
      <c r="A155">
        <v>154</v>
      </c>
      <c r="B155">
        <v>45883.734186134257</v>
      </c>
      <c r="D155" t="s">
        <v>887</v>
      </c>
      <c r="E155" t="s">
        <v>598</v>
      </c>
      <c r="F155" t="s">
        <v>33</v>
      </c>
      <c r="G155" t="s">
        <v>33</v>
      </c>
      <c r="H155" t="s">
        <v>33</v>
      </c>
      <c r="I155" t="s">
        <v>34</v>
      </c>
      <c r="J155" t="s">
        <v>34</v>
      </c>
      <c r="K155" t="s">
        <v>74</v>
      </c>
      <c r="L155" t="s">
        <v>46</v>
      </c>
      <c r="N155" t="s">
        <v>834</v>
      </c>
      <c r="O155" t="s">
        <v>48</v>
      </c>
      <c r="P155" t="s">
        <v>49</v>
      </c>
      <c r="Q155" t="s">
        <v>48</v>
      </c>
      <c r="R155" t="s">
        <v>888</v>
      </c>
      <c r="S155" t="s">
        <v>48</v>
      </c>
      <c r="T155" t="s">
        <v>889</v>
      </c>
      <c r="U155" t="s">
        <v>890</v>
      </c>
      <c r="V155" t="s">
        <v>87</v>
      </c>
      <c r="X155" t="s">
        <v>834</v>
      </c>
      <c r="Y155" t="s">
        <v>694</v>
      </c>
      <c r="Z155" t="s">
        <v>129</v>
      </c>
    </row>
    <row r="156" spans="1:26" ht="12.75" customHeight="1" x14ac:dyDescent="0.35">
      <c r="A156">
        <v>155</v>
      </c>
      <c r="B156">
        <v>45883.736946435187</v>
      </c>
      <c r="D156" t="s">
        <v>891</v>
      </c>
      <c r="E156" t="s">
        <v>598</v>
      </c>
      <c r="F156" t="s">
        <v>33</v>
      </c>
      <c r="G156" t="s">
        <v>33</v>
      </c>
      <c r="H156" t="s">
        <v>33</v>
      </c>
      <c r="I156" t="s">
        <v>34</v>
      </c>
      <c r="J156" t="s">
        <v>34</v>
      </c>
      <c r="K156" t="s">
        <v>73</v>
      </c>
      <c r="L156" t="s">
        <v>36</v>
      </c>
      <c r="N156" t="s">
        <v>834</v>
      </c>
      <c r="O156" t="s">
        <v>48</v>
      </c>
      <c r="P156" t="s">
        <v>48</v>
      </c>
      <c r="Q156" t="s">
        <v>48</v>
      </c>
      <c r="R156" t="s">
        <v>892</v>
      </c>
      <c r="S156" t="s">
        <v>48</v>
      </c>
      <c r="T156" t="s">
        <v>893</v>
      </c>
      <c r="U156" t="s">
        <v>894</v>
      </c>
      <c r="V156" t="s">
        <v>65</v>
      </c>
      <c r="X156" t="s">
        <v>834</v>
      </c>
      <c r="Y156" t="s">
        <v>647</v>
      </c>
      <c r="Z156" t="s">
        <v>129</v>
      </c>
    </row>
    <row r="157" spans="1:26" ht="12.75" customHeight="1" x14ac:dyDescent="0.35">
      <c r="A157">
        <v>156</v>
      </c>
      <c r="B157">
        <v>45883.739976481476</v>
      </c>
      <c r="D157" t="s">
        <v>895</v>
      </c>
      <c r="E157" t="s">
        <v>598</v>
      </c>
      <c r="F157" t="s">
        <v>29</v>
      </c>
      <c r="G157" t="s">
        <v>29</v>
      </c>
      <c r="H157" t="s">
        <v>29</v>
      </c>
      <c r="I157" t="s">
        <v>30</v>
      </c>
      <c r="J157" t="s">
        <v>30</v>
      </c>
      <c r="K157" t="s">
        <v>94</v>
      </c>
      <c r="L157" t="s">
        <v>46</v>
      </c>
      <c r="N157" t="s">
        <v>834</v>
      </c>
      <c r="O157" t="s">
        <v>49</v>
      </c>
      <c r="P157" t="s">
        <v>49</v>
      </c>
      <c r="Q157" t="s">
        <v>49</v>
      </c>
      <c r="R157" t="s">
        <v>896</v>
      </c>
      <c r="S157" t="s">
        <v>49</v>
      </c>
      <c r="T157" t="s">
        <v>897</v>
      </c>
      <c r="U157" t="s">
        <v>898</v>
      </c>
      <c r="V157" t="s">
        <v>135</v>
      </c>
      <c r="X157" t="s">
        <v>834</v>
      </c>
      <c r="Y157" t="s">
        <v>688</v>
      </c>
      <c r="Z157" t="s">
        <v>91</v>
      </c>
    </row>
    <row r="158" spans="1:26" ht="12.75" customHeight="1" x14ac:dyDescent="0.35">
      <c r="A158">
        <v>157</v>
      </c>
      <c r="B158">
        <v>45883.743157222227</v>
      </c>
      <c r="D158" t="s">
        <v>899</v>
      </c>
      <c r="E158" t="s">
        <v>598</v>
      </c>
      <c r="F158" t="s">
        <v>29</v>
      </c>
      <c r="G158" t="s">
        <v>29</v>
      </c>
      <c r="H158" t="s">
        <v>29</v>
      </c>
      <c r="I158" t="s">
        <v>30</v>
      </c>
      <c r="J158" t="s">
        <v>30</v>
      </c>
      <c r="K158" t="s">
        <v>61</v>
      </c>
      <c r="L158" t="s">
        <v>46</v>
      </c>
      <c r="N158" t="s">
        <v>834</v>
      </c>
      <c r="O158" t="s">
        <v>48</v>
      </c>
      <c r="P158" t="s">
        <v>49</v>
      </c>
      <c r="Q158" t="s">
        <v>49</v>
      </c>
      <c r="R158" t="s">
        <v>900</v>
      </c>
      <c r="S158" t="s">
        <v>48</v>
      </c>
      <c r="T158" t="s">
        <v>901</v>
      </c>
      <c r="U158" t="s">
        <v>902</v>
      </c>
      <c r="V158" t="s">
        <v>53</v>
      </c>
      <c r="X158" t="s">
        <v>834</v>
      </c>
      <c r="Y158" t="s">
        <v>629</v>
      </c>
      <c r="Z158" t="s">
        <v>129</v>
      </c>
    </row>
    <row r="159" spans="1:26" ht="12.75" customHeight="1" x14ac:dyDescent="0.35">
      <c r="A159">
        <v>158</v>
      </c>
      <c r="B159">
        <v>45883.745987662041</v>
      </c>
      <c r="D159" t="s">
        <v>903</v>
      </c>
      <c r="E159" t="s">
        <v>598</v>
      </c>
      <c r="F159" t="s">
        <v>33</v>
      </c>
      <c r="G159" t="s">
        <v>33</v>
      </c>
      <c r="H159" t="s">
        <v>33</v>
      </c>
      <c r="I159" t="s">
        <v>34</v>
      </c>
      <c r="J159" t="s">
        <v>34</v>
      </c>
      <c r="K159" t="s">
        <v>74</v>
      </c>
      <c r="L159" t="s">
        <v>46</v>
      </c>
      <c r="N159" t="s">
        <v>834</v>
      </c>
      <c r="O159" t="s">
        <v>48</v>
      </c>
      <c r="P159" t="s">
        <v>48</v>
      </c>
      <c r="Q159" t="s">
        <v>48</v>
      </c>
      <c r="R159" t="s">
        <v>904</v>
      </c>
      <c r="S159" t="s">
        <v>48</v>
      </c>
      <c r="T159" t="s">
        <v>905</v>
      </c>
      <c r="U159" t="s">
        <v>906</v>
      </c>
      <c r="V159" t="s">
        <v>53</v>
      </c>
      <c r="X159" t="s">
        <v>834</v>
      </c>
      <c r="Y159" t="s">
        <v>694</v>
      </c>
      <c r="Z159" t="s">
        <v>57</v>
      </c>
    </row>
    <row r="160" spans="1:26" ht="12.75" customHeight="1" x14ac:dyDescent="0.35">
      <c r="A160">
        <v>159</v>
      </c>
      <c r="B160">
        <v>45883.749287430561</v>
      </c>
      <c r="D160" t="s">
        <v>907</v>
      </c>
      <c r="E160" t="s">
        <v>598</v>
      </c>
      <c r="F160" t="s">
        <v>29</v>
      </c>
      <c r="G160" t="s">
        <v>29</v>
      </c>
      <c r="H160" t="s">
        <v>29</v>
      </c>
      <c r="I160" t="s">
        <v>30</v>
      </c>
      <c r="J160" t="s">
        <v>30</v>
      </c>
      <c r="K160" t="s">
        <v>61</v>
      </c>
      <c r="L160" t="s">
        <v>46</v>
      </c>
      <c r="N160" t="s">
        <v>834</v>
      </c>
      <c r="O160" t="s">
        <v>49</v>
      </c>
      <c r="P160" t="s">
        <v>49</v>
      </c>
      <c r="Q160" t="s">
        <v>49</v>
      </c>
      <c r="R160" t="s">
        <v>908</v>
      </c>
      <c r="S160" t="s">
        <v>49</v>
      </c>
      <c r="T160" t="s">
        <v>909</v>
      </c>
      <c r="U160" t="s">
        <v>910</v>
      </c>
      <c r="V160" t="s">
        <v>53</v>
      </c>
      <c r="X160" t="s">
        <v>834</v>
      </c>
      <c r="Y160" t="s">
        <v>629</v>
      </c>
      <c r="Z160" t="s">
        <v>129</v>
      </c>
    </row>
    <row r="161" spans="1:26" ht="12.75" customHeight="1" x14ac:dyDescent="0.35">
      <c r="A161">
        <v>160</v>
      </c>
      <c r="B161">
        <v>45883.755637210648</v>
      </c>
      <c r="D161" t="s">
        <v>911</v>
      </c>
      <c r="E161" t="s">
        <v>598</v>
      </c>
      <c r="F161" t="s">
        <v>33</v>
      </c>
      <c r="G161" t="s">
        <v>33</v>
      </c>
      <c r="H161" t="s">
        <v>33</v>
      </c>
      <c r="I161" t="s">
        <v>34</v>
      </c>
      <c r="J161" t="s">
        <v>34</v>
      </c>
      <c r="K161" t="s">
        <v>74</v>
      </c>
      <c r="L161" t="s">
        <v>36</v>
      </c>
      <c r="N161" t="s">
        <v>834</v>
      </c>
      <c r="O161" t="s">
        <v>48</v>
      </c>
      <c r="P161" t="s">
        <v>48</v>
      </c>
      <c r="Q161" t="s">
        <v>48</v>
      </c>
      <c r="R161" t="s">
        <v>912</v>
      </c>
      <c r="S161" t="s">
        <v>48</v>
      </c>
      <c r="T161" t="s">
        <v>913</v>
      </c>
      <c r="U161" t="s">
        <v>914</v>
      </c>
      <c r="V161" t="s">
        <v>135</v>
      </c>
      <c r="X161" t="s">
        <v>834</v>
      </c>
      <c r="Y161" t="s">
        <v>622</v>
      </c>
      <c r="Z161" t="s">
        <v>129</v>
      </c>
    </row>
    <row r="162" spans="1:26" ht="12.75" customHeight="1" x14ac:dyDescent="0.35">
      <c r="A162">
        <v>161</v>
      </c>
      <c r="B162">
        <v>45883.759558761572</v>
      </c>
      <c r="D162" t="s">
        <v>915</v>
      </c>
      <c r="E162" t="s">
        <v>598</v>
      </c>
      <c r="F162" t="s">
        <v>29</v>
      </c>
      <c r="G162" t="s">
        <v>29</v>
      </c>
      <c r="H162" t="s">
        <v>29</v>
      </c>
      <c r="I162" t="s">
        <v>30</v>
      </c>
      <c r="J162" t="s">
        <v>30</v>
      </c>
      <c r="K162" t="s">
        <v>61</v>
      </c>
      <c r="L162" t="s">
        <v>36</v>
      </c>
      <c r="N162" t="s">
        <v>442</v>
      </c>
      <c r="O162" t="s">
        <v>49</v>
      </c>
      <c r="P162" t="s">
        <v>49</v>
      </c>
      <c r="Q162" t="s">
        <v>49</v>
      </c>
      <c r="R162" t="s">
        <v>916</v>
      </c>
      <c r="S162" t="s">
        <v>49</v>
      </c>
      <c r="T162" t="s">
        <v>917</v>
      </c>
      <c r="U162" t="s">
        <v>918</v>
      </c>
      <c r="V162" t="s">
        <v>79</v>
      </c>
      <c r="X162" t="s">
        <v>603</v>
      </c>
      <c r="Y162" t="s">
        <v>919</v>
      </c>
      <c r="Z162" t="s">
        <v>129</v>
      </c>
    </row>
    <row r="163" spans="1:26" ht="12.75" customHeight="1" x14ac:dyDescent="0.35">
      <c r="A163">
        <v>162</v>
      </c>
      <c r="B163">
        <v>45883.760104120374</v>
      </c>
      <c r="E163" t="s">
        <v>180</v>
      </c>
      <c r="F163" t="s">
        <v>44</v>
      </c>
      <c r="G163" t="s">
        <v>60</v>
      </c>
      <c r="H163" t="s">
        <v>44</v>
      </c>
      <c r="I163" t="s">
        <v>30</v>
      </c>
      <c r="J163" t="s">
        <v>103</v>
      </c>
      <c r="K163" t="s">
        <v>28</v>
      </c>
      <c r="L163" t="s">
        <v>36</v>
      </c>
      <c r="N163" t="s">
        <v>726</v>
      </c>
      <c r="O163" t="s">
        <v>49</v>
      </c>
      <c r="P163" t="s">
        <v>48</v>
      </c>
      <c r="Q163" t="s">
        <v>38</v>
      </c>
      <c r="R163" t="s">
        <v>920</v>
      </c>
      <c r="S163" t="s">
        <v>38</v>
      </c>
      <c r="T163" t="s">
        <v>921</v>
      </c>
      <c r="U163" t="s">
        <v>922</v>
      </c>
      <c r="V163" t="s">
        <v>53</v>
      </c>
      <c r="X163" t="s">
        <v>109</v>
      </c>
      <c r="Y163" t="s">
        <v>759</v>
      </c>
      <c r="Z163" t="s">
        <v>129</v>
      </c>
    </row>
    <row r="164" spans="1:26" ht="12.75" customHeight="1" x14ac:dyDescent="0.35">
      <c r="A164">
        <v>163</v>
      </c>
      <c r="B164">
        <v>45883.762721840278</v>
      </c>
      <c r="E164" t="s">
        <v>180</v>
      </c>
      <c r="F164" t="s">
        <v>28</v>
      </c>
      <c r="G164" t="s">
        <v>44</v>
      </c>
      <c r="H164" t="s">
        <v>29</v>
      </c>
      <c r="I164" t="s">
        <v>30</v>
      </c>
      <c r="J164" t="s">
        <v>34</v>
      </c>
      <c r="K164" t="s">
        <v>35</v>
      </c>
      <c r="L164" t="s">
        <v>46</v>
      </c>
      <c r="N164" t="s">
        <v>304</v>
      </c>
      <c r="O164" t="s">
        <v>48</v>
      </c>
      <c r="P164" t="s">
        <v>48</v>
      </c>
      <c r="Q164" t="s">
        <v>49</v>
      </c>
      <c r="R164" t="s">
        <v>923</v>
      </c>
      <c r="S164" t="s">
        <v>49</v>
      </c>
      <c r="T164" t="s">
        <v>924</v>
      </c>
      <c r="U164" t="s">
        <v>925</v>
      </c>
      <c r="V164" t="s">
        <v>79</v>
      </c>
      <c r="X164" t="s">
        <v>109</v>
      </c>
      <c r="Y164" t="s">
        <v>694</v>
      </c>
      <c r="Z164" t="s">
        <v>129</v>
      </c>
    </row>
    <row r="165" spans="1:26" ht="12.75" customHeight="1" x14ac:dyDescent="0.35">
      <c r="A165">
        <v>164</v>
      </c>
      <c r="B165">
        <v>45883.763849039351</v>
      </c>
      <c r="D165" t="s">
        <v>926</v>
      </c>
      <c r="E165" t="s">
        <v>598</v>
      </c>
      <c r="F165" t="s">
        <v>29</v>
      </c>
      <c r="G165" t="s">
        <v>29</v>
      </c>
      <c r="H165" t="s">
        <v>29</v>
      </c>
      <c r="I165" t="s">
        <v>30</v>
      </c>
      <c r="J165" t="s">
        <v>30</v>
      </c>
      <c r="K165" t="s">
        <v>61</v>
      </c>
      <c r="L165" t="s">
        <v>36</v>
      </c>
      <c r="N165" t="s">
        <v>834</v>
      </c>
      <c r="O165" t="s">
        <v>49</v>
      </c>
      <c r="P165" t="s">
        <v>49</v>
      </c>
      <c r="Q165" t="s">
        <v>49</v>
      </c>
      <c r="R165" t="s">
        <v>927</v>
      </c>
      <c r="S165" t="s">
        <v>49</v>
      </c>
      <c r="T165" t="s">
        <v>928</v>
      </c>
      <c r="U165" t="s">
        <v>929</v>
      </c>
      <c r="V165" t="s">
        <v>79</v>
      </c>
      <c r="X165" t="s">
        <v>834</v>
      </c>
      <c r="Y165" t="s">
        <v>930</v>
      </c>
      <c r="Z165" t="s">
        <v>129</v>
      </c>
    </row>
    <row r="166" spans="1:26" ht="12.75" customHeight="1" x14ac:dyDescent="0.35">
      <c r="A166">
        <v>165</v>
      </c>
      <c r="B166">
        <v>45883.764010069441</v>
      </c>
      <c r="E166" t="s">
        <v>180</v>
      </c>
      <c r="F166" t="s">
        <v>44</v>
      </c>
      <c r="G166" t="s">
        <v>60</v>
      </c>
      <c r="H166" t="s">
        <v>60</v>
      </c>
      <c r="I166" t="s">
        <v>30</v>
      </c>
      <c r="J166" t="s">
        <v>173</v>
      </c>
      <c r="K166" t="s">
        <v>292</v>
      </c>
      <c r="L166" t="s">
        <v>36</v>
      </c>
      <c r="N166" t="s">
        <v>764</v>
      </c>
      <c r="O166" t="s">
        <v>49</v>
      </c>
      <c r="P166" t="s">
        <v>49</v>
      </c>
      <c r="Q166" t="s">
        <v>38</v>
      </c>
      <c r="R166" t="s">
        <v>931</v>
      </c>
      <c r="S166" t="s">
        <v>38</v>
      </c>
      <c r="T166" t="s">
        <v>932</v>
      </c>
      <c r="U166" t="s">
        <v>933</v>
      </c>
      <c r="V166" t="s">
        <v>135</v>
      </c>
      <c r="X166" t="s">
        <v>109</v>
      </c>
      <c r="Y166" t="s">
        <v>193</v>
      </c>
      <c r="Z166" t="s">
        <v>91</v>
      </c>
    </row>
    <row r="167" spans="1:26" ht="12.75" customHeight="1" x14ac:dyDescent="0.35">
      <c r="A167">
        <v>166</v>
      </c>
      <c r="B167">
        <v>45883.766072777777</v>
      </c>
      <c r="E167" t="s">
        <v>180</v>
      </c>
      <c r="F167" t="s">
        <v>28</v>
      </c>
      <c r="G167" t="s">
        <v>60</v>
      </c>
      <c r="H167" t="s">
        <v>60</v>
      </c>
      <c r="I167" t="s">
        <v>34</v>
      </c>
      <c r="J167" t="s">
        <v>34</v>
      </c>
      <c r="K167" t="s">
        <v>28</v>
      </c>
      <c r="L167" t="s">
        <v>36</v>
      </c>
      <c r="N167" t="s">
        <v>726</v>
      </c>
      <c r="O167" t="s">
        <v>49</v>
      </c>
      <c r="P167" t="s">
        <v>48</v>
      </c>
      <c r="Q167" t="s">
        <v>49</v>
      </c>
      <c r="R167" t="s">
        <v>934</v>
      </c>
      <c r="S167" t="s">
        <v>38</v>
      </c>
      <c r="T167" t="s">
        <v>935</v>
      </c>
      <c r="U167" t="s">
        <v>936</v>
      </c>
      <c r="V167" t="s">
        <v>87</v>
      </c>
      <c r="X167" t="s">
        <v>109</v>
      </c>
      <c r="Y167" t="s">
        <v>751</v>
      </c>
      <c r="Z167" t="s">
        <v>129</v>
      </c>
    </row>
    <row r="168" spans="1:26" ht="12.75" customHeight="1" x14ac:dyDescent="0.35">
      <c r="A168">
        <v>167</v>
      </c>
      <c r="B168">
        <v>45883.76704392361</v>
      </c>
      <c r="D168" t="s">
        <v>937</v>
      </c>
      <c r="E168" t="s">
        <v>598</v>
      </c>
      <c r="F168" t="s">
        <v>33</v>
      </c>
      <c r="G168" t="s">
        <v>33</v>
      </c>
      <c r="H168" t="s">
        <v>33</v>
      </c>
      <c r="I168" t="s">
        <v>34</v>
      </c>
      <c r="J168" t="s">
        <v>34</v>
      </c>
      <c r="K168" t="s">
        <v>74</v>
      </c>
      <c r="L168" t="s">
        <v>46</v>
      </c>
      <c r="N168" t="s">
        <v>834</v>
      </c>
      <c r="O168" t="s">
        <v>48</v>
      </c>
      <c r="P168" t="s">
        <v>48</v>
      </c>
      <c r="Q168" t="s">
        <v>48</v>
      </c>
      <c r="R168" t="s">
        <v>938</v>
      </c>
      <c r="S168" t="s">
        <v>48</v>
      </c>
      <c r="T168" t="s">
        <v>939</v>
      </c>
      <c r="U168" t="s">
        <v>940</v>
      </c>
      <c r="V168" t="s">
        <v>53</v>
      </c>
      <c r="X168" t="s">
        <v>834</v>
      </c>
      <c r="Y168" t="s">
        <v>694</v>
      </c>
      <c r="Z168" t="s">
        <v>91</v>
      </c>
    </row>
    <row r="169" spans="1:26" ht="12.75" customHeight="1" x14ac:dyDescent="0.35">
      <c r="A169">
        <v>168</v>
      </c>
      <c r="B169">
        <v>45883.768663379626</v>
      </c>
      <c r="E169" t="s">
        <v>763</v>
      </c>
      <c r="F169" t="s">
        <v>344</v>
      </c>
      <c r="G169" t="s">
        <v>28</v>
      </c>
      <c r="H169" t="s">
        <v>60</v>
      </c>
      <c r="I169" t="s">
        <v>30</v>
      </c>
      <c r="J169" t="s">
        <v>34</v>
      </c>
      <c r="K169" t="s">
        <v>45</v>
      </c>
      <c r="L169" t="s">
        <v>46</v>
      </c>
      <c r="N169" t="s">
        <v>304</v>
      </c>
      <c r="O169" t="s">
        <v>49</v>
      </c>
      <c r="P169" t="s">
        <v>48</v>
      </c>
      <c r="Q169" t="s">
        <v>49</v>
      </c>
      <c r="R169" t="s">
        <v>941</v>
      </c>
      <c r="S169" t="s">
        <v>49</v>
      </c>
      <c r="T169" t="s">
        <v>942</v>
      </c>
      <c r="U169" t="s">
        <v>943</v>
      </c>
      <c r="V169" t="s">
        <v>53</v>
      </c>
      <c r="X169" t="s">
        <v>109</v>
      </c>
      <c r="Y169" t="s">
        <v>751</v>
      </c>
      <c r="Z169" t="s">
        <v>91</v>
      </c>
    </row>
    <row r="170" spans="1:26" ht="12.75" customHeight="1" x14ac:dyDescent="0.35">
      <c r="A170">
        <v>169</v>
      </c>
      <c r="B170">
        <v>45884.225852569449</v>
      </c>
      <c r="D170" t="s">
        <v>944</v>
      </c>
      <c r="E170" t="s">
        <v>598</v>
      </c>
      <c r="F170" t="s">
        <v>344</v>
      </c>
      <c r="G170" t="s">
        <v>196</v>
      </c>
      <c r="H170" t="s">
        <v>206</v>
      </c>
      <c r="I170" t="s">
        <v>30</v>
      </c>
      <c r="J170" t="s">
        <v>94</v>
      </c>
      <c r="K170" t="s">
        <v>94</v>
      </c>
      <c r="L170" t="s">
        <v>46</v>
      </c>
      <c r="N170" t="s">
        <v>945</v>
      </c>
      <c r="O170" t="s">
        <v>49</v>
      </c>
      <c r="P170" t="s">
        <v>49</v>
      </c>
      <c r="Q170" t="s">
        <v>49</v>
      </c>
      <c r="R170" t="s">
        <v>946</v>
      </c>
      <c r="S170" t="s">
        <v>49</v>
      </c>
      <c r="T170" t="s">
        <v>947</v>
      </c>
      <c r="U170" t="s">
        <v>948</v>
      </c>
      <c r="V170" t="s">
        <v>65</v>
      </c>
      <c r="X170" t="s">
        <v>949</v>
      </c>
      <c r="Y170" t="s">
        <v>950</v>
      </c>
      <c r="Z170" t="s">
        <v>129</v>
      </c>
    </row>
    <row r="171" spans="1:26" ht="12.75" customHeight="1" x14ac:dyDescent="0.35">
      <c r="A171">
        <v>170</v>
      </c>
      <c r="B171">
        <v>45884.228907581019</v>
      </c>
      <c r="D171" t="s">
        <v>951</v>
      </c>
      <c r="E171" t="s">
        <v>598</v>
      </c>
      <c r="F171" t="s">
        <v>344</v>
      </c>
      <c r="G171" t="s">
        <v>29</v>
      </c>
      <c r="H171" t="s">
        <v>29</v>
      </c>
      <c r="I171" t="s">
        <v>30</v>
      </c>
      <c r="J171" t="s">
        <v>30</v>
      </c>
      <c r="K171" t="s">
        <v>94</v>
      </c>
      <c r="L171" t="s">
        <v>46</v>
      </c>
      <c r="N171" t="s">
        <v>945</v>
      </c>
      <c r="O171" t="s">
        <v>49</v>
      </c>
      <c r="P171" t="s">
        <v>48</v>
      </c>
      <c r="Q171" t="s">
        <v>48</v>
      </c>
      <c r="R171" t="s">
        <v>952</v>
      </c>
      <c r="S171" t="s">
        <v>49</v>
      </c>
      <c r="T171" t="s">
        <v>953</v>
      </c>
      <c r="U171" t="s">
        <v>954</v>
      </c>
      <c r="V171" t="s">
        <v>79</v>
      </c>
      <c r="X171" t="s">
        <v>949</v>
      </c>
      <c r="Y171" t="s">
        <v>694</v>
      </c>
      <c r="Z171" t="s">
        <v>129</v>
      </c>
    </row>
    <row r="172" spans="1:26" ht="12.75" customHeight="1" x14ac:dyDescent="0.35">
      <c r="A172">
        <v>171</v>
      </c>
      <c r="B172">
        <v>45884.232115740742</v>
      </c>
      <c r="D172" t="s">
        <v>955</v>
      </c>
      <c r="E172" t="s">
        <v>598</v>
      </c>
      <c r="F172" t="s">
        <v>60</v>
      </c>
      <c r="G172" t="s">
        <v>60</v>
      </c>
      <c r="H172" t="s">
        <v>60</v>
      </c>
      <c r="I172" t="s">
        <v>173</v>
      </c>
      <c r="J172" t="s">
        <v>173</v>
      </c>
      <c r="K172" t="s">
        <v>368</v>
      </c>
      <c r="L172" t="s">
        <v>36</v>
      </c>
      <c r="N172" t="s">
        <v>956</v>
      </c>
      <c r="O172" t="s">
        <v>38</v>
      </c>
      <c r="P172" t="s">
        <v>38</v>
      </c>
      <c r="Q172" t="s">
        <v>38</v>
      </c>
      <c r="R172" t="s">
        <v>957</v>
      </c>
      <c r="S172" t="s">
        <v>38</v>
      </c>
      <c r="T172" t="s">
        <v>958</v>
      </c>
      <c r="U172" t="s">
        <v>959</v>
      </c>
      <c r="V172" t="s">
        <v>79</v>
      </c>
      <c r="X172" t="s">
        <v>949</v>
      </c>
      <c r="Y172" t="s">
        <v>960</v>
      </c>
      <c r="Z172" t="s">
        <v>91</v>
      </c>
    </row>
    <row r="173" spans="1:26" ht="12.75" customHeight="1" x14ac:dyDescent="0.35">
      <c r="A173">
        <v>172</v>
      </c>
      <c r="B173">
        <v>45884.23425922454</v>
      </c>
      <c r="D173" t="s">
        <v>961</v>
      </c>
      <c r="E173" t="s">
        <v>712</v>
      </c>
      <c r="F173" t="s">
        <v>71</v>
      </c>
      <c r="G173" t="s">
        <v>33</v>
      </c>
      <c r="H173" t="s">
        <v>73</v>
      </c>
      <c r="I173" t="s">
        <v>34</v>
      </c>
      <c r="J173" t="s">
        <v>34</v>
      </c>
      <c r="K173" t="s">
        <v>73</v>
      </c>
      <c r="L173" t="s">
        <v>36</v>
      </c>
      <c r="N173" t="s">
        <v>956</v>
      </c>
      <c r="O173" t="s">
        <v>48</v>
      </c>
      <c r="P173" t="s">
        <v>48</v>
      </c>
      <c r="Q173" t="s">
        <v>48</v>
      </c>
      <c r="R173" t="s">
        <v>962</v>
      </c>
      <c r="S173" t="s">
        <v>48</v>
      </c>
      <c r="T173" t="s">
        <v>963</v>
      </c>
      <c r="U173" t="s">
        <v>964</v>
      </c>
      <c r="V173" t="s">
        <v>65</v>
      </c>
      <c r="X173" t="s">
        <v>949</v>
      </c>
      <c r="Y173" t="s">
        <v>965</v>
      </c>
      <c r="Z173" t="s">
        <v>57</v>
      </c>
    </row>
    <row r="174" spans="1:26" ht="12.75" customHeight="1" x14ac:dyDescent="0.35">
      <c r="A174">
        <v>173</v>
      </c>
      <c r="B174">
        <v>45884.24055159722</v>
      </c>
      <c r="D174" t="s">
        <v>966</v>
      </c>
      <c r="E174" t="s">
        <v>598</v>
      </c>
      <c r="F174" t="s">
        <v>28</v>
      </c>
      <c r="G174" t="s">
        <v>28</v>
      </c>
      <c r="H174" t="s">
        <v>28</v>
      </c>
      <c r="I174" t="s">
        <v>28</v>
      </c>
      <c r="J174" t="s">
        <v>28</v>
      </c>
      <c r="K174" t="s">
        <v>28</v>
      </c>
      <c r="L174" t="s">
        <v>46</v>
      </c>
      <c r="N174" t="s">
        <v>967</v>
      </c>
      <c r="O174" t="s">
        <v>49</v>
      </c>
      <c r="P174" t="s">
        <v>49</v>
      </c>
      <c r="Q174" t="s">
        <v>49</v>
      </c>
      <c r="R174" t="s">
        <v>968</v>
      </c>
      <c r="S174" t="s">
        <v>49</v>
      </c>
      <c r="T174" t="s">
        <v>969</v>
      </c>
      <c r="U174" t="s">
        <v>970</v>
      </c>
      <c r="V174" t="s">
        <v>87</v>
      </c>
      <c r="X174" t="s">
        <v>949</v>
      </c>
      <c r="Y174" t="s">
        <v>694</v>
      </c>
      <c r="Z174" t="s">
        <v>91</v>
      </c>
    </row>
    <row r="175" spans="1:26" ht="12.75" customHeight="1" x14ac:dyDescent="0.35">
      <c r="A175">
        <v>174</v>
      </c>
      <c r="B175">
        <v>45884.245895868051</v>
      </c>
      <c r="D175" t="s">
        <v>971</v>
      </c>
      <c r="E175" t="s">
        <v>598</v>
      </c>
      <c r="F175" t="s">
        <v>71</v>
      </c>
      <c r="G175" t="s">
        <v>33</v>
      </c>
      <c r="H175" t="s">
        <v>73</v>
      </c>
      <c r="I175" t="s">
        <v>34</v>
      </c>
      <c r="J175" t="s">
        <v>34</v>
      </c>
      <c r="K175" t="s">
        <v>94</v>
      </c>
      <c r="L175" t="s">
        <v>36</v>
      </c>
      <c r="N175" t="s">
        <v>972</v>
      </c>
      <c r="O175" t="s">
        <v>49</v>
      </c>
      <c r="P175" t="s">
        <v>48</v>
      </c>
      <c r="Q175" t="s">
        <v>48</v>
      </c>
      <c r="R175" t="s">
        <v>973</v>
      </c>
      <c r="S175" t="s">
        <v>49</v>
      </c>
      <c r="T175" t="s">
        <v>974</v>
      </c>
      <c r="U175" t="s">
        <v>975</v>
      </c>
      <c r="V175" t="s">
        <v>65</v>
      </c>
      <c r="X175" t="s">
        <v>949</v>
      </c>
      <c r="Y175" t="s">
        <v>976</v>
      </c>
      <c r="Z175" t="s">
        <v>57</v>
      </c>
    </row>
    <row r="176" spans="1:26" ht="12.75" customHeight="1" x14ac:dyDescent="0.35">
      <c r="A176">
        <v>175</v>
      </c>
      <c r="B176">
        <v>45884.250402685182</v>
      </c>
      <c r="D176" t="s">
        <v>977</v>
      </c>
      <c r="E176" t="s">
        <v>598</v>
      </c>
      <c r="F176" t="s">
        <v>28</v>
      </c>
      <c r="G176" t="s">
        <v>28</v>
      </c>
      <c r="H176" t="s">
        <v>28</v>
      </c>
      <c r="I176" t="s">
        <v>28</v>
      </c>
      <c r="J176" t="s">
        <v>28</v>
      </c>
      <c r="K176" t="s">
        <v>28</v>
      </c>
      <c r="L176" t="s">
        <v>46</v>
      </c>
      <c r="N176" t="s">
        <v>956</v>
      </c>
      <c r="O176" t="s">
        <v>38</v>
      </c>
      <c r="P176" t="s">
        <v>38</v>
      </c>
      <c r="Q176" t="s">
        <v>38</v>
      </c>
      <c r="R176" t="s">
        <v>978</v>
      </c>
      <c r="S176" t="s">
        <v>38</v>
      </c>
      <c r="T176" t="s">
        <v>979</v>
      </c>
      <c r="U176" t="s">
        <v>980</v>
      </c>
      <c r="V176" t="s">
        <v>79</v>
      </c>
      <c r="X176" t="s">
        <v>949</v>
      </c>
      <c r="Y176" t="s">
        <v>981</v>
      </c>
      <c r="Z176" t="s">
        <v>91</v>
      </c>
    </row>
    <row r="177" spans="1:26" ht="12.75" customHeight="1" x14ac:dyDescent="0.35">
      <c r="A177">
        <v>176</v>
      </c>
      <c r="B177">
        <v>45884.255350613428</v>
      </c>
      <c r="D177" t="s">
        <v>982</v>
      </c>
      <c r="E177" t="s">
        <v>598</v>
      </c>
      <c r="F177" t="s">
        <v>28</v>
      </c>
      <c r="G177" t="s">
        <v>28</v>
      </c>
      <c r="H177" t="s">
        <v>28</v>
      </c>
      <c r="I177" t="s">
        <v>28</v>
      </c>
      <c r="J177" t="s">
        <v>28</v>
      </c>
      <c r="K177" t="s">
        <v>28</v>
      </c>
      <c r="L177" t="s">
        <v>46</v>
      </c>
      <c r="N177" t="s">
        <v>983</v>
      </c>
      <c r="O177" t="s">
        <v>49</v>
      </c>
      <c r="P177" t="s">
        <v>48</v>
      </c>
      <c r="Q177" t="s">
        <v>48</v>
      </c>
      <c r="R177" t="s">
        <v>984</v>
      </c>
      <c r="S177" t="s">
        <v>49</v>
      </c>
      <c r="T177" t="s">
        <v>985</v>
      </c>
      <c r="U177" t="s">
        <v>986</v>
      </c>
      <c r="V177" t="s">
        <v>65</v>
      </c>
      <c r="X177" t="s">
        <v>949</v>
      </c>
      <c r="Y177" t="s">
        <v>987</v>
      </c>
      <c r="Z177" t="s">
        <v>129</v>
      </c>
    </row>
    <row r="178" spans="1:26" ht="12.75" customHeight="1" x14ac:dyDescent="0.35">
      <c r="A178">
        <v>177</v>
      </c>
      <c r="B178">
        <v>45884.259254340279</v>
      </c>
      <c r="D178" t="s">
        <v>988</v>
      </c>
      <c r="E178" t="s">
        <v>598</v>
      </c>
      <c r="F178" t="s">
        <v>71</v>
      </c>
      <c r="G178" t="s">
        <v>72</v>
      </c>
      <c r="H178" t="s">
        <v>33</v>
      </c>
      <c r="I178" t="s">
        <v>34</v>
      </c>
      <c r="J178" t="s">
        <v>34</v>
      </c>
      <c r="K178" t="s">
        <v>74</v>
      </c>
      <c r="L178" t="s">
        <v>36</v>
      </c>
      <c r="N178" t="s">
        <v>983</v>
      </c>
      <c r="O178" t="s">
        <v>48</v>
      </c>
      <c r="P178" t="s">
        <v>48</v>
      </c>
      <c r="Q178" t="s">
        <v>48</v>
      </c>
      <c r="R178" t="s">
        <v>989</v>
      </c>
      <c r="S178" t="s">
        <v>48</v>
      </c>
      <c r="T178" t="s">
        <v>990</v>
      </c>
      <c r="U178" t="s">
        <v>991</v>
      </c>
      <c r="V178" t="s">
        <v>87</v>
      </c>
      <c r="X178" t="s">
        <v>949</v>
      </c>
      <c r="Y178" t="s">
        <v>992</v>
      </c>
      <c r="Z178" t="s">
        <v>91</v>
      </c>
    </row>
    <row r="179" spans="1:26" ht="12.75" customHeight="1" x14ac:dyDescent="0.35">
      <c r="A179">
        <v>178</v>
      </c>
      <c r="B179">
        <v>45884.264467534726</v>
      </c>
      <c r="D179" t="s">
        <v>993</v>
      </c>
      <c r="E179" t="s">
        <v>598</v>
      </c>
      <c r="F179" t="s">
        <v>28</v>
      </c>
      <c r="G179" t="s">
        <v>28</v>
      </c>
      <c r="H179" t="s">
        <v>28</v>
      </c>
      <c r="I179" t="s">
        <v>28</v>
      </c>
      <c r="J179" t="s">
        <v>28</v>
      </c>
      <c r="K179" t="s">
        <v>28</v>
      </c>
      <c r="L179" t="s">
        <v>36</v>
      </c>
      <c r="N179" t="s">
        <v>972</v>
      </c>
      <c r="O179" t="s">
        <v>49</v>
      </c>
      <c r="P179" t="s">
        <v>49</v>
      </c>
      <c r="Q179" t="s">
        <v>49</v>
      </c>
      <c r="R179" t="s">
        <v>994</v>
      </c>
      <c r="S179" t="s">
        <v>49</v>
      </c>
      <c r="T179" t="s">
        <v>995</v>
      </c>
      <c r="U179" t="s">
        <v>996</v>
      </c>
      <c r="V179" t="s">
        <v>87</v>
      </c>
      <c r="X179" t="s">
        <v>949</v>
      </c>
      <c r="Y179" t="s">
        <v>997</v>
      </c>
      <c r="Z179" t="s">
        <v>91</v>
      </c>
    </row>
    <row r="180" spans="1:26" ht="12.75" customHeight="1" x14ac:dyDescent="0.35">
      <c r="A180">
        <v>179</v>
      </c>
      <c r="B180">
        <v>45884.268538217591</v>
      </c>
      <c r="D180" t="s">
        <v>998</v>
      </c>
      <c r="E180" t="s">
        <v>598</v>
      </c>
      <c r="F180" t="s">
        <v>29</v>
      </c>
      <c r="G180" t="s">
        <v>29</v>
      </c>
      <c r="H180" t="s">
        <v>29</v>
      </c>
      <c r="I180" t="s">
        <v>30</v>
      </c>
      <c r="J180" t="s">
        <v>30</v>
      </c>
      <c r="K180" t="s">
        <v>61</v>
      </c>
      <c r="L180" t="s">
        <v>46</v>
      </c>
      <c r="N180" t="s">
        <v>967</v>
      </c>
      <c r="O180" t="s">
        <v>49</v>
      </c>
      <c r="P180" t="s">
        <v>49</v>
      </c>
      <c r="Q180" t="s">
        <v>49</v>
      </c>
      <c r="R180" t="s">
        <v>999</v>
      </c>
      <c r="S180" t="s">
        <v>49</v>
      </c>
      <c r="T180" t="s">
        <v>1000</v>
      </c>
      <c r="U180" t="s">
        <v>1001</v>
      </c>
      <c r="V180" t="s">
        <v>79</v>
      </c>
      <c r="X180" t="s">
        <v>949</v>
      </c>
      <c r="Y180" t="s">
        <v>688</v>
      </c>
      <c r="Z180" t="s">
        <v>129</v>
      </c>
    </row>
    <row r="181" spans="1:26" ht="12.75" customHeight="1" x14ac:dyDescent="0.35">
      <c r="A181">
        <v>180</v>
      </c>
      <c r="B181">
        <v>45884.27219851852</v>
      </c>
      <c r="D181" t="s">
        <v>1002</v>
      </c>
      <c r="E181" t="s">
        <v>598</v>
      </c>
      <c r="F181" t="s">
        <v>28</v>
      </c>
      <c r="G181" t="s">
        <v>28</v>
      </c>
      <c r="H181" t="s">
        <v>28</v>
      </c>
      <c r="I181" t="s">
        <v>28</v>
      </c>
      <c r="J181" t="s">
        <v>28</v>
      </c>
      <c r="K181" t="s">
        <v>28</v>
      </c>
      <c r="L181" t="s">
        <v>46</v>
      </c>
      <c r="N181" t="s">
        <v>967</v>
      </c>
      <c r="O181" t="s">
        <v>49</v>
      </c>
      <c r="P181" t="s">
        <v>49</v>
      </c>
      <c r="Q181" t="s">
        <v>49</v>
      </c>
      <c r="R181" t="s">
        <v>1003</v>
      </c>
      <c r="S181" t="s">
        <v>49</v>
      </c>
      <c r="T181" t="s">
        <v>1004</v>
      </c>
      <c r="U181" t="s">
        <v>1005</v>
      </c>
      <c r="V181" t="s">
        <v>87</v>
      </c>
      <c r="X181" t="s">
        <v>949</v>
      </c>
      <c r="Y181" t="s">
        <v>981</v>
      </c>
      <c r="Z181" t="s">
        <v>91</v>
      </c>
    </row>
    <row r="182" spans="1:26" ht="12.75" customHeight="1" x14ac:dyDescent="0.35">
      <c r="A182">
        <v>181</v>
      </c>
      <c r="B182">
        <v>45884.278325694446</v>
      </c>
      <c r="D182" t="s">
        <v>1006</v>
      </c>
      <c r="E182" t="s">
        <v>598</v>
      </c>
      <c r="F182" t="s">
        <v>28</v>
      </c>
      <c r="G182" t="s">
        <v>28</v>
      </c>
      <c r="H182" t="s">
        <v>28</v>
      </c>
      <c r="I182" t="s">
        <v>28</v>
      </c>
      <c r="J182" t="s">
        <v>28</v>
      </c>
      <c r="K182" t="s">
        <v>28</v>
      </c>
      <c r="L182" t="s">
        <v>46</v>
      </c>
      <c r="N182" t="s">
        <v>945</v>
      </c>
      <c r="O182" t="s">
        <v>48</v>
      </c>
      <c r="P182" t="s">
        <v>48</v>
      </c>
      <c r="Q182" t="s">
        <v>48</v>
      </c>
      <c r="R182" t="s">
        <v>1007</v>
      </c>
      <c r="S182" t="s">
        <v>48</v>
      </c>
      <c r="T182" t="s">
        <v>1008</v>
      </c>
      <c r="U182" t="s">
        <v>1009</v>
      </c>
      <c r="V182" t="s">
        <v>135</v>
      </c>
      <c r="X182" t="s">
        <v>949</v>
      </c>
      <c r="Y182" t="s">
        <v>694</v>
      </c>
      <c r="Z182" t="s">
        <v>129</v>
      </c>
    </row>
    <row r="183" spans="1:26" ht="12.75" customHeight="1" x14ac:dyDescent="0.35">
      <c r="A183">
        <v>182</v>
      </c>
      <c r="B183">
        <v>45884.282638622681</v>
      </c>
      <c r="D183" t="s">
        <v>1010</v>
      </c>
      <c r="E183" t="s">
        <v>598</v>
      </c>
      <c r="F183" t="s">
        <v>71</v>
      </c>
      <c r="G183" t="s">
        <v>33</v>
      </c>
      <c r="H183" t="s">
        <v>33</v>
      </c>
      <c r="I183" t="s">
        <v>34</v>
      </c>
      <c r="J183" t="s">
        <v>34</v>
      </c>
      <c r="K183" t="s">
        <v>73</v>
      </c>
      <c r="L183" t="s">
        <v>36</v>
      </c>
      <c r="N183" t="s">
        <v>983</v>
      </c>
      <c r="O183" t="s">
        <v>48</v>
      </c>
      <c r="P183" t="s">
        <v>48</v>
      </c>
      <c r="Q183" t="s">
        <v>48</v>
      </c>
      <c r="R183" t="s">
        <v>1011</v>
      </c>
      <c r="S183" t="s">
        <v>48</v>
      </c>
      <c r="T183" t="s">
        <v>1012</v>
      </c>
      <c r="U183" t="s">
        <v>1013</v>
      </c>
      <c r="V183" t="s">
        <v>135</v>
      </c>
      <c r="X183" t="s">
        <v>949</v>
      </c>
      <c r="Y183" t="s">
        <v>1014</v>
      </c>
      <c r="Z183" t="s">
        <v>129</v>
      </c>
    </row>
    <row r="184" spans="1:26" ht="12.75" customHeight="1" x14ac:dyDescent="0.35">
      <c r="A184">
        <v>183</v>
      </c>
      <c r="B184">
        <v>45884.286521516202</v>
      </c>
      <c r="D184" t="s">
        <v>1015</v>
      </c>
      <c r="E184" t="s">
        <v>598</v>
      </c>
      <c r="F184" t="s">
        <v>29</v>
      </c>
      <c r="G184" t="s">
        <v>29</v>
      </c>
      <c r="H184" t="s">
        <v>29</v>
      </c>
      <c r="I184" t="s">
        <v>30</v>
      </c>
      <c r="J184" t="s">
        <v>30</v>
      </c>
      <c r="K184" t="s">
        <v>61</v>
      </c>
      <c r="L184" t="s">
        <v>46</v>
      </c>
      <c r="N184" t="s">
        <v>1016</v>
      </c>
      <c r="O184" t="s">
        <v>49</v>
      </c>
      <c r="P184" t="s">
        <v>49</v>
      </c>
      <c r="Q184" t="s">
        <v>49</v>
      </c>
      <c r="R184" t="s">
        <v>1017</v>
      </c>
      <c r="S184" t="s">
        <v>49</v>
      </c>
      <c r="T184" t="s">
        <v>1018</v>
      </c>
      <c r="U184" t="s">
        <v>1019</v>
      </c>
      <c r="V184" t="s">
        <v>53</v>
      </c>
      <c r="X184" t="s">
        <v>949</v>
      </c>
      <c r="Y184" t="s">
        <v>694</v>
      </c>
      <c r="Z184" t="s">
        <v>129</v>
      </c>
    </row>
    <row r="185" spans="1:26" ht="12.75" customHeight="1" x14ac:dyDescent="0.35">
      <c r="A185">
        <v>184</v>
      </c>
      <c r="B185">
        <v>45884.294692129624</v>
      </c>
      <c r="D185" t="s">
        <v>1020</v>
      </c>
      <c r="E185" t="s">
        <v>598</v>
      </c>
      <c r="F185" t="s">
        <v>28</v>
      </c>
      <c r="G185" t="s">
        <v>28</v>
      </c>
      <c r="H185" t="s">
        <v>28</v>
      </c>
      <c r="I185" t="s">
        <v>28</v>
      </c>
      <c r="J185" t="s">
        <v>28</v>
      </c>
      <c r="K185" t="s">
        <v>28</v>
      </c>
      <c r="L185" t="s">
        <v>46</v>
      </c>
      <c r="N185" t="s">
        <v>956</v>
      </c>
      <c r="O185" t="s">
        <v>49</v>
      </c>
      <c r="P185" t="s">
        <v>49</v>
      </c>
      <c r="Q185" t="s">
        <v>49</v>
      </c>
      <c r="R185" t="s">
        <v>1021</v>
      </c>
      <c r="S185" t="s">
        <v>49</v>
      </c>
      <c r="T185" t="s">
        <v>1022</v>
      </c>
      <c r="U185" t="s">
        <v>1023</v>
      </c>
      <c r="V185" t="s">
        <v>65</v>
      </c>
      <c r="X185" t="s">
        <v>949</v>
      </c>
      <c r="Y185" t="s">
        <v>694</v>
      </c>
      <c r="Z185" t="s">
        <v>129</v>
      </c>
    </row>
    <row r="186" spans="1:26" ht="12.75" customHeight="1" x14ac:dyDescent="0.35">
      <c r="A186">
        <v>185</v>
      </c>
      <c r="B186">
        <v>45884.429307719911</v>
      </c>
      <c r="D186" t="s">
        <v>1024</v>
      </c>
      <c r="E186" t="s">
        <v>1025</v>
      </c>
      <c r="F186" t="s">
        <v>28</v>
      </c>
      <c r="G186" t="s">
        <v>28</v>
      </c>
      <c r="H186" t="s">
        <v>157</v>
      </c>
      <c r="I186" t="s">
        <v>103</v>
      </c>
      <c r="J186" t="s">
        <v>28</v>
      </c>
      <c r="K186" t="s">
        <v>45</v>
      </c>
      <c r="L186" t="s">
        <v>36</v>
      </c>
      <c r="N186" t="s">
        <v>1026</v>
      </c>
      <c r="O186" t="s">
        <v>48</v>
      </c>
      <c r="P186" t="s">
        <v>48</v>
      </c>
      <c r="Q186" t="s">
        <v>49</v>
      </c>
      <c r="R186" t="s">
        <v>1027</v>
      </c>
      <c r="T186" t="s">
        <v>1028</v>
      </c>
      <c r="U186" t="s">
        <v>1029</v>
      </c>
      <c r="V186" t="s">
        <v>53</v>
      </c>
      <c r="X186" t="s">
        <v>1030</v>
      </c>
      <c r="Y186" t="s">
        <v>1031</v>
      </c>
      <c r="Z186" t="s">
        <v>170</v>
      </c>
    </row>
    <row r="187" spans="1:26" ht="12.75" customHeight="1" x14ac:dyDescent="0.35">
      <c r="A187">
        <v>186</v>
      </c>
      <c r="B187">
        <v>45884.438145798616</v>
      </c>
      <c r="D187" t="s">
        <v>1032</v>
      </c>
      <c r="E187" t="s">
        <v>1033</v>
      </c>
      <c r="F187" t="s">
        <v>71</v>
      </c>
      <c r="G187" t="s">
        <v>196</v>
      </c>
      <c r="H187" t="s">
        <v>28</v>
      </c>
      <c r="I187" t="s">
        <v>158</v>
      </c>
      <c r="J187" t="s">
        <v>28</v>
      </c>
      <c r="K187" t="s">
        <v>28</v>
      </c>
      <c r="L187" t="s">
        <v>46</v>
      </c>
      <c r="N187" t="s">
        <v>1034</v>
      </c>
      <c r="O187" t="s">
        <v>48</v>
      </c>
      <c r="P187" t="s">
        <v>48</v>
      </c>
      <c r="Q187" t="s">
        <v>49</v>
      </c>
      <c r="R187" t="s">
        <v>1035</v>
      </c>
      <c r="S187" t="s">
        <v>49</v>
      </c>
      <c r="T187" t="s">
        <v>1036</v>
      </c>
      <c r="U187" t="s">
        <v>1037</v>
      </c>
      <c r="V187" t="s">
        <v>79</v>
      </c>
      <c r="X187" t="s">
        <v>1038</v>
      </c>
      <c r="Y187" t="s">
        <v>1039</v>
      </c>
      <c r="Z187" t="s">
        <v>91</v>
      </c>
    </row>
    <row r="188" spans="1:26" ht="12.75" customHeight="1" x14ac:dyDescent="0.35">
      <c r="A188">
        <v>187</v>
      </c>
      <c r="B188">
        <v>45884.440741099534</v>
      </c>
      <c r="D188" t="s">
        <v>1040</v>
      </c>
      <c r="E188" t="s">
        <v>1041</v>
      </c>
      <c r="F188" t="s">
        <v>28</v>
      </c>
      <c r="G188" t="s">
        <v>60</v>
      </c>
      <c r="H188" t="s">
        <v>206</v>
      </c>
      <c r="I188" t="s">
        <v>173</v>
      </c>
      <c r="J188" t="s">
        <v>173</v>
      </c>
      <c r="K188" t="s">
        <v>28</v>
      </c>
      <c r="L188" t="s">
        <v>36</v>
      </c>
      <c r="N188" t="s">
        <v>1042</v>
      </c>
      <c r="O188" t="s">
        <v>48</v>
      </c>
      <c r="P188" t="s">
        <v>49</v>
      </c>
      <c r="Q188" t="s">
        <v>40</v>
      </c>
      <c r="R188" t="s">
        <v>1043</v>
      </c>
      <c r="S188" t="s">
        <v>38</v>
      </c>
      <c r="T188" t="s">
        <v>1044</v>
      </c>
      <c r="U188" t="s">
        <v>1045</v>
      </c>
      <c r="V188" t="s">
        <v>79</v>
      </c>
      <c r="X188" t="s">
        <v>1046</v>
      </c>
      <c r="Y188" t="s">
        <v>1047</v>
      </c>
      <c r="Z188" t="s">
        <v>91</v>
      </c>
    </row>
    <row r="189" spans="1:26" ht="12.75" customHeight="1" x14ac:dyDescent="0.35">
      <c r="A189">
        <v>188</v>
      </c>
      <c r="B189">
        <v>45884.441735289351</v>
      </c>
      <c r="D189" t="s">
        <v>1048</v>
      </c>
      <c r="E189" t="s">
        <v>1049</v>
      </c>
      <c r="F189" t="s">
        <v>28</v>
      </c>
      <c r="G189" t="s">
        <v>60</v>
      </c>
      <c r="H189" t="s">
        <v>29</v>
      </c>
      <c r="I189" t="s">
        <v>173</v>
      </c>
      <c r="J189" t="s">
        <v>173</v>
      </c>
      <c r="K189" t="s">
        <v>28</v>
      </c>
      <c r="L189" t="s">
        <v>46</v>
      </c>
      <c r="N189" t="s">
        <v>1050</v>
      </c>
      <c r="O189" t="s">
        <v>49</v>
      </c>
      <c r="P189" t="s">
        <v>49</v>
      </c>
      <c r="Q189" t="s">
        <v>38</v>
      </c>
      <c r="R189" t="s">
        <v>1051</v>
      </c>
      <c r="S189" t="s">
        <v>38</v>
      </c>
      <c r="T189" t="s">
        <v>1052</v>
      </c>
      <c r="U189" t="s">
        <v>1053</v>
      </c>
      <c r="V189" t="s">
        <v>87</v>
      </c>
      <c r="X189" t="s">
        <v>1046</v>
      </c>
      <c r="Y189" t="s">
        <v>1054</v>
      </c>
      <c r="Z189" t="s">
        <v>170</v>
      </c>
    </row>
    <row r="190" spans="1:26" ht="12.75" customHeight="1" x14ac:dyDescent="0.35">
      <c r="A190">
        <v>189</v>
      </c>
      <c r="B190">
        <v>45884.443185856479</v>
      </c>
      <c r="D190" t="s">
        <v>1055</v>
      </c>
      <c r="E190" t="s">
        <v>1056</v>
      </c>
      <c r="F190" t="s">
        <v>28</v>
      </c>
      <c r="G190" t="s">
        <v>60</v>
      </c>
      <c r="H190" t="s">
        <v>28</v>
      </c>
      <c r="I190" t="s">
        <v>103</v>
      </c>
      <c r="J190" t="s">
        <v>28</v>
      </c>
      <c r="K190" t="s">
        <v>28</v>
      </c>
      <c r="L190" t="s">
        <v>36</v>
      </c>
      <c r="N190" t="s">
        <v>1057</v>
      </c>
      <c r="O190" t="s">
        <v>49</v>
      </c>
      <c r="P190" t="s">
        <v>48</v>
      </c>
      <c r="Q190" t="s">
        <v>38</v>
      </c>
      <c r="R190" t="s">
        <v>1058</v>
      </c>
      <c r="S190" t="s">
        <v>38</v>
      </c>
      <c r="T190" t="s">
        <v>1059</v>
      </c>
      <c r="U190" t="s">
        <v>1060</v>
      </c>
      <c r="V190" t="s">
        <v>65</v>
      </c>
      <c r="X190" t="s">
        <v>1046</v>
      </c>
      <c r="Y190" t="s">
        <v>1061</v>
      </c>
      <c r="Z190" t="s">
        <v>129</v>
      </c>
    </row>
    <row r="191" spans="1:26" ht="12.75" customHeight="1" x14ac:dyDescent="0.35">
      <c r="A191">
        <v>190</v>
      </c>
      <c r="B191">
        <v>45884.443957951386</v>
      </c>
      <c r="D191" t="s">
        <v>1062</v>
      </c>
      <c r="E191" t="s">
        <v>1063</v>
      </c>
      <c r="F191" t="s">
        <v>344</v>
      </c>
      <c r="G191" t="s">
        <v>28</v>
      </c>
      <c r="H191" t="s">
        <v>157</v>
      </c>
      <c r="I191" t="s">
        <v>28</v>
      </c>
      <c r="J191" t="s">
        <v>28</v>
      </c>
      <c r="K191" t="s">
        <v>28</v>
      </c>
      <c r="L191" t="s">
        <v>36</v>
      </c>
      <c r="N191" t="s">
        <v>1064</v>
      </c>
      <c r="O191" t="s">
        <v>49</v>
      </c>
      <c r="P191" t="s">
        <v>49</v>
      </c>
      <c r="Q191" t="s">
        <v>49</v>
      </c>
      <c r="R191" t="s">
        <v>1065</v>
      </c>
      <c r="S191" t="s">
        <v>49</v>
      </c>
      <c r="T191" t="s">
        <v>1066</v>
      </c>
      <c r="U191" t="s">
        <v>1067</v>
      </c>
      <c r="V191" t="s">
        <v>65</v>
      </c>
      <c r="X191" t="s">
        <v>1030</v>
      </c>
      <c r="Y191" t="s">
        <v>1068</v>
      </c>
      <c r="Z191" t="s">
        <v>129</v>
      </c>
    </row>
    <row r="192" spans="1:26" ht="12.75" customHeight="1" x14ac:dyDescent="0.35">
      <c r="A192">
        <v>191</v>
      </c>
      <c r="B192">
        <v>45884.444100960653</v>
      </c>
      <c r="D192" t="s">
        <v>1069</v>
      </c>
      <c r="E192" t="s">
        <v>1070</v>
      </c>
      <c r="F192" t="s">
        <v>28</v>
      </c>
      <c r="G192" t="s">
        <v>60</v>
      </c>
      <c r="H192" t="s">
        <v>28</v>
      </c>
      <c r="I192" t="s">
        <v>173</v>
      </c>
      <c r="J192" t="s">
        <v>28</v>
      </c>
      <c r="K192" t="s">
        <v>368</v>
      </c>
      <c r="L192" t="s">
        <v>46</v>
      </c>
      <c r="N192" t="s">
        <v>1071</v>
      </c>
      <c r="O192" t="s">
        <v>48</v>
      </c>
      <c r="P192" t="s">
        <v>48</v>
      </c>
      <c r="Q192" t="s">
        <v>38</v>
      </c>
      <c r="R192" t="s">
        <v>1072</v>
      </c>
      <c r="S192" t="s">
        <v>48</v>
      </c>
      <c r="T192" t="s">
        <v>1073</v>
      </c>
      <c r="U192" t="s">
        <v>1074</v>
      </c>
      <c r="V192" t="s">
        <v>79</v>
      </c>
      <c r="X192" t="s">
        <v>1046</v>
      </c>
      <c r="Y192" t="s">
        <v>1075</v>
      </c>
      <c r="Z192" t="s">
        <v>91</v>
      </c>
    </row>
    <row r="193" spans="1:26" ht="12.75" customHeight="1" x14ac:dyDescent="0.35">
      <c r="A193">
        <v>192</v>
      </c>
      <c r="B193">
        <v>45884.444226493055</v>
      </c>
      <c r="D193" t="s">
        <v>1076</v>
      </c>
      <c r="E193" t="s">
        <v>1077</v>
      </c>
      <c r="F193" t="s">
        <v>344</v>
      </c>
      <c r="G193" t="s">
        <v>29</v>
      </c>
      <c r="H193" t="s">
        <v>60</v>
      </c>
      <c r="I193" t="s">
        <v>34</v>
      </c>
      <c r="J193" t="s">
        <v>34</v>
      </c>
      <c r="K193" t="s">
        <v>35</v>
      </c>
      <c r="L193" t="s">
        <v>36</v>
      </c>
      <c r="N193" t="s">
        <v>1078</v>
      </c>
      <c r="O193" t="s">
        <v>49</v>
      </c>
      <c r="P193" t="s">
        <v>48</v>
      </c>
      <c r="Q193" t="s">
        <v>38</v>
      </c>
      <c r="R193" t="s">
        <v>1079</v>
      </c>
      <c r="S193" t="s">
        <v>38</v>
      </c>
      <c r="T193" t="s">
        <v>1080</v>
      </c>
      <c r="U193" t="s">
        <v>1081</v>
      </c>
      <c r="V193" t="s">
        <v>65</v>
      </c>
      <c r="X193" t="s">
        <v>1082</v>
      </c>
      <c r="Y193" t="s">
        <v>1083</v>
      </c>
      <c r="Z193" t="s">
        <v>170</v>
      </c>
    </row>
    <row r="194" spans="1:26" ht="12.75" customHeight="1" x14ac:dyDescent="0.35">
      <c r="A194">
        <v>193</v>
      </c>
      <c r="B194">
        <v>45884.445362615741</v>
      </c>
      <c r="D194" t="s">
        <v>1084</v>
      </c>
      <c r="E194" t="s">
        <v>1085</v>
      </c>
      <c r="F194" t="s">
        <v>28</v>
      </c>
      <c r="G194" t="s">
        <v>60</v>
      </c>
      <c r="H194" t="s">
        <v>28</v>
      </c>
      <c r="I194" t="s">
        <v>173</v>
      </c>
      <c r="J194" t="s">
        <v>28</v>
      </c>
      <c r="K194" t="s">
        <v>368</v>
      </c>
      <c r="L194" t="s">
        <v>36</v>
      </c>
      <c r="N194" t="s">
        <v>1086</v>
      </c>
      <c r="O194" t="s">
        <v>48</v>
      </c>
      <c r="P194" t="s">
        <v>49</v>
      </c>
      <c r="Q194" t="s">
        <v>40</v>
      </c>
      <c r="R194" t="s">
        <v>1087</v>
      </c>
      <c r="S194" t="s">
        <v>49</v>
      </c>
      <c r="T194" t="s">
        <v>1088</v>
      </c>
      <c r="U194" t="s">
        <v>1089</v>
      </c>
      <c r="V194" t="s">
        <v>53</v>
      </c>
      <c r="X194" t="s">
        <v>1046</v>
      </c>
      <c r="Y194" t="s">
        <v>1090</v>
      </c>
      <c r="Z194" t="s">
        <v>129</v>
      </c>
    </row>
    <row r="195" spans="1:26" ht="12.75" customHeight="1" x14ac:dyDescent="0.35">
      <c r="A195">
        <v>194</v>
      </c>
      <c r="B195">
        <v>45884.446169270828</v>
      </c>
      <c r="D195" t="s">
        <v>1091</v>
      </c>
      <c r="E195" t="s">
        <v>1092</v>
      </c>
      <c r="F195" t="s">
        <v>28</v>
      </c>
      <c r="G195" t="s">
        <v>60</v>
      </c>
      <c r="H195" t="s">
        <v>28</v>
      </c>
      <c r="I195" t="s">
        <v>30</v>
      </c>
      <c r="J195" t="s">
        <v>28</v>
      </c>
      <c r="K195" t="s">
        <v>368</v>
      </c>
      <c r="L195" t="s">
        <v>46</v>
      </c>
      <c r="N195" t="s">
        <v>1093</v>
      </c>
      <c r="O195" t="s">
        <v>49</v>
      </c>
      <c r="P195" t="s">
        <v>48</v>
      </c>
      <c r="Q195" t="s">
        <v>38</v>
      </c>
      <c r="R195" t="s">
        <v>1094</v>
      </c>
      <c r="S195" t="s">
        <v>49</v>
      </c>
      <c r="T195" t="s">
        <v>1095</v>
      </c>
      <c r="U195" t="s">
        <v>1096</v>
      </c>
      <c r="V195" t="s">
        <v>53</v>
      </c>
      <c r="X195" t="s">
        <v>1046</v>
      </c>
      <c r="Y195" t="s">
        <v>1097</v>
      </c>
      <c r="Z195" t="s">
        <v>129</v>
      </c>
    </row>
    <row r="196" spans="1:26" ht="12.75" customHeight="1" x14ac:dyDescent="0.35">
      <c r="A196">
        <v>195</v>
      </c>
      <c r="B196">
        <v>45884.447009537034</v>
      </c>
      <c r="D196" t="s">
        <v>1098</v>
      </c>
      <c r="E196" t="s">
        <v>1099</v>
      </c>
      <c r="F196" t="s">
        <v>28</v>
      </c>
      <c r="G196" t="s">
        <v>60</v>
      </c>
      <c r="H196" t="s">
        <v>28</v>
      </c>
      <c r="I196" t="s">
        <v>30</v>
      </c>
      <c r="J196" t="s">
        <v>34</v>
      </c>
      <c r="K196" t="s">
        <v>45</v>
      </c>
      <c r="L196" t="s">
        <v>36</v>
      </c>
      <c r="N196" t="s">
        <v>1100</v>
      </c>
      <c r="O196" t="s">
        <v>48</v>
      </c>
      <c r="P196" t="s">
        <v>48</v>
      </c>
      <c r="Q196" t="s">
        <v>40</v>
      </c>
      <c r="R196" t="s">
        <v>1101</v>
      </c>
      <c r="S196" t="s">
        <v>40</v>
      </c>
      <c r="T196" t="s">
        <v>1102</v>
      </c>
      <c r="U196" t="s">
        <v>1103</v>
      </c>
      <c r="V196" t="s">
        <v>87</v>
      </c>
      <c r="X196" t="s">
        <v>1046</v>
      </c>
      <c r="Y196" t="s">
        <v>1104</v>
      </c>
      <c r="Z196" t="s">
        <v>170</v>
      </c>
    </row>
    <row r="197" spans="1:26" ht="12.75" customHeight="1" x14ac:dyDescent="0.35">
      <c r="A197">
        <v>196</v>
      </c>
      <c r="B197">
        <v>45884.448313703702</v>
      </c>
      <c r="D197" t="s">
        <v>1105</v>
      </c>
      <c r="E197" t="s">
        <v>1106</v>
      </c>
      <c r="F197" t="s">
        <v>28</v>
      </c>
      <c r="G197" t="s">
        <v>60</v>
      </c>
      <c r="H197" t="s">
        <v>28</v>
      </c>
      <c r="I197" t="s">
        <v>28</v>
      </c>
      <c r="J197" t="s">
        <v>28</v>
      </c>
      <c r="K197" t="s">
        <v>28</v>
      </c>
      <c r="L197" t="s">
        <v>46</v>
      </c>
      <c r="N197" t="s">
        <v>1107</v>
      </c>
      <c r="O197" t="s">
        <v>49</v>
      </c>
      <c r="P197" t="s">
        <v>48</v>
      </c>
      <c r="Q197" t="s">
        <v>49</v>
      </c>
      <c r="R197" t="s">
        <v>1067</v>
      </c>
      <c r="S197" t="s">
        <v>48</v>
      </c>
      <c r="T197" t="s">
        <v>1108</v>
      </c>
      <c r="U197" t="s">
        <v>1109</v>
      </c>
      <c r="V197" t="s">
        <v>53</v>
      </c>
      <c r="X197" t="s">
        <v>1030</v>
      </c>
      <c r="Y197" t="s">
        <v>1110</v>
      </c>
      <c r="Z197" t="s">
        <v>129</v>
      </c>
    </row>
    <row r="198" spans="1:26" ht="12.75" customHeight="1" x14ac:dyDescent="0.35">
      <c r="A198">
        <v>197</v>
      </c>
      <c r="B198">
        <v>45884.448434456019</v>
      </c>
      <c r="D198" t="s">
        <v>1111</v>
      </c>
      <c r="E198" t="s">
        <v>1112</v>
      </c>
      <c r="F198" t="s">
        <v>449</v>
      </c>
      <c r="G198" t="s">
        <v>60</v>
      </c>
      <c r="H198" t="s">
        <v>44</v>
      </c>
      <c r="I198" t="s">
        <v>173</v>
      </c>
      <c r="J198" t="s">
        <v>173</v>
      </c>
      <c r="K198" t="s">
        <v>94</v>
      </c>
      <c r="L198" t="s">
        <v>46</v>
      </c>
      <c r="N198" t="s">
        <v>1113</v>
      </c>
      <c r="O198" t="s">
        <v>49</v>
      </c>
      <c r="P198" t="s">
        <v>48</v>
      </c>
      <c r="Q198" t="s">
        <v>38</v>
      </c>
      <c r="R198" t="s">
        <v>1114</v>
      </c>
      <c r="S198" t="s">
        <v>49</v>
      </c>
      <c r="T198" t="s">
        <v>1115</v>
      </c>
      <c r="U198" t="s">
        <v>1116</v>
      </c>
      <c r="V198" t="s">
        <v>53</v>
      </c>
      <c r="X198" t="s">
        <v>1082</v>
      </c>
      <c r="Y198" t="s">
        <v>1117</v>
      </c>
      <c r="Z198" t="s">
        <v>91</v>
      </c>
    </row>
    <row r="199" spans="1:26" ht="12.75" customHeight="1" x14ac:dyDescent="0.35">
      <c r="A199">
        <v>198</v>
      </c>
      <c r="B199">
        <v>45884.449118495366</v>
      </c>
      <c r="D199" t="s">
        <v>1118</v>
      </c>
      <c r="E199" t="s">
        <v>1119</v>
      </c>
      <c r="F199" t="s">
        <v>28</v>
      </c>
      <c r="G199" t="s">
        <v>29</v>
      </c>
      <c r="H199" t="s">
        <v>60</v>
      </c>
      <c r="I199" t="s">
        <v>30</v>
      </c>
      <c r="J199" t="s">
        <v>30</v>
      </c>
      <c r="K199" t="s">
        <v>45</v>
      </c>
      <c r="L199" t="s">
        <v>46</v>
      </c>
      <c r="N199" t="s">
        <v>1120</v>
      </c>
      <c r="O199" t="s">
        <v>48</v>
      </c>
      <c r="P199" t="s">
        <v>48</v>
      </c>
      <c r="Q199" t="s">
        <v>38</v>
      </c>
      <c r="R199" t="s">
        <v>1121</v>
      </c>
      <c r="S199" t="s">
        <v>38</v>
      </c>
      <c r="T199" t="s">
        <v>1122</v>
      </c>
      <c r="U199" t="s">
        <v>1123</v>
      </c>
      <c r="V199" t="s">
        <v>135</v>
      </c>
      <c r="X199" t="s">
        <v>1046</v>
      </c>
      <c r="Y199" t="s">
        <v>704</v>
      </c>
      <c r="Z199" t="s">
        <v>91</v>
      </c>
    </row>
    <row r="200" spans="1:26" ht="12.75" customHeight="1" x14ac:dyDescent="0.35">
      <c r="A200">
        <v>199</v>
      </c>
      <c r="B200">
        <v>45884.45024612268</v>
      </c>
      <c r="D200" t="s">
        <v>1124</v>
      </c>
      <c r="E200" t="s">
        <v>1125</v>
      </c>
      <c r="F200" t="s">
        <v>28</v>
      </c>
      <c r="G200" t="s">
        <v>44</v>
      </c>
      <c r="H200" t="s">
        <v>28</v>
      </c>
      <c r="I200" t="s">
        <v>173</v>
      </c>
      <c r="J200" t="s">
        <v>103</v>
      </c>
      <c r="K200" t="s">
        <v>368</v>
      </c>
      <c r="L200" t="s">
        <v>36</v>
      </c>
      <c r="N200" t="s">
        <v>1126</v>
      </c>
      <c r="O200" t="s">
        <v>48</v>
      </c>
      <c r="P200" t="s">
        <v>48</v>
      </c>
      <c r="Q200" t="s">
        <v>38</v>
      </c>
      <c r="R200" t="s">
        <v>1127</v>
      </c>
      <c r="S200" t="s">
        <v>49</v>
      </c>
      <c r="T200" t="s">
        <v>1128</v>
      </c>
      <c r="U200" t="s">
        <v>1129</v>
      </c>
      <c r="V200" t="s">
        <v>79</v>
      </c>
      <c r="X200" t="s">
        <v>1046</v>
      </c>
      <c r="Y200" t="s">
        <v>965</v>
      </c>
      <c r="Z200" t="s">
        <v>129</v>
      </c>
    </row>
    <row r="201" spans="1:26" ht="12.75" customHeight="1" x14ac:dyDescent="0.35">
      <c r="A201">
        <v>200</v>
      </c>
      <c r="B201">
        <v>45884.451609016207</v>
      </c>
      <c r="D201" t="s">
        <v>1130</v>
      </c>
      <c r="E201" t="s">
        <v>1131</v>
      </c>
      <c r="F201" t="s">
        <v>449</v>
      </c>
      <c r="G201" t="s">
        <v>60</v>
      </c>
      <c r="H201" t="s">
        <v>60</v>
      </c>
      <c r="I201" t="s">
        <v>30</v>
      </c>
      <c r="J201" t="s">
        <v>173</v>
      </c>
      <c r="K201" t="s">
        <v>45</v>
      </c>
      <c r="L201" t="s">
        <v>46</v>
      </c>
      <c r="N201" t="s">
        <v>1132</v>
      </c>
      <c r="O201" t="s">
        <v>49</v>
      </c>
      <c r="P201" t="s">
        <v>48</v>
      </c>
      <c r="Q201" t="s">
        <v>38</v>
      </c>
      <c r="R201" t="s">
        <v>1133</v>
      </c>
      <c r="S201" t="s">
        <v>49</v>
      </c>
      <c r="T201" t="s">
        <v>1134</v>
      </c>
      <c r="U201" t="s">
        <v>1135</v>
      </c>
      <c r="V201" t="s">
        <v>53</v>
      </c>
      <c r="X201" t="s">
        <v>1046</v>
      </c>
      <c r="Y201" t="s">
        <v>694</v>
      </c>
      <c r="Z201" t="s">
        <v>129</v>
      </c>
    </row>
    <row r="202" spans="1:26" ht="12.75" customHeight="1" x14ac:dyDescent="0.35">
      <c r="A202">
        <v>201</v>
      </c>
      <c r="B202">
        <v>45884.452876469906</v>
      </c>
      <c r="D202" t="s">
        <v>1136</v>
      </c>
      <c r="E202" t="s">
        <v>1137</v>
      </c>
      <c r="F202" t="s">
        <v>28</v>
      </c>
      <c r="G202" t="s">
        <v>44</v>
      </c>
      <c r="H202" t="s">
        <v>284</v>
      </c>
      <c r="I202" t="s">
        <v>173</v>
      </c>
      <c r="J202" t="s">
        <v>28</v>
      </c>
      <c r="K202" t="s">
        <v>368</v>
      </c>
      <c r="L202" t="s">
        <v>36</v>
      </c>
      <c r="N202" t="s">
        <v>1042</v>
      </c>
      <c r="O202" t="s">
        <v>48</v>
      </c>
      <c r="P202" t="s">
        <v>48</v>
      </c>
      <c r="Q202" t="s">
        <v>38</v>
      </c>
      <c r="R202" t="s">
        <v>1138</v>
      </c>
      <c r="S202" t="s">
        <v>48</v>
      </c>
      <c r="T202" t="s">
        <v>1139</v>
      </c>
      <c r="U202" t="s">
        <v>1140</v>
      </c>
      <c r="V202" t="s">
        <v>135</v>
      </c>
      <c r="X202" t="s">
        <v>1046</v>
      </c>
      <c r="Y202" t="s">
        <v>1141</v>
      </c>
      <c r="Z202" t="s">
        <v>91</v>
      </c>
    </row>
    <row r="203" spans="1:26" ht="12.75" customHeight="1" x14ac:dyDescent="0.35">
      <c r="A203">
        <v>202</v>
      </c>
      <c r="B203">
        <v>45884.453605856485</v>
      </c>
      <c r="D203" t="s">
        <v>1142</v>
      </c>
      <c r="E203" t="s">
        <v>1143</v>
      </c>
      <c r="F203" t="s">
        <v>449</v>
      </c>
      <c r="G203" t="s">
        <v>158</v>
      </c>
      <c r="H203" t="s">
        <v>28</v>
      </c>
      <c r="I203" t="s">
        <v>28</v>
      </c>
      <c r="J203" t="s">
        <v>28</v>
      </c>
      <c r="K203" t="s">
        <v>28</v>
      </c>
      <c r="L203" t="s">
        <v>36</v>
      </c>
      <c r="N203" t="s">
        <v>1144</v>
      </c>
      <c r="O203" t="s">
        <v>38</v>
      </c>
      <c r="P203" t="s">
        <v>38</v>
      </c>
      <c r="Q203" t="s">
        <v>38</v>
      </c>
      <c r="R203" t="s">
        <v>1145</v>
      </c>
      <c r="S203" t="s">
        <v>49</v>
      </c>
      <c r="T203" t="s">
        <v>1146</v>
      </c>
      <c r="U203" t="s">
        <v>1147</v>
      </c>
      <c r="V203" t="s">
        <v>79</v>
      </c>
      <c r="X203" t="s">
        <v>1030</v>
      </c>
      <c r="Y203" t="s">
        <v>1061</v>
      </c>
      <c r="Z203" t="s">
        <v>57</v>
      </c>
    </row>
    <row r="204" spans="1:26" ht="12.75" customHeight="1" x14ac:dyDescent="0.35">
      <c r="A204">
        <v>203</v>
      </c>
      <c r="B204">
        <v>45884.45633976852</v>
      </c>
      <c r="D204" t="s">
        <v>1148</v>
      </c>
      <c r="E204" t="s">
        <v>1112</v>
      </c>
      <c r="F204" t="s">
        <v>44</v>
      </c>
      <c r="G204" t="s">
        <v>60</v>
      </c>
      <c r="H204" t="s">
        <v>60</v>
      </c>
      <c r="I204" t="s">
        <v>173</v>
      </c>
      <c r="J204" t="s">
        <v>173</v>
      </c>
      <c r="K204" t="s">
        <v>45</v>
      </c>
      <c r="L204" t="s">
        <v>46</v>
      </c>
      <c r="N204" t="s">
        <v>1050</v>
      </c>
      <c r="O204" t="s">
        <v>48</v>
      </c>
      <c r="P204" t="s">
        <v>49</v>
      </c>
      <c r="Q204" t="s">
        <v>38</v>
      </c>
      <c r="R204" t="s">
        <v>1149</v>
      </c>
      <c r="S204" t="s">
        <v>38</v>
      </c>
      <c r="T204" t="s">
        <v>1150</v>
      </c>
      <c r="U204" t="s">
        <v>1151</v>
      </c>
      <c r="V204" t="s">
        <v>135</v>
      </c>
      <c r="X204" t="s">
        <v>1046</v>
      </c>
      <c r="Y204" t="s">
        <v>1152</v>
      </c>
      <c r="Z204" t="s">
        <v>170</v>
      </c>
    </row>
    <row r="205" spans="1:26" ht="12.75" customHeight="1" x14ac:dyDescent="0.35">
      <c r="A205">
        <v>204</v>
      </c>
      <c r="B205">
        <v>45884.457267881946</v>
      </c>
      <c r="D205" t="s">
        <v>1153</v>
      </c>
      <c r="E205" t="s">
        <v>1154</v>
      </c>
      <c r="F205" t="s">
        <v>28</v>
      </c>
      <c r="G205" t="s">
        <v>28</v>
      </c>
      <c r="H205" t="s">
        <v>284</v>
      </c>
      <c r="I205" t="s">
        <v>28</v>
      </c>
      <c r="J205" t="s">
        <v>45</v>
      </c>
      <c r="K205" t="s">
        <v>368</v>
      </c>
      <c r="L205" t="s">
        <v>36</v>
      </c>
      <c r="N205" t="s">
        <v>1100</v>
      </c>
      <c r="O205" t="s">
        <v>48</v>
      </c>
      <c r="P205" t="s">
        <v>48</v>
      </c>
      <c r="Q205" t="s">
        <v>38</v>
      </c>
      <c r="R205" t="s">
        <v>1155</v>
      </c>
      <c r="S205" t="s">
        <v>48</v>
      </c>
      <c r="T205" t="s">
        <v>1156</v>
      </c>
      <c r="U205" t="s">
        <v>1157</v>
      </c>
      <c r="V205" t="s">
        <v>87</v>
      </c>
      <c r="X205" t="s">
        <v>1046</v>
      </c>
      <c r="Y205" t="s">
        <v>1158</v>
      </c>
      <c r="Z205" t="s">
        <v>170</v>
      </c>
    </row>
    <row r="206" spans="1:26" ht="12.75" customHeight="1" x14ac:dyDescent="0.35">
      <c r="A206">
        <v>205</v>
      </c>
      <c r="B206">
        <v>45884.458301550927</v>
      </c>
      <c r="D206" t="s">
        <v>1159</v>
      </c>
      <c r="E206" t="s">
        <v>1160</v>
      </c>
      <c r="F206" t="s">
        <v>28</v>
      </c>
      <c r="G206" t="s">
        <v>60</v>
      </c>
      <c r="H206" t="s">
        <v>28</v>
      </c>
      <c r="I206" t="s">
        <v>34</v>
      </c>
      <c r="J206" t="s">
        <v>30</v>
      </c>
      <c r="K206" t="s">
        <v>28</v>
      </c>
      <c r="L206" t="s">
        <v>46</v>
      </c>
      <c r="N206" t="s">
        <v>1042</v>
      </c>
      <c r="O206" t="s">
        <v>49</v>
      </c>
      <c r="P206" t="s">
        <v>48</v>
      </c>
      <c r="Q206" t="s">
        <v>40</v>
      </c>
      <c r="R206" t="s">
        <v>1161</v>
      </c>
      <c r="S206" t="s">
        <v>38</v>
      </c>
      <c r="T206" t="s">
        <v>1162</v>
      </c>
      <c r="U206" t="s">
        <v>1163</v>
      </c>
      <c r="V206" t="s">
        <v>53</v>
      </c>
      <c r="X206" t="s">
        <v>1046</v>
      </c>
      <c r="Y206" t="s">
        <v>1097</v>
      </c>
      <c r="Z206" t="s">
        <v>129</v>
      </c>
    </row>
    <row r="207" spans="1:26" ht="12.75" customHeight="1" x14ac:dyDescent="0.35">
      <c r="A207">
        <v>206</v>
      </c>
      <c r="B207">
        <v>45884.460542106477</v>
      </c>
      <c r="D207" t="s">
        <v>1164</v>
      </c>
      <c r="E207" t="s">
        <v>1085</v>
      </c>
      <c r="F207" t="s">
        <v>28</v>
      </c>
      <c r="G207" t="s">
        <v>197</v>
      </c>
      <c r="H207" t="s">
        <v>28</v>
      </c>
      <c r="I207" t="s">
        <v>197</v>
      </c>
      <c r="J207" t="s">
        <v>28</v>
      </c>
      <c r="K207" t="s">
        <v>368</v>
      </c>
      <c r="L207" t="s">
        <v>36</v>
      </c>
      <c r="N207" t="s">
        <v>1086</v>
      </c>
      <c r="O207" t="s">
        <v>49</v>
      </c>
      <c r="P207" t="s">
        <v>49</v>
      </c>
      <c r="Q207" t="s">
        <v>48</v>
      </c>
      <c r="R207" t="s">
        <v>1165</v>
      </c>
      <c r="S207" t="s">
        <v>49</v>
      </c>
      <c r="T207" t="s">
        <v>1166</v>
      </c>
      <c r="U207" t="s">
        <v>1167</v>
      </c>
      <c r="V207" t="s">
        <v>53</v>
      </c>
      <c r="X207" t="s">
        <v>1046</v>
      </c>
      <c r="Y207" t="s">
        <v>976</v>
      </c>
      <c r="Z207" t="s">
        <v>91</v>
      </c>
    </row>
    <row r="208" spans="1:26" ht="12.75" customHeight="1" x14ac:dyDescent="0.35">
      <c r="A208">
        <v>207</v>
      </c>
      <c r="B208">
        <v>45884.461460023143</v>
      </c>
      <c r="D208" t="s">
        <v>1168</v>
      </c>
      <c r="E208" t="s">
        <v>1169</v>
      </c>
      <c r="F208" t="s">
        <v>377</v>
      </c>
      <c r="G208" t="s">
        <v>44</v>
      </c>
      <c r="H208" t="s">
        <v>60</v>
      </c>
      <c r="I208" t="s">
        <v>30</v>
      </c>
      <c r="J208" t="s">
        <v>103</v>
      </c>
      <c r="K208" t="s">
        <v>28</v>
      </c>
      <c r="L208" t="s">
        <v>36</v>
      </c>
      <c r="N208" t="s">
        <v>1170</v>
      </c>
      <c r="O208" t="s">
        <v>49</v>
      </c>
      <c r="P208" t="s">
        <v>38</v>
      </c>
      <c r="Q208" t="s">
        <v>49</v>
      </c>
      <c r="R208" t="s">
        <v>1171</v>
      </c>
      <c r="S208" t="s">
        <v>38</v>
      </c>
      <c r="T208" t="s">
        <v>1172</v>
      </c>
      <c r="U208" t="s">
        <v>1173</v>
      </c>
      <c r="V208" t="s">
        <v>53</v>
      </c>
      <c r="X208" t="s">
        <v>1030</v>
      </c>
      <c r="Y208" t="s">
        <v>1174</v>
      </c>
      <c r="Z208" t="s">
        <v>91</v>
      </c>
    </row>
    <row r="209" spans="1:26" ht="12.75" customHeight="1" x14ac:dyDescent="0.35">
      <c r="A209">
        <v>208</v>
      </c>
      <c r="B209">
        <v>45884.462581793981</v>
      </c>
      <c r="D209" t="s">
        <v>1175</v>
      </c>
      <c r="E209" t="s">
        <v>1176</v>
      </c>
      <c r="F209" t="s">
        <v>28</v>
      </c>
      <c r="G209" t="s">
        <v>197</v>
      </c>
      <c r="H209" t="s">
        <v>28</v>
      </c>
      <c r="I209" t="s">
        <v>158</v>
      </c>
      <c r="J209" t="s">
        <v>28</v>
      </c>
      <c r="K209" t="s">
        <v>292</v>
      </c>
      <c r="L209" t="s">
        <v>46</v>
      </c>
      <c r="N209" t="s">
        <v>1093</v>
      </c>
      <c r="O209" t="s">
        <v>49</v>
      </c>
      <c r="P209" t="s">
        <v>48</v>
      </c>
      <c r="Q209" t="s">
        <v>49</v>
      </c>
      <c r="R209" t="s">
        <v>1177</v>
      </c>
      <c r="S209" t="s">
        <v>49</v>
      </c>
      <c r="T209" t="s">
        <v>1178</v>
      </c>
      <c r="U209" t="s">
        <v>1179</v>
      </c>
      <c r="V209" t="s">
        <v>135</v>
      </c>
      <c r="X209" t="s">
        <v>1046</v>
      </c>
      <c r="Y209" t="s">
        <v>694</v>
      </c>
      <c r="Z209" t="s">
        <v>91</v>
      </c>
    </row>
    <row r="210" spans="1:26" ht="12.75" customHeight="1" x14ac:dyDescent="0.35">
      <c r="A210">
        <v>209</v>
      </c>
      <c r="B210">
        <v>45884.463502037033</v>
      </c>
      <c r="D210" t="s">
        <v>1180</v>
      </c>
      <c r="E210" t="s">
        <v>1099</v>
      </c>
      <c r="F210" t="s">
        <v>28</v>
      </c>
      <c r="G210" t="s">
        <v>60</v>
      </c>
      <c r="H210" t="s">
        <v>284</v>
      </c>
      <c r="I210" t="s">
        <v>30</v>
      </c>
      <c r="J210" t="s">
        <v>28</v>
      </c>
      <c r="K210" t="s">
        <v>94</v>
      </c>
      <c r="L210" t="s">
        <v>36</v>
      </c>
      <c r="N210" t="s">
        <v>1120</v>
      </c>
      <c r="O210" t="s">
        <v>48</v>
      </c>
      <c r="P210" t="s">
        <v>48</v>
      </c>
      <c r="Q210" t="s">
        <v>39</v>
      </c>
      <c r="R210" t="s">
        <v>1181</v>
      </c>
      <c r="S210" t="s">
        <v>48</v>
      </c>
      <c r="T210" t="s">
        <v>1182</v>
      </c>
      <c r="U210" t="s">
        <v>1183</v>
      </c>
      <c r="V210" t="s">
        <v>135</v>
      </c>
      <c r="X210" t="s">
        <v>1046</v>
      </c>
      <c r="Y210" t="s">
        <v>1184</v>
      </c>
      <c r="Z210" t="s">
        <v>170</v>
      </c>
    </row>
    <row r="211" spans="1:26" ht="12.75" customHeight="1" x14ac:dyDescent="0.35">
      <c r="A211">
        <v>210</v>
      </c>
      <c r="B211">
        <v>45884.463543182872</v>
      </c>
      <c r="D211" t="s">
        <v>1185</v>
      </c>
      <c r="E211" t="s">
        <v>1186</v>
      </c>
      <c r="F211" t="s">
        <v>449</v>
      </c>
      <c r="G211" t="s">
        <v>197</v>
      </c>
      <c r="H211" t="s">
        <v>29</v>
      </c>
      <c r="I211" t="s">
        <v>30</v>
      </c>
      <c r="J211" t="s">
        <v>30</v>
      </c>
      <c r="K211" t="s">
        <v>61</v>
      </c>
      <c r="L211" t="s">
        <v>36</v>
      </c>
      <c r="N211" t="s">
        <v>1187</v>
      </c>
      <c r="O211" t="s">
        <v>48</v>
      </c>
      <c r="P211" t="s">
        <v>48</v>
      </c>
      <c r="Q211" t="s">
        <v>48</v>
      </c>
      <c r="R211" t="s">
        <v>1188</v>
      </c>
      <c r="S211" t="s">
        <v>49</v>
      </c>
      <c r="T211" t="s">
        <v>1189</v>
      </c>
      <c r="U211" t="s">
        <v>1190</v>
      </c>
      <c r="V211" t="s">
        <v>53</v>
      </c>
      <c r="X211" t="s">
        <v>1082</v>
      </c>
      <c r="Y211" t="s">
        <v>1047</v>
      </c>
      <c r="Z211" t="s">
        <v>91</v>
      </c>
    </row>
    <row r="212" spans="1:26" ht="12.75" customHeight="1" x14ac:dyDescent="0.35">
      <c r="A212">
        <v>211</v>
      </c>
      <c r="B212">
        <v>45884.465491354167</v>
      </c>
      <c r="D212" t="s">
        <v>1191</v>
      </c>
      <c r="E212" t="s">
        <v>1192</v>
      </c>
      <c r="F212" t="s">
        <v>28</v>
      </c>
      <c r="G212" t="s">
        <v>60</v>
      </c>
      <c r="H212" t="s">
        <v>284</v>
      </c>
      <c r="I212" t="s">
        <v>30</v>
      </c>
      <c r="J212" t="s">
        <v>368</v>
      </c>
      <c r="K212" t="s">
        <v>94</v>
      </c>
      <c r="L212" t="s">
        <v>46</v>
      </c>
      <c r="N212" t="s">
        <v>1071</v>
      </c>
      <c r="O212" t="s">
        <v>48</v>
      </c>
      <c r="P212" t="s">
        <v>48</v>
      </c>
      <c r="Q212" t="s">
        <v>38</v>
      </c>
      <c r="R212" t="s">
        <v>1193</v>
      </c>
      <c r="S212" t="s">
        <v>49</v>
      </c>
      <c r="T212" t="s">
        <v>1194</v>
      </c>
      <c r="U212" t="s">
        <v>1195</v>
      </c>
      <c r="V212" t="s">
        <v>53</v>
      </c>
      <c r="X212" t="s">
        <v>1046</v>
      </c>
      <c r="Y212" t="s">
        <v>704</v>
      </c>
      <c r="Z212" t="s">
        <v>129</v>
      </c>
    </row>
    <row r="213" spans="1:26" ht="12.75" customHeight="1" x14ac:dyDescent="0.35">
      <c r="A213">
        <v>212</v>
      </c>
      <c r="B213">
        <v>45884.467066724537</v>
      </c>
      <c r="D213" t="s">
        <v>1196</v>
      </c>
      <c r="E213" t="s">
        <v>1143</v>
      </c>
      <c r="F213" t="s">
        <v>28</v>
      </c>
      <c r="G213" t="s">
        <v>60</v>
      </c>
      <c r="H213" t="s">
        <v>28</v>
      </c>
      <c r="I213" t="s">
        <v>173</v>
      </c>
      <c r="J213" t="s">
        <v>28</v>
      </c>
      <c r="K213" t="s">
        <v>94</v>
      </c>
      <c r="L213" t="s">
        <v>36</v>
      </c>
      <c r="N213" t="s">
        <v>1042</v>
      </c>
      <c r="O213" t="s">
        <v>49</v>
      </c>
      <c r="P213" t="s">
        <v>49</v>
      </c>
      <c r="Q213" t="s">
        <v>40</v>
      </c>
      <c r="R213" t="s">
        <v>1197</v>
      </c>
      <c r="S213" t="s">
        <v>48</v>
      </c>
      <c r="T213" t="s">
        <v>1198</v>
      </c>
      <c r="U213" t="s">
        <v>1199</v>
      </c>
      <c r="V213" t="s">
        <v>87</v>
      </c>
      <c r="X213" t="s">
        <v>1046</v>
      </c>
      <c r="Y213" t="s">
        <v>1061</v>
      </c>
      <c r="Z213" t="s">
        <v>91</v>
      </c>
    </row>
    <row r="214" spans="1:26" ht="12.75" customHeight="1" x14ac:dyDescent="0.35">
      <c r="A214">
        <v>213</v>
      </c>
      <c r="B214">
        <v>45884.467587199077</v>
      </c>
      <c r="D214" t="s">
        <v>1130</v>
      </c>
      <c r="E214" t="s">
        <v>1200</v>
      </c>
      <c r="F214" t="s">
        <v>28</v>
      </c>
      <c r="G214" t="s">
        <v>60</v>
      </c>
      <c r="H214" t="s">
        <v>157</v>
      </c>
      <c r="I214" t="s">
        <v>28</v>
      </c>
      <c r="J214" t="s">
        <v>173</v>
      </c>
      <c r="K214" t="s">
        <v>292</v>
      </c>
      <c r="L214" t="s">
        <v>46</v>
      </c>
      <c r="N214" t="s">
        <v>1201</v>
      </c>
      <c r="O214" t="s">
        <v>49</v>
      </c>
      <c r="P214" t="s">
        <v>49</v>
      </c>
      <c r="Q214" t="s">
        <v>38</v>
      </c>
      <c r="R214" t="s">
        <v>1202</v>
      </c>
      <c r="S214" t="s">
        <v>38</v>
      </c>
      <c r="T214" t="s">
        <v>1203</v>
      </c>
      <c r="U214" t="s">
        <v>1204</v>
      </c>
      <c r="V214" t="s">
        <v>87</v>
      </c>
      <c r="X214" t="s">
        <v>1030</v>
      </c>
      <c r="Y214" t="s">
        <v>1075</v>
      </c>
      <c r="Z214" t="s">
        <v>170</v>
      </c>
    </row>
    <row r="215" spans="1:26" ht="12.75" customHeight="1" x14ac:dyDescent="0.35">
      <c r="A215">
        <v>214</v>
      </c>
      <c r="B215">
        <v>45884.469002592596</v>
      </c>
      <c r="D215" t="s">
        <v>1205</v>
      </c>
      <c r="E215" t="s">
        <v>1206</v>
      </c>
      <c r="F215" t="s">
        <v>28</v>
      </c>
      <c r="G215" t="s">
        <v>60</v>
      </c>
      <c r="H215" t="s">
        <v>29</v>
      </c>
      <c r="I215" t="s">
        <v>30</v>
      </c>
      <c r="J215" t="s">
        <v>30</v>
      </c>
      <c r="K215" t="s">
        <v>28</v>
      </c>
      <c r="L215" t="s">
        <v>46</v>
      </c>
      <c r="N215" t="s">
        <v>1207</v>
      </c>
      <c r="O215" t="s">
        <v>48</v>
      </c>
      <c r="P215" t="s">
        <v>48</v>
      </c>
      <c r="Q215" t="s">
        <v>38</v>
      </c>
      <c r="R215" t="s">
        <v>1208</v>
      </c>
      <c r="S215" t="s">
        <v>49</v>
      </c>
      <c r="T215" t="s">
        <v>1209</v>
      </c>
      <c r="U215" t="s">
        <v>1210</v>
      </c>
      <c r="V215" t="s">
        <v>53</v>
      </c>
      <c r="X215" t="s">
        <v>1046</v>
      </c>
      <c r="Y215" t="s">
        <v>1075</v>
      </c>
      <c r="Z215" t="s">
        <v>129</v>
      </c>
    </row>
    <row r="216" spans="1:26" ht="12.75" customHeight="1" x14ac:dyDescent="0.35">
      <c r="A216">
        <v>215</v>
      </c>
      <c r="B216">
        <v>45884.47078974537</v>
      </c>
      <c r="D216" t="s">
        <v>1211</v>
      </c>
      <c r="E216" t="s">
        <v>1212</v>
      </c>
      <c r="F216" t="s">
        <v>28</v>
      </c>
      <c r="G216" t="s">
        <v>29</v>
      </c>
      <c r="H216" t="s">
        <v>29</v>
      </c>
      <c r="I216" t="s">
        <v>34</v>
      </c>
      <c r="J216" t="s">
        <v>34</v>
      </c>
      <c r="K216" t="s">
        <v>368</v>
      </c>
      <c r="L216" t="s">
        <v>46</v>
      </c>
      <c r="N216" t="s">
        <v>1213</v>
      </c>
      <c r="O216" t="s">
        <v>49</v>
      </c>
      <c r="P216" t="s">
        <v>48</v>
      </c>
      <c r="Q216" t="s">
        <v>38</v>
      </c>
      <c r="R216" t="s">
        <v>1214</v>
      </c>
      <c r="S216" t="s">
        <v>40</v>
      </c>
      <c r="T216" t="s">
        <v>1215</v>
      </c>
      <c r="U216" t="s">
        <v>1216</v>
      </c>
      <c r="V216" t="s">
        <v>79</v>
      </c>
      <c r="X216" t="s">
        <v>1082</v>
      </c>
      <c r="Y216" t="s">
        <v>1097</v>
      </c>
      <c r="Z216" t="s">
        <v>129</v>
      </c>
    </row>
    <row r="217" spans="1:26" ht="12.75" customHeight="1" x14ac:dyDescent="0.35">
      <c r="A217">
        <v>216</v>
      </c>
      <c r="B217">
        <v>45884.473617025462</v>
      </c>
      <c r="D217" t="s">
        <v>1217</v>
      </c>
      <c r="E217" t="s">
        <v>1218</v>
      </c>
      <c r="F217" t="s">
        <v>28</v>
      </c>
      <c r="G217" t="s">
        <v>28</v>
      </c>
      <c r="H217" t="s">
        <v>157</v>
      </c>
      <c r="I217" t="s">
        <v>158</v>
      </c>
      <c r="J217" t="s">
        <v>28</v>
      </c>
      <c r="K217" t="s">
        <v>28</v>
      </c>
      <c r="L217" t="s">
        <v>36</v>
      </c>
      <c r="N217" t="s">
        <v>1219</v>
      </c>
      <c r="O217" t="s">
        <v>49</v>
      </c>
      <c r="P217" t="s">
        <v>49</v>
      </c>
      <c r="Q217" t="s">
        <v>38</v>
      </c>
      <c r="R217" t="s">
        <v>1220</v>
      </c>
      <c r="S217" t="s">
        <v>49</v>
      </c>
      <c r="T217" t="s">
        <v>1221</v>
      </c>
      <c r="U217" t="s">
        <v>1222</v>
      </c>
      <c r="V217" t="s">
        <v>53</v>
      </c>
      <c r="X217" t="s">
        <v>1030</v>
      </c>
      <c r="Y217" t="s">
        <v>759</v>
      </c>
      <c r="Z217" t="s">
        <v>170</v>
      </c>
    </row>
    <row r="218" spans="1:26" ht="12.75" customHeight="1" x14ac:dyDescent="0.35">
      <c r="A218">
        <v>217</v>
      </c>
      <c r="B218">
        <v>45884.476679236112</v>
      </c>
      <c r="D218" t="s">
        <v>1223</v>
      </c>
      <c r="E218" t="s">
        <v>1143</v>
      </c>
      <c r="F218" t="s">
        <v>344</v>
      </c>
      <c r="G218" t="s">
        <v>29</v>
      </c>
      <c r="H218" t="s">
        <v>206</v>
      </c>
      <c r="I218" t="s">
        <v>30</v>
      </c>
      <c r="J218" t="s">
        <v>103</v>
      </c>
      <c r="K218" t="s">
        <v>94</v>
      </c>
      <c r="L218" t="s">
        <v>46</v>
      </c>
      <c r="N218" t="s">
        <v>1224</v>
      </c>
      <c r="O218" t="s">
        <v>49</v>
      </c>
      <c r="P218" t="s">
        <v>48</v>
      </c>
      <c r="Q218" t="s">
        <v>38</v>
      </c>
      <c r="R218" t="s">
        <v>1225</v>
      </c>
      <c r="S218" t="s">
        <v>48</v>
      </c>
      <c r="T218" t="s">
        <v>1226</v>
      </c>
      <c r="U218" t="s">
        <v>1227</v>
      </c>
      <c r="V218" t="s">
        <v>87</v>
      </c>
      <c r="X218" t="s">
        <v>1082</v>
      </c>
      <c r="Y218" t="s">
        <v>1061</v>
      </c>
      <c r="Z218" t="s">
        <v>129</v>
      </c>
    </row>
    <row r="219" spans="1:26" ht="12.75" customHeight="1" x14ac:dyDescent="0.35">
      <c r="A219">
        <v>218</v>
      </c>
      <c r="B219">
        <v>45884.48025414352</v>
      </c>
      <c r="D219" t="s">
        <v>1228</v>
      </c>
      <c r="E219" t="s">
        <v>1229</v>
      </c>
      <c r="F219" t="s">
        <v>28</v>
      </c>
      <c r="G219" t="s">
        <v>60</v>
      </c>
      <c r="H219" t="s">
        <v>284</v>
      </c>
      <c r="I219" t="s">
        <v>103</v>
      </c>
      <c r="J219" t="s">
        <v>28</v>
      </c>
      <c r="K219" t="s">
        <v>292</v>
      </c>
      <c r="L219" t="s">
        <v>46</v>
      </c>
      <c r="N219" t="s">
        <v>1230</v>
      </c>
      <c r="O219" t="s">
        <v>49</v>
      </c>
      <c r="Q219" t="s">
        <v>49</v>
      </c>
      <c r="R219" t="s">
        <v>1231</v>
      </c>
      <c r="S219" t="s">
        <v>49</v>
      </c>
      <c r="T219" t="s">
        <v>1232</v>
      </c>
      <c r="U219" t="s">
        <v>1233</v>
      </c>
      <c r="V219" t="s">
        <v>87</v>
      </c>
      <c r="W219" t="s">
        <v>1234</v>
      </c>
      <c r="X219" t="s">
        <v>1030</v>
      </c>
      <c r="Y219" t="s">
        <v>1235</v>
      </c>
      <c r="Z219" t="s">
        <v>170</v>
      </c>
    </row>
    <row r="220" spans="1:26" ht="12.75" customHeight="1" x14ac:dyDescent="0.35">
      <c r="A220">
        <v>219</v>
      </c>
      <c r="B220">
        <v>45884.481703668978</v>
      </c>
      <c r="D220" t="s">
        <v>1236</v>
      </c>
      <c r="E220" t="s">
        <v>1237</v>
      </c>
      <c r="F220" t="s">
        <v>28</v>
      </c>
      <c r="G220" t="s">
        <v>196</v>
      </c>
      <c r="H220" t="s">
        <v>157</v>
      </c>
      <c r="I220" t="s">
        <v>197</v>
      </c>
      <c r="J220" t="s">
        <v>173</v>
      </c>
      <c r="K220" t="s">
        <v>73</v>
      </c>
      <c r="L220" t="s">
        <v>46</v>
      </c>
      <c r="N220" t="s">
        <v>1238</v>
      </c>
      <c r="O220" t="s">
        <v>49</v>
      </c>
      <c r="P220" t="s">
        <v>49</v>
      </c>
      <c r="Q220" t="s">
        <v>48</v>
      </c>
      <c r="R220" t="s">
        <v>1239</v>
      </c>
      <c r="S220" t="s">
        <v>49</v>
      </c>
      <c r="T220" t="s">
        <v>1240</v>
      </c>
      <c r="U220" t="s">
        <v>1241</v>
      </c>
      <c r="V220" t="s">
        <v>87</v>
      </c>
      <c r="X220" t="s">
        <v>1082</v>
      </c>
      <c r="Y220" t="s">
        <v>1075</v>
      </c>
      <c r="Z220" t="s">
        <v>91</v>
      </c>
    </row>
    <row r="221" spans="1:26" ht="12.75" customHeight="1" x14ac:dyDescent="0.35">
      <c r="A221">
        <v>220</v>
      </c>
      <c r="B221">
        <v>45884.484759050931</v>
      </c>
      <c r="D221" t="s">
        <v>1242</v>
      </c>
      <c r="E221" t="s">
        <v>1243</v>
      </c>
      <c r="F221" t="s">
        <v>71</v>
      </c>
      <c r="G221" t="s">
        <v>28</v>
      </c>
      <c r="H221" t="s">
        <v>157</v>
      </c>
      <c r="I221" t="s">
        <v>103</v>
      </c>
      <c r="J221" t="s">
        <v>45</v>
      </c>
      <c r="K221" t="s">
        <v>28</v>
      </c>
      <c r="L221" t="s">
        <v>36</v>
      </c>
      <c r="N221" t="s">
        <v>1244</v>
      </c>
      <c r="O221" t="s">
        <v>49</v>
      </c>
      <c r="P221" t="s">
        <v>49</v>
      </c>
      <c r="Q221" t="s">
        <v>49</v>
      </c>
      <c r="R221" t="s">
        <v>1245</v>
      </c>
      <c r="S221" t="s">
        <v>49</v>
      </c>
      <c r="T221" t="s">
        <v>1246</v>
      </c>
      <c r="U221" t="s">
        <v>1247</v>
      </c>
      <c r="V221" t="s">
        <v>65</v>
      </c>
      <c r="W221" t="s">
        <v>1248</v>
      </c>
      <c r="X221" t="s">
        <v>1030</v>
      </c>
      <c r="Y221" t="s">
        <v>1249</v>
      </c>
      <c r="Z221" t="s">
        <v>129</v>
      </c>
    </row>
    <row r="222" spans="1:26" ht="12.75" customHeight="1" x14ac:dyDescent="0.35">
      <c r="A222">
        <v>221</v>
      </c>
      <c r="B222">
        <v>45884.484944421296</v>
      </c>
      <c r="D222" t="s">
        <v>1250</v>
      </c>
      <c r="E222" t="s">
        <v>1085</v>
      </c>
      <c r="F222" t="s">
        <v>449</v>
      </c>
      <c r="G222" t="s">
        <v>28</v>
      </c>
      <c r="H222" t="s">
        <v>29</v>
      </c>
      <c r="I222" t="s">
        <v>103</v>
      </c>
      <c r="J222" t="s">
        <v>173</v>
      </c>
      <c r="K222" t="s">
        <v>61</v>
      </c>
      <c r="L222" t="s">
        <v>36</v>
      </c>
      <c r="N222" t="s">
        <v>1251</v>
      </c>
      <c r="O222" t="s">
        <v>49</v>
      </c>
      <c r="P222" t="s">
        <v>49</v>
      </c>
      <c r="Q222" t="s">
        <v>48</v>
      </c>
      <c r="R222" t="s">
        <v>1252</v>
      </c>
      <c r="S222" t="s">
        <v>49</v>
      </c>
      <c r="T222" t="s">
        <v>1253</v>
      </c>
      <c r="U222" t="s">
        <v>1254</v>
      </c>
      <c r="V222" t="s">
        <v>53</v>
      </c>
      <c r="X222" t="s">
        <v>1082</v>
      </c>
      <c r="Y222" t="s">
        <v>1090</v>
      </c>
      <c r="Z222" t="s">
        <v>129</v>
      </c>
    </row>
    <row r="223" spans="1:26" ht="12.75" customHeight="1" x14ac:dyDescent="0.35">
      <c r="A223">
        <v>222</v>
      </c>
      <c r="B223">
        <v>45884.489555532404</v>
      </c>
      <c r="D223" t="s">
        <v>1255</v>
      </c>
      <c r="E223" t="s">
        <v>1256</v>
      </c>
      <c r="F223" t="s">
        <v>28</v>
      </c>
      <c r="G223" t="s">
        <v>28</v>
      </c>
      <c r="H223" t="s">
        <v>28</v>
      </c>
      <c r="I223" t="s">
        <v>28</v>
      </c>
      <c r="J223" t="s">
        <v>28</v>
      </c>
      <c r="K223" t="s">
        <v>28</v>
      </c>
      <c r="L223" t="s">
        <v>46</v>
      </c>
      <c r="N223" t="s">
        <v>1257</v>
      </c>
      <c r="O223" t="s">
        <v>49</v>
      </c>
      <c r="P223" t="s">
        <v>38</v>
      </c>
      <c r="Q223" t="s">
        <v>49</v>
      </c>
      <c r="R223" t="s">
        <v>1258</v>
      </c>
      <c r="S223" t="s">
        <v>38</v>
      </c>
      <c r="T223" t="s">
        <v>1258</v>
      </c>
      <c r="U223" t="s">
        <v>1259</v>
      </c>
      <c r="V223" t="s">
        <v>87</v>
      </c>
      <c r="X223" t="s">
        <v>1030</v>
      </c>
      <c r="Y223" t="s">
        <v>1260</v>
      </c>
      <c r="Z223" t="s">
        <v>91</v>
      </c>
    </row>
    <row r="224" spans="1:26" ht="12.75" customHeight="1" x14ac:dyDescent="0.35">
      <c r="A224">
        <v>223</v>
      </c>
      <c r="B224">
        <v>45884.494313750001</v>
      </c>
      <c r="D224" t="s">
        <v>1261</v>
      </c>
      <c r="E224" t="s">
        <v>1262</v>
      </c>
      <c r="F224" t="s">
        <v>28</v>
      </c>
      <c r="G224" t="s">
        <v>28</v>
      </c>
      <c r="H224" t="s">
        <v>28</v>
      </c>
      <c r="I224" t="s">
        <v>28</v>
      </c>
      <c r="J224" t="s">
        <v>28</v>
      </c>
      <c r="K224" t="s">
        <v>28</v>
      </c>
      <c r="L224" t="s">
        <v>36</v>
      </c>
      <c r="N224" t="s">
        <v>1263</v>
      </c>
      <c r="O224" t="s">
        <v>49</v>
      </c>
      <c r="P224" t="s">
        <v>49</v>
      </c>
      <c r="Q224" t="s">
        <v>49</v>
      </c>
      <c r="R224" t="s">
        <v>1264</v>
      </c>
      <c r="S224" t="s">
        <v>49</v>
      </c>
      <c r="T224" t="s">
        <v>1265</v>
      </c>
      <c r="U224" t="s">
        <v>1266</v>
      </c>
      <c r="V224" t="s">
        <v>135</v>
      </c>
      <c r="W224" t="s">
        <v>1267</v>
      </c>
      <c r="X224" t="s">
        <v>1030</v>
      </c>
      <c r="Y224" t="s">
        <v>1268</v>
      </c>
      <c r="Z224" t="s">
        <v>129</v>
      </c>
    </row>
    <row r="225" spans="1:26" ht="12.75" customHeight="1" x14ac:dyDescent="0.35">
      <c r="A225">
        <v>224</v>
      </c>
      <c r="B225">
        <v>45884.497753564814</v>
      </c>
      <c r="D225" t="s">
        <v>1269</v>
      </c>
      <c r="E225" t="s">
        <v>1192</v>
      </c>
      <c r="F225" t="s">
        <v>449</v>
      </c>
      <c r="G225" t="s">
        <v>44</v>
      </c>
      <c r="H225" t="s">
        <v>284</v>
      </c>
      <c r="I225" t="s">
        <v>173</v>
      </c>
      <c r="J225" t="s">
        <v>28</v>
      </c>
      <c r="K225" t="s">
        <v>94</v>
      </c>
      <c r="L225" t="s">
        <v>46</v>
      </c>
      <c r="N225" t="s">
        <v>1270</v>
      </c>
      <c r="O225" t="s">
        <v>49</v>
      </c>
      <c r="P225" t="s">
        <v>49</v>
      </c>
      <c r="Q225" t="s">
        <v>49</v>
      </c>
      <c r="R225" t="s">
        <v>1271</v>
      </c>
      <c r="S225" t="s">
        <v>48</v>
      </c>
      <c r="T225" t="s">
        <v>1272</v>
      </c>
      <c r="U225" t="s">
        <v>1273</v>
      </c>
      <c r="V225" t="s">
        <v>79</v>
      </c>
      <c r="X225" t="s">
        <v>1082</v>
      </c>
      <c r="Y225" t="s">
        <v>704</v>
      </c>
      <c r="Z225" t="s">
        <v>170</v>
      </c>
    </row>
    <row r="226" spans="1:26" ht="12.75" customHeight="1" x14ac:dyDescent="0.35">
      <c r="A226">
        <v>225</v>
      </c>
      <c r="B226">
        <v>45884.499883877317</v>
      </c>
      <c r="D226" t="s">
        <v>1274</v>
      </c>
      <c r="E226" t="s">
        <v>1275</v>
      </c>
      <c r="F226" t="s">
        <v>28</v>
      </c>
      <c r="G226" t="s">
        <v>28</v>
      </c>
      <c r="H226" t="s">
        <v>28</v>
      </c>
      <c r="I226" t="s">
        <v>28</v>
      </c>
      <c r="J226" t="s">
        <v>28</v>
      </c>
      <c r="K226" t="s">
        <v>28</v>
      </c>
      <c r="L226" t="s">
        <v>46</v>
      </c>
      <c r="N226" t="s">
        <v>1276</v>
      </c>
      <c r="O226" t="s">
        <v>38</v>
      </c>
      <c r="P226" t="s">
        <v>38</v>
      </c>
      <c r="Q226" t="s">
        <v>38</v>
      </c>
      <c r="R226" t="s">
        <v>1277</v>
      </c>
      <c r="S226" t="s">
        <v>49</v>
      </c>
      <c r="T226" t="s">
        <v>1278</v>
      </c>
      <c r="U226" t="s">
        <v>1279</v>
      </c>
      <c r="V226" t="s">
        <v>135</v>
      </c>
      <c r="X226" t="s">
        <v>1030</v>
      </c>
      <c r="Y226" t="s">
        <v>1280</v>
      </c>
      <c r="Z226" t="s">
        <v>57</v>
      </c>
    </row>
    <row r="227" spans="1:26" ht="12.75" customHeight="1" x14ac:dyDescent="0.35">
      <c r="A227">
        <v>226</v>
      </c>
      <c r="B227">
        <v>45884.502591666664</v>
      </c>
      <c r="D227" t="s">
        <v>1281</v>
      </c>
      <c r="E227" t="s">
        <v>1282</v>
      </c>
      <c r="F227" t="s">
        <v>28</v>
      </c>
      <c r="G227" t="s">
        <v>196</v>
      </c>
      <c r="H227" t="s">
        <v>206</v>
      </c>
      <c r="I227" t="s">
        <v>197</v>
      </c>
      <c r="J227" t="s">
        <v>103</v>
      </c>
      <c r="K227" t="s">
        <v>94</v>
      </c>
      <c r="L227" t="s">
        <v>36</v>
      </c>
      <c r="N227" t="s">
        <v>1213</v>
      </c>
      <c r="O227" t="s">
        <v>49</v>
      </c>
      <c r="P227" t="s">
        <v>38</v>
      </c>
      <c r="Q227" t="s">
        <v>48</v>
      </c>
      <c r="R227" t="s">
        <v>1283</v>
      </c>
      <c r="S227" t="s">
        <v>49</v>
      </c>
      <c r="T227" t="s">
        <v>1284</v>
      </c>
      <c r="U227" t="s">
        <v>1285</v>
      </c>
      <c r="V227" t="s">
        <v>53</v>
      </c>
      <c r="X227" t="s">
        <v>1082</v>
      </c>
      <c r="Y227" t="s">
        <v>1014</v>
      </c>
      <c r="Z227" t="s">
        <v>91</v>
      </c>
    </row>
    <row r="228" spans="1:26" ht="12.75" customHeight="1" x14ac:dyDescent="0.35">
      <c r="A228">
        <v>227</v>
      </c>
      <c r="B228">
        <v>45884.503940266208</v>
      </c>
      <c r="D228" t="s">
        <v>1286</v>
      </c>
      <c r="E228" t="s">
        <v>1287</v>
      </c>
      <c r="F228" t="s">
        <v>28</v>
      </c>
      <c r="G228" t="s">
        <v>28</v>
      </c>
      <c r="H228" t="s">
        <v>28</v>
      </c>
      <c r="I228" t="s">
        <v>28</v>
      </c>
      <c r="J228" t="s">
        <v>28</v>
      </c>
      <c r="K228" t="s">
        <v>28</v>
      </c>
      <c r="L228" t="s">
        <v>36</v>
      </c>
      <c r="N228" t="s">
        <v>1288</v>
      </c>
      <c r="O228" t="s">
        <v>38</v>
      </c>
      <c r="P228" t="s">
        <v>49</v>
      </c>
      <c r="R228" t="s">
        <v>1289</v>
      </c>
      <c r="S228" t="s">
        <v>38</v>
      </c>
      <c r="T228" t="s">
        <v>1290</v>
      </c>
      <c r="U228" t="s">
        <v>1291</v>
      </c>
      <c r="V228" t="s">
        <v>135</v>
      </c>
      <c r="X228" t="s">
        <v>1030</v>
      </c>
      <c r="Y228" t="s">
        <v>1292</v>
      </c>
      <c r="Z228" t="s">
        <v>57</v>
      </c>
    </row>
    <row r="229" spans="1:26" ht="12.75" customHeight="1" x14ac:dyDescent="0.35">
      <c r="A229">
        <v>228</v>
      </c>
      <c r="B229">
        <v>45884.505763946756</v>
      </c>
      <c r="D229" t="s">
        <v>1293</v>
      </c>
      <c r="E229" t="s">
        <v>1294</v>
      </c>
      <c r="F229" t="s">
        <v>60</v>
      </c>
      <c r="G229" t="s">
        <v>33</v>
      </c>
      <c r="H229" t="s">
        <v>33</v>
      </c>
      <c r="I229" t="s">
        <v>173</v>
      </c>
      <c r="J229" t="s">
        <v>173</v>
      </c>
      <c r="K229" t="s">
        <v>28</v>
      </c>
      <c r="L229" t="s">
        <v>46</v>
      </c>
      <c r="N229" t="s">
        <v>1295</v>
      </c>
      <c r="O229" t="s">
        <v>48</v>
      </c>
      <c r="P229" t="s">
        <v>49</v>
      </c>
      <c r="Q229" t="s">
        <v>49</v>
      </c>
      <c r="R229" t="s">
        <v>1296</v>
      </c>
      <c r="S229" t="s">
        <v>49</v>
      </c>
      <c r="T229" t="s">
        <v>1297</v>
      </c>
      <c r="U229" t="s">
        <v>1298</v>
      </c>
      <c r="V229" t="s">
        <v>79</v>
      </c>
      <c r="X229" t="s">
        <v>1082</v>
      </c>
      <c r="Y229" t="s">
        <v>694</v>
      </c>
      <c r="Z229" t="s">
        <v>129</v>
      </c>
    </row>
    <row r="230" spans="1:26" ht="12.75" customHeight="1" x14ac:dyDescent="0.35">
      <c r="A230">
        <v>229</v>
      </c>
      <c r="B230">
        <v>45884.508249548613</v>
      </c>
      <c r="D230" t="s">
        <v>1299</v>
      </c>
      <c r="E230" t="s">
        <v>1300</v>
      </c>
      <c r="F230" t="s">
        <v>28</v>
      </c>
      <c r="G230" t="s">
        <v>28</v>
      </c>
      <c r="H230" t="s">
        <v>28</v>
      </c>
      <c r="I230" t="s">
        <v>28</v>
      </c>
      <c r="J230" t="s">
        <v>28</v>
      </c>
      <c r="K230" t="s">
        <v>28</v>
      </c>
      <c r="L230" t="s">
        <v>46</v>
      </c>
      <c r="N230" t="s">
        <v>1301</v>
      </c>
      <c r="O230" t="s">
        <v>38</v>
      </c>
      <c r="P230" t="s">
        <v>49</v>
      </c>
      <c r="Q230" t="s">
        <v>38</v>
      </c>
      <c r="R230" t="s">
        <v>1302</v>
      </c>
      <c r="S230" t="s">
        <v>49</v>
      </c>
      <c r="T230" t="s">
        <v>1303</v>
      </c>
      <c r="U230" t="s">
        <v>1304</v>
      </c>
      <c r="V230" t="s">
        <v>135</v>
      </c>
      <c r="X230" t="s">
        <v>845</v>
      </c>
      <c r="Y230" t="s">
        <v>1305</v>
      </c>
      <c r="Z230" t="s">
        <v>129</v>
      </c>
    </row>
    <row r="231" spans="1:26" ht="12.75" customHeight="1" x14ac:dyDescent="0.35">
      <c r="A231">
        <v>230</v>
      </c>
      <c r="B231">
        <v>45884.508606388888</v>
      </c>
      <c r="D231" t="s">
        <v>1306</v>
      </c>
      <c r="E231" t="s">
        <v>1154</v>
      </c>
      <c r="F231" t="s">
        <v>449</v>
      </c>
      <c r="G231" t="s">
        <v>60</v>
      </c>
      <c r="H231" t="s">
        <v>60</v>
      </c>
      <c r="I231" t="s">
        <v>34</v>
      </c>
      <c r="J231" t="s">
        <v>34</v>
      </c>
      <c r="K231" t="s">
        <v>28</v>
      </c>
      <c r="L231" t="s">
        <v>36</v>
      </c>
      <c r="N231" t="s">
        <v>1078</v>
      </c>
      <c r="O231" t="s">
        <v>49</v>
      </c>
      <c r="P231" t="s">
        <v>48</v>
      </c>
      <c r="Q231" t="s">
        <v>40</v>
      </c>
      <c r="R231" t="s">
        <v>1307</v>
      </c>
      <c r="S231" t="s">
        <v>40</v>
      </c>
      <c r="T231" t="s">
        <v>1308</v>
      </c>
      <c r="U231" t="s">
        <v>1309</v>
      </c>
      <c r="V231" t="s">
        <v>135</v>
      </c>
      <c r="X231" t="s">
        <v>1082</v>
      </c>
      <c r="Y231" t="s">
        <v>1310</v>
      </c>
      <c r="Z231" t="s">
        <v>170</v>
      </c>
    </row>
    <row r="232" spans="1:26" ht="12.75" customHeight="1" x14ac:dyDescent="0.35">
      <c r="A232">
        <v>231</v>
      </c>
      <c r="B232">
        <v>45884.50989483796</v>
      </c>
      <c r="D232" t="s">
        <v>1311</v>
      </c>
      <c r="E232" t="s">
        <v>1312</v>
      </c>
      <c r="F232" t="s">
        <v>28</v>
      </c>
      <c r="G232" t="s">
        <v>28</v>
      </c>
      <c r="H232" t="s">
        <v>28</v>
      </c>
      <c r="I232" t="s">
        <v>103</v>
      </c>
      <c r="J232" t="s">
        <v>45</v>
      </c>
      <c r="K232" t="s">
        <v>45</v>
      </c>
      <c r="L232" t="s">
        <v>36</v>
      </c>
      <c r="N232" t="s">
        <v>1313</v>
      </c>
      <c r="O232" t="s">
        <v>48</v>
      </c>
      <c r="P232" t="s">
        <v>48</v>
      </c>
      <c r="Q232" t="s">
        <v>49</v>
      </c>
      <c r="R232" t="s">
        <v>1314</v>
      </c>
      <c r="S232" t="s">
        <v>38</v>
      </c>
      <c r="T232" t="s">
        <v>1315</v>
      </c>
      <c r="U232" t="s">
        <v>1316</v>
      </c>
      <c r="V232" t="s">
        <v>135</v>
      </c>
      <c r="X232" t="s">
        <v>1317</v>
      </c>
      <c r="Y232" t="s">
        <v>1318</v>
      </c>
      <c r="Z232" t="s">
        <v>91</v>
      </c>
    </row>
    <row r="233" spans="1:26" ht="12.75" customHeight="1" x14ac:dyDescent="0.35">
      <c r="A233">
        <v>232</v>
      </c>
      <c r="B233">
        <v>45884.511635636576</v>
      </c>
      <c r="D233" t="s">
        <v>1319</v>
      </c>
      <c r="E233" t="s">
        <v>1320</v>
      </c>
      <c r="F233" t="s">
        <v>28</v>
      </c>
      <c r="G233" t="s">
        <v>44</v>
      </c>
      <c r="H233" t="s">
        <v>284</v>
      </c>
      <c r="I233" t="s">
        <v>173</v>
      </c>
      <c r="J233" t="s">
        <v>45</v>
      </c>
      <c r="K233" t="s">
        <v>73</v>
      </c>
      <c r="L233" t="s">
        <v>46</v>
      </c>
      <c r="N233" t="s">
        <v>1321</v>
      </c>
      <c r="O233" t="s">
        <v>49</v>
      </c>
      <c r="P233" t="s">
        <v>49</v>
      </c>
      <c r="Q233" t="s">
        <v>38</v>
      </c>
      <c r="R233" t="s">
        <v>1322</v>
      </c>
      <c r="S233" t="s">
        <v>48</v>
      </c>
      <c r="T233" t="s">
        <v>1323</v>
      </c>
      <c r="U233" t="s">
        <v>1324</v>
      </c>
      <c r="V233" t="s">
        <v>135</v>
      </c>
      <c r="X233" t="s">
        <v>1082</v>
      </c>
      <c r="Y233" t="s">
        <v>1325</v>
      </c>
      <c r="Z233" t="s">
        <v>91</v>
      </c>
    </row>
    <row r="234" spans="1:26" ht="12.75" customHeight="1" x14ac:dyDescent="0.35">
      <c r="A234">
        <v>233</v>
      </c>
      <c r="B234">
        <v>45884.518363506941</v>
      </c>
      <c r="D234" t="s">
        <v>1326</v>
      </c>
      <c r="E234" t="s">
        <v>1327</v>
      </c>
      <c r="F234" t="s">
        <v>28</v>
      </c>
      <c r="G234" t="s">
        <v>28</v>
      </c>
      <c r="H234" t="s">
        <v>28</v>
      </c>
      <c r="I234" t="s">
        <v>28</v>
      </c>
      <c r="J234" t="s">
        <v>28</v>
      </c>
      <c r="K234" t="s">
        <v>28</v>
      </c>
      <c r="L234" t="s">
        <v>46</v>
      </c>
      <c r="N234" t="s">
        <v>1328</v>
      </c>
      <c r="O234" t="s">
        <v>38</v>
      </c>
      <c r="P234" t="s">
        <v>49</v>
      </c>
      <c r="Q234" t="s">
        <v>38</v>
      </c>
      <c r="R234" t="s">
        <v>1329</v>
      </c>
      <c r="S234" t="s">
        <v>49</v>
      </c>
      <c r="T234" t="s">
        <v>1329</v>
      </c>
      <c r="U234" t="s">
        <v>1330</v>
      </c>
      <c r="V234" t="s">
        <v>135</v>
      </c>
      <c r="X234" t="s">
        <v>1317</v>
      </c>
      <c r="Y234" t="s">
        <v>1331</v>
      </c>
      <c r="Z234" t="s">
        <v>129</v>
      </c>
    </row>
    <row r="235" spans="1:26" ht="12.75" customHeight="1" x14ac:dyDescent="0.35">
      <c r="A235">
        <v>234</v>
      </c>
      <c r="B235">
        <v>45884.523086099536</v>
      </c>
      <c r="D235" t="s">
        <v>1332</v>
      </c>
      <c r="E235" t="s">
        <v>1333</v>
      </c>
      <c r="F235" t="s">
        <v>71</v>
      </c>
      <c r="G235" t="s">
        <v>28</v>
      </c>
      <c r="H235" t="s">
        <v>206</v>
      </c>
      <c r="I235" t="s">
        <v>30</v>
      </c>
      <c r="J235" t="s">
        <v>28</v>
      </c>
      <c r="K235" t="s">
        <v>28</v>
      </c>
      <c r="L235" t="s">
        <v>36</v>
      </c>
      <c r="N235" t="s">
        <v>1334</v>
      </c>
      <c r="O235" t="s">
        <v>48</v>
      </c>
      <c r="P235" t="s">
        <v>48</v>
      </c>
      <c r="Q235" t="s">
        <v>48</v>
      </c>
      <c r="R235" t="s">
        <v>1335</v>
      </c>
      <c r="S235" t="s">
        <v>49</v>
      </c>
      <c r="T235" t="s">
        <v>1335</v>
      </c>
      <c r="U235" t="s">
        <v>1336</v>
      </c>
      <c r="V235" t="s">
        <v>87</v>
      </c>
      <c r="X235" t="s">
        <v>1030</v>
      </c>
      <c r="Y235" t="s">
        <v>1337</v>
      </c>
      <c r="Z235" t="s">
        <v>129</v>
      </c>
    </row>
    <row r="236" spans="1:26" ht="12.75" customHeight="1" x14ac:dyDescent="0.35">
      <c r="A236">
        <v>235</v>
      </c>
      <c r="B236">
        <v>45884.524651238426</v>
      </c>
      <c r="D236" t="s">
        <v>1338</v>
      </c>
      <c r="E236" t="s">
        <v>1339</v>
      </c>
      <c r="F236" t="s">
        <v>377</v>
      </c>
      <c r="G236" t="s">
        <v>44</v>
      </c>
      <c r="H236" t="s">
        <v>206</v>
      </c>
      <c r="I236" t="s">
        <v>173</v>
      </c>
      <c r="J236" t="s">
        <v>94</v>
      </c>
      <c r="K236" t="s">
        <v>73</v>
      </c>
      <c r="L236" t="s">
        <v>36</v>
      </c>
      <c r="N236" t="s">
        <v>1340</v>
      </c>
      <c r="O236" t="s">
        <v>49</v>
      </c>
      <c r="P236" t="s">
        <v>49</v>
      </c>
      <c r="Q236" t="s">
        <v>40</v>
      </c>
      <c r="R236" t="s">
        <v>1341</v>
      </c>
      <c r="S236" t="s">
        <v>48</v>
      </c>
      <c r="T236" t="s">
        <v>1342</v>
      </c>
      <c r="U236" t="s">
        <v>1343</v>
      </c>
      <c r="V236" t="s">
        <v>53</v>
      </c>
      <c r="X236" t="s">
        <v>1082</v>
      </c>
      <c r="Y236" t="s">
        <v>965</v>
      </c>
      <c r="Z236" t="s">
        <v>91</v>
      </c>
    </row>
    <row r="237" spans="1:26" ht="12.75" customHeight="1" x14ac:dyDescent="0.35">
      <c r="A237">
        <v>236</v>
      </c>
      <c r="B237">
        <v>45884.53035512731</v>
      </c>
      <c r="D237" t="s">
        <v>1344</v>
      </c>
      <c r="E237" t="s">
        <v>1345</v>
      </c>
      <c r="F237" t="s">
        <v>29</v>
      </c>
      <c r="G237" t="s">
        <v>33</v>
      </c>
      <c r="H237" t="s">
        <v>29</v>
      </c>
      <c r="I237" t="s">
        <v>30</v>
      </c>
      <c r="J237" t="s">
        <v>30</v>
      </c>
      <c r="K237" t="s">
        <v>45</v>
      </c>
      <c r="L237" t="s">
        <v>46</v>
      </c>
      <c r="N237" t="s">
        <v>1346</v>
      </c>
      <c r="O237" t="s">
        <v>48</v>
      </c>
      <c r="P237" t="s">
        <v>49</v>
      </c>
      <c r="Q237" t="s">
        <v>49</v>
      </c>
      <c r="R237" t="s">
        <v>1347</v>
      </c>
      <c r="S237" t="s">
        <v>38</v>
      </c>
      <c r="T237" t="s">
        <v>1348</v>
      </c>
      <c r="U237" t="s">
        <v>1349</v>
      </c>
      <c r="V237" t="s">
        <v>87</v>
      </c>
      <c r="X237" t="s">
        <v>1082</v>
      </c>
      <c r="Y237" t="s">
        <v>759</v>
      </c>
      <c r="Z237" t="s">
        <v>91</v>
      </c>
    </row>
    <row r="238" spans="1:26" ht="12.75" customHeight="1" x14ac:dyDescent="0.35">
      <c r="A238">
        <v>237</v>
      </c>
      <c r="B238">
        <v>45884.532562048611</v>
      </c>
      <c r="D238" t="s">
        <v>1350</v>
      </c>
      <c r="E238" t="s">
        <v>1351</v>
      </c>
      <c r="F238" t="s">
        <v>44</v>
      </c>
      <c r="G238" t="s">
        <v>28</v>
      </c>
      <c r="H238" t="s">
        <v>28</v>
      </c>
      <c r="I238" t="s">
        <v>28</v>
      </c>
      <c r="J238" t="s">
        <v>28</v>
      </c>
      <c r="K238" t="s">
        <v>35</v>
      </c>
      <c r="L238" t="s">
        <v>46</v>
      </c>
      <c r="N238" t="s">
        <v>1352</v>
      </c>
      <c r="O238" t="s">
        <v>49</v>
      </c>
      <c r="P238" t="s">
        <v>49</v>
      </c>
      <c r="Q238" t="s">
        <v>38</v>
      </c>
      <c r="R238" t="s">
        <v>1353</v>
      </c>
      <c r="S238" t="s">
        <v>38</v>
      </c>
      <c r="T238" t="s">
        <v>1354</v>
      </c>
      <c r="U238" t="s">
        <v>1355</v>
      </c>
      <c r="V238" t="s">
        <v>87</v>
      </c>
      <c r="W238" t="s">
        <v>1356</v>
      </c>
      <c r="X238" t="s">
        <v>1030</v>
      </c>
      <c r="Y238" t="s">
        <v>1357</v>
      </c>
      <c r="Z238" t="s">
        <v>129</v>
      </c>
    </row>
    <row r="239" spans="1:26" ht="12.75" customHeight="1" x14ac:dyDescent="0.35">
      <c r="A239">
        <v>238</v>
      </c>
      <c r="B239">
        <v>45884.533926469907</v>
      </c>
      <c r="D239" t="s">
        <v>1358</v>
      </c>
      <c r="E239" t="s">
        <v>1099</v>
      </c>
      <c r="F239" t="s">
        <v>29</v>
      </c>
      <c r="G239" t="s">
        <v>29</v>
      </c>
      <c r="H239" t="s">
        <v>29</v>
      </c>
      <c r="I239" t="s">
        <v>103</v>
      </c>
      <c r="J239" t="s">
        <v>103</v>
      </c>
      <c r="K239" t="s">
        <v>45</v>
      </c>
      <c r="L239" t="s">
        <v>36</v>
      </c>
      <c r="N239" t="s">
        <v>1359</v>
      </c>
      <c r="O239" t="s">
        <v>48</v>
      </c>
      <c r="P239" t="s">
        <v>49</v>
      </c>
      <c r="Q239" t="s">
        <v>49</v>
      </c>
      <c r="R239" t="s">
        <v>1360</v>
      </c>
      <c r="S239" t="s">
        <v>49</v>
      </c>
      <c r="T239" t="s">
        <v>1361</v>
      </c>
      <c r="U239" t="s">
        <v>1362</v>
      </c>
      <c r="V239" t="s">
        <v>87</v>
      </c>
      <c r="X239" t="s">
        <v>1082</v>
      </c>
      <c r="Y239" t="s">
        <v>1363</v>
      </c>
      <c r="Z239" t="s">
        <v>170</v>
      </c>
    </row>
    <row r="240" spans="1:26" ht="12.75" customHeight="1" x14ac:dyDescent="0.35">
      <c r="A240">
        <v>239</v>
      </c>
      <c r="B240">
        <v>45884.538027187504</v>
      </c>
      <c r="D240" t="s">
        <v>1364</v>
      </c>
      <c r="E240" t="s">
        <v>1365</v>
      </c>
      <c r="F240" t="s">
        <v>28</v>
      </c>
      <c r="G240" t="s">
        <v>28</v>
      </c>
      <c r="H240" t="s">
        <v>28</v>
      </c>
      <c r="I240" t="s">
        <v>28</v>
      </c>
      <c r="J240" t="s">
        <v>28</v>
      </c>
      <c r="K240" t="s">
        <v>28</v>
      </c>
      <c r="L240" t="s">
        <v>36</v>
      </c>
      <c r="N240" t="s">
        <v>1366</v>
      </c>
      <c r="O240" t="s">
        <v>49</v>
      </c>
      <c r="P240" t="s">
        <v>38</v>
      </c>
      <c r="Q240" t="s">
        <v>49</v>
      </c>
      <c r="R240" t="s">
        <v>1367</v>
      </c>
      <c r="S240" t="s">
        <v>38</v>
      </c>
      <c r="T240" t="s">
        <v>1368</v>
      </c>
      <c r="U240" t="s">
        <v>1369</v>
      </c>
      <c r="V240" t="s">
        <v>53</v>
      </c>
      <c r="W240" t="s">
        <v>1370</v>
      </c>
      <c r="X240" t="s">
        <v>1030</v>
      </c>
      <c r="Y240" t="s">
        <v>1371</v>
      </c>
      <c r="Z240" t="s">
        <v>57</v>
      </c>
    </row>
    <row r="241" spans="1:26" ht="12.75" customHeight="1" x14ac:dyDescent="0.35">
      <c r="A241">
        <v>240</v>
      </c>
      <c r="B241">
        <v>45884.599271076389</v>
      </c>
      <c r="D241" t="s">
        <v>1372</v>
      </c>
      <c r="E241" t="s">
        <v>1373</v>
      </c>
      <c r="F241" t="s">
        <v>28</v>
      </c>
      <c r="G241" t="s">
        <v>28</v>
      </c>
      <c r="H241" t="s">
        <v>28</v>
      </c>
      <c r="I241" t="s">
        <v>28</v>
      </c>
      <c r="J241" t="s">
        <v>28</v>
      </c>
      <c r="K241" t="s">
        <v>28</v>
      </c>
      <c r="L241" t="s">
        <v>36</v>
      </c>
      <c r="N241" t="s">
        <v>1374</v>
      </c>
      <c r="O241" t="s">
        <v>38</v>
      </c>
      <c r="P241" t="s">
        <v>38</v>
      </c>
      <c r="Q241" t="s">
        <v>38</v>
      </c>
      <c r="R241" t="s">
        <v>1375</v>
      </c>
      <c r="S241" t="s">
        <v>38</v>
      </c>
      <c r="T241" t="s">
        <v>1375</v>
      </c>
      <c r="U241" t="s">
        <v>1376</v>
      </c>
      <c r="V241" t="s">
        <v>53</v>
      </c>
      <c r="W241" t="s">
        <v>1377</v>
      </c>
      <c r="X241" t="s">
        <v>1378</v>
      </c>
      <c r="Y241" t="s">
        <v>1099</v>
      </c>
      <c r="Z241" t="s">
        <v>170</v>
      </c>
    </row>
    <row r="242" spans="1:26" ht="12.75" customHeight="1" x14ac:dyDescent="0.35">
      <c r="A242">
        <v>241</v>
      </c>
      <c r="B242">
        <v>45884.609033761575</v>
      </c>
      <c r="D242" t="s">
        <v>1379</v>
      </c>
      <c r="E242" t="s">
        <v>1380</v>
      </c>
      <c r="F242" t="s">
        <v>71</v>
      </c>
      <c r="G242" t="s">
        <v>28</v>
      </c>
      <c r="H242" t="s">
        <v>28</v>
      </c>
      <c r="I242" t="s">
        <v>28</v>
      </c>
      <c r="J242" t="s">
        <v>28</v>
      </c>
      <c r="K242" t="s">
        <v>28</v>
      </c>
      <c r="L242" t="s">
        <v>46</v>
      </c>
      <c r="N242" t="s">
        <v>1381</v>
      </c>
      <c r="O242" t="s">
        <v>49</v>
      </c>
      <c r="P242" t="s">
        <v>49</v>
      </c>
      <c r="Q242" t="s">
        <v>49</v>
      </c>
      <c r="R242" t="s">
        <v>1382</v>
      </c>
      <c r="S242" t="s">
        <v>49</v>
      </c>
      <c r="T242" t="s">
        <v>1383</v>
      </c>
      <c r="U242" t="s">
        <v>1384</v>
      </c>
      <c r="V242" t="s">
        <v>79</v>
      </c>
      <c r="W242" t="s">
        <v>1385</v>
      </c>
      <c r="X242" t="s">
        <v>1386</v>
      </c>
      <c r="Y242" t="s">
        <v>1387</v>
      </c>
      <c r="Z242" t="s">
        <v>91</v>
      </c>
    </row>
    <row r="243" spans="1:26" ht="12.75" customHeight="1" x14ac:dyDescent="0.35">
      <c r="A243">
        <v>242</v>
      </c>
      <c r="B243">
        <v>45884.634602719903</v>
      </c>
      <c r="D243" t="s">
        <v>1388</v>
      </c>
      <c r="E243" t="s">
        <v>1389</v>
      </c>
      <c r="F243" t="s">
        <v>28</v>
      </c>
      <c r="G243" t="s">
        <v>28</v>
      </c>
      <c r="H243" t="s">
        <v>28</v>
      </c>
      <c r="I243" t="s">
        <v>28</v>
      </c>
      <c r="J243" t="s">
        <v>28</v>
      </c>
      <c r="K243" t="s">
        <v>28</v>
      </c>
      <c r="L243" t="s">
        <v>36</v>
      </c>
      <c r="N243" t="s">
        <v>1390</v>
      </c>
      <c r="O243" t="s">
        <v>48</v>
      </c>
      <c r="P243" t="s">
        <v>48</v>
      </c>
      <c r="Q243" t="s">
        <v>48</v>
      </c>
      <c r="R243" t="s">
        <v>1391</v>
      </c>
      <c r="S243" t="s">
        <v>48</v>
      </c>
      <c r="T243" t="s">
        <v>1392</v>
      </c>
      <c r="U243" t="s">
        <v>1393</v>
      </c>
      <c r="V243" t="s">
        <v>53</v>
      </c>
      <c r="W243" t="s">
        <v>1394</v>
      </c>
      <c r="X243" t="s">
        <v>1395</v>
      </c>
      <c r="Y243" t="s">
        <v>1158</v>
      </c>
      <c r="Z243" t="s">
        <v>129</v>
      </c>
    </row>
    <row r="244" spans="1:26" ht="12.75" customHeight="1" x14ac:dyDescent="0.35">
      <c r="A244">
        <v>243</v>
      </c>
      <c r="B244">
        <v>45884.640610972223</v>
      </c>
      <c r="D244" t="s">
        <v>1396</v>
      </c>
      <c r="E244" t="s">
        <v>1397</v>
      </c>
      <c r="F244" t="s">
        <v>28</v>
      </c>
      <c r="G244" t="s">
        <v>28</v>
      </c>
      <c r="H244" t="s">
        <v>28</v>
      </c>
      <c r="I244" t="s">
        <v>28</v>
      </c>
      <c r="J244" t="s">
        <v>28</v>
      </c>
      <c r="K244" t="s">
        <v>28</v>
      </c>
      <c r="L244" t="s">
        <v>46</v>
      </c>
      <c r="N244" t="s">
        <v>1374</v>
      </c>
      <c r="O244" t="s">
        <v>49</v>
      </c>
      <c r="P244" t="s">
        <v>49</v>
      </c>
      <c r="Q244" t="s">
        <v>49</v>
      </c>
      <c r="R244" t="s">
        <v>1398</v>
      </c>
      <c r="S244" t="s">
        <v>49</v>
      </c>
      <c r="T244" t="s">
        <v>1399</v>
      </c>
      <c r="U244" t="s">
        <v>1400</v>
      </c>
      <c r="V244" t="s">
        <v>135</v>
      </c>
      <c r="W244" t="s">
        <v>1401</v>
      </c>
      <c r="X244" t="s">
        <v>1395</v>
      </c>
      <c r="Y244" t="s">
        <v>1357</v>
      </c>
      <c r="Z244" t="s">
        <v>129</v>
      </c>
    </row>
    <row r="245" spans="1:26" ht="12.75" customHeight="1" x14ac:dyDescent="0.35">
      <c r="A245">
        <v>244</v>
      </c>
      <c r="B245">
        <v>45884.659704745369</v>
      </c>
      <c r="D245" t="s">
        <v>1402</v>
      </c>
      <c r="E245" t="s">
        <v>1403</v>
      </c>
      <c r="F245" t="s">
        <v>28</v>
      </c>
      <c r="G245" t="s">
        <v>28</v>
      </c>
      <c r="H245" t="s">
        <v>28</v>
      </c>
      <c r="I245" t="s">
        <v>28</v>
      </c>
      <c r="J245" t="s">
        <v>28</v>
      </c>
      <c r="K245" t="s">
        <v>28</v>
      </c>
      <c r="L245" t="s">
        <v>36</v>
      </c>
      <c r="N245" t="s">
        <v>1404</v>
      </c>
      <c r="O245" t="s">
        <v>38</v>
      </c>
      <c r="P245" t="s">
        <v>38</v>
      </c>
      <c r="Q245" t="s">
        <v>38</v>
      </c>
      <c r="R245" t="s">
        <v>1405</v>
      </c>
      <c r="S245" t="s">
        <v>38</v>
      </c>
      <c r="T245" t="s">
        <v>1406</v>
      </c>
      <c r="U245" t="s">
        <v>1407</v>
      </c>
      <c r="V245" t="s">
        <v>87</v>
      </c>
      <c r="X245" t="s">
        <v>1395</v>
      </c>
      <c r="Y245" t="s">
        <v>1371</v>
      </c>
      <c r="Z245" t="s">
        <v>57</v>
      </c>
    </row>
    <row r="246" spans="1:26" ht="12.75" customHeight="1" x14ac:dyDescent="0.35">
      <c r="A246">
        <v>245</v>
      </c>
      <c r="B246">
        <v>45884.665278993052</v>
      </c>
      <c r="D246" t="s">
        <v>1408</v>
      </c>
      <c r="E246" t="s">
        <v>1409</v>
      </c>
      <c r="F246" t="s">
        <v>28</v>
      </c>
      <c r="G246" t="s">
        <v>28</v>
      </c>
      <c r="H246" t="s">
        <v>28</v>
      </c>
      <c r="I246" t="s">
        <v>28</v>
      </c>
      <c r="J246" t="s">
        <v>28</v>
      </c>
      <c r="K246" t="s">
        <v>28</v>
      </c>
      <c r="L246" t="s">
        <v>46</v>
      </c>
      <c r="N246" t="s">
        <v>1410</v>
      </c>
      <c r="O246" t="s">
        <v>38</v>
      </c>
      <c r="P246" t="s">
        <v>38</v>
      </c>
      <c r="Q246" t="s">
        <v>38</v>
      </c>
      <c r="R246" t="s">
        <v>1411</v>
      </c>
      <c r="S246" t="s">
        <v>38</v>
      </c>
      <c r="T246" t="s">
        <v>1412</v>
      </c>
      <c r="U246" t="s">
        <v>1413</v>
      </c>
      <c r="V246" t="s">
        <v>135</v>
      </c>
      <c r="X246" t="s">
        <v>1378</v>
      </c>
      <c r="Y246" t="s">
        <v>1414</v>
      </c>
      <c r="Z246" t="s">
        <v>91</v>
      </c>
    </row>
    <row r="247" spans="1:26" ht="12.75" customHeight="1" x14ac:dyDescent="0.35">
      <c r="A247">
        <v>246</v>
      </c>
      <c r="B247">
        <v>45884.671251793981</v>
      </c>
      <c r="D247" t="s">
        <v>1415</v>
      </c>
      <c r="E247" t="s">
        <v>1416</v>
      </c>
      <c r="F247" t="s">
        <v>28</v>
      </c>
      <c r="G247" t="s">
        <v>28</v>
      </c>
      <c r="H247" t="s">
        <v>28</v>
      </c>
      <c r="I247" t="s">
        <v>28</v>
      </c>
      <c r="J247" t="s">
        <v>28</v>
      </c>
      <c r="K247" t="s">
        <v>28</v>
      </c>
      <c r="L247" t="s">
        <v>36</v>
      </c>
      <c r="N247" t="s">
        <v>1417</v>
      </c>
      <c r="O247" t="s">
        <v>48</v>
      </c>
      <c r="P247" t="s">
        <v>48</v>
      </c>
      <c r="Q247" t="s">
        <v>48</v>
      </c>
      <c r="R247" t="s">
        <v>1418</v>
      </c>
      <c r="S247" t="s">
        <v>48</v>
      </c>
      <c r="T247" t="s">
        <v>1419</v>
      </c>
      <c r="U247" t="s">
        <v>1420</v>
      </c>
      <c r="V247" t="s">
        <v>53</v>
      </c>
      <c r="W247" t="s">
        <v>1421</v>
      </c>
      <c r="X247" t="s">
        <v>1378</v>
      </c>
      <c r="Y247" t="s">
        <v>1422</v>
      </c>
      <c r="Z247" t="s">
        <v>129</v>
      </c>
    </row>
    <row r="248" spans="1:26" ht="12.75" customHeight="1" x14ac:dyDescent="0.35">
      <c r="A248">
        <v>247</v>
      </c>
      <c r="B248">
        <v>45884.677349872683</v>
      </c>
      <c r="D248" t="s">
        <v>1423</v>
      </c>
      <c r="E248" t="s">
        <v>1275</v>
      </c>
      <c r="F248" t="s">
        <v>28</v>
      </c>
      <c r="G248" t="s">
        <v>28</v>
      </c>
      <c r="H248" t="s">
        <v>28</v>
      </c>
      <c r="I248" t="s">
        <v>28</v>
      </c>
      <c r="J248" t="s">
        <v>28</v>
      </c>
      <c r="K248" t="s">
        <v>28</v>
      </c>
      <c r="L248" t="s">
        <v>46</v>
      </c>
      <c r="N248" t="s">
        <v>1424</v>
      </c>
      <c r="O248" t="s">
        <v>48</v>
      </c>
      <c r="P248" t="s">
        <v>49</v>
      </c>
      <c r="Q248" t="s">
        <v>49</v>
      </c>
      <c r="R248" t="s">
        <v>1425</v>
      </c>
      <c r="S248" t="s">
        <v>49</v>
      </c>
      <c r="T248" t="s">
        <v>1426</v>
      </c>
      <c r="U248" t="s">
        <v>1427</v>
      </c>
      <c r="V248" t="s">
        <v>135</v>
      </c>
      <c r="X248" t="s">
        <v>1386</v>
      </c>
      <c r="Y248" t="s">
        <v>1280</v>
      </c>
      <c r="Z248" t="s">
        <v>129</v>
      </c>
    </row>
    <row r="249" spans="1:26" ht="12.75" customHeight="1" x14ac:dyDescent="0.35">
      <c r="A249">
        <v>248</v>
      </c>
      <c r="B249">
        <v>45884.68332625</v>
      </c>
      <c r="D249" t="s">
        <v>1428</v>
      </c>
      <c r="E249" t="s">
        <v>1429</v>
      </c>
      <c r="F249" t="s">
        <v>28</v>
      </c>
      <c r="G249" t="s">
        <v>28</v>
      </c>
      <c r="H249" t="s">
        <v>28</v>
      </c>
      <c r="I249" t="s">
        <v>28</v>
      </c>
      <c r="J249" t="s">
        <v>28</v>
      </c>
      <c r="K249" t="s">
        <v>28</v>
      </c>
      <c r="L249" t="s">
        <v>36</v>
      </c>
      <c r="N249" t="s">
        <v>1430</v>
      </c>
      <c r="O249" t="s">
        <v>48</v>
      </c>
      <c r="P249" t="s">
        <v>48</v>
      </c>
      <c r="Q249" t="s">
        <v>48</v>
      </c>
      <c r="R249" t="s">
        <v>1431</v>
      </c>
      <c r="S249" t="s">
        <v>48</v>
      </c>
      <c r="T249" t="s">
        <v>1432</v>
      </c>
      <c r="U249" t="s">
        <v>1433</v>
      </c>
      <c r="V249" t="s">
        <v>53</v>
      </c>
      <c r="X249" t="s">
        <v>1395</v>
      </c>
      <c r="Y249" t="s">
        <v>1434</v>
      </c>
      <c r="Z249" t="s">
        <v>170</v>
      </c>
    </row>
    <row r="250" spans="1:26" ht="12.75" customHeight="1" x14ac:dyDescent="0.35">
      <c r="A250">
        <v>249</v>
      </c>
      <c r="B250">
        <v>45884.695839953703</v>
      </c>
      <c r="D250" t="s">
        <v>1062</v>
      </c>
      <c r="E250" t="s">
        <v>1435</v>
      </c>
      <c r="F250" t="s">
        <v>28</v>
      </c>
      <c r="G250" t="s">
        <v>29</v>
      </c>
      <c r="H250" t="s">
        <v>60</v>
      </c>
      <c r="I250" t="s">
        <v>34</v>
      </c>
      <c r="J250" t="s">
        <v>173</v>
      </c>
      <c r="K250" t="s">
        <v>28</v>
      </c>
      <c r="L250" t="s">
        <v>36</v>
      </c>
      <c r="N250" t="s">
        <v>1436</v>
      </c>
      <c r="O250" t="s">
        <v>38</v>
      </c>
      <c r="P250" t="s">
        <v>49</v>
      </c>
      <c r="Q250" t="s">
        <v>49</v>
      </c>
      <c r="R250" t="s">
        <v>1437</v>
      </c>
      <c r="S250" t="s">
        <v>40</v>
      </c>
      <c r="T250" t="s">
        <v>1438</v>
      </c>
      <c r="U250" t="s">
        <v>1439</v>
      </c>
      <c r="V250" t="s">
        <v>65</v>
      </c>
      <c r="X250" t="s">
        <v>1386</v>
      </c>
      <c r="Y250" t="s">
        <v>1440</v>
      </c>
      <c r="Z250" t="s">
        <v>129</v>
      </c>
    </row>
    <row r="251" spans="1:26" ht="12.75" customHeight="1" x14ac:dyDescent="0.35">
      <c r="A251">
        <v>250</v>
      </c>
      <c r="B251">
        <v>45884.698498807869</v>
      </c>
      <c r="D251" t="s">
        <v>1191</v>
      </c>
      <c r="E251" t="s">
        <v>1441</v>
      </c>
      <c r="F251" t="s">
        <v>33</v>
      </c>
      <c r="G251" t="s">
        <v>28</v>
      </c>
      <c r="H251" t="s">
        <v>60</v>
      </c>
      <c r="I251" t="s">
        <v>34</v>
      </c>
      <c r="J251" t="s">
        <v>94</v>
      </c>
      <c r="K251" t="s">
        <v>28</v>
      </c>
      <c r="L251" t="s">
        <v>46</v>
      </c>
      <c r="N251" t="s">
        <v>1390</v>
      </c>
      <c r="O251" t="s">
        <v>38</v>
      </c>
      <c r="P251" t="s">
        <v>48</v>
      </c>
      <c r="Q251" t="s">
        <v>48</v>
      </c>
      <c r="R251" t="s">
        <v>1442</v>
      </c>
      <c r="S251" t="s">
        <v>40</v>
      </c>
      <c r="T251" t="s">
        <v>1443</v>
      </c>
      <c r="U251" t="s">
        <v>1444</v>
      </c>
      <c r="V251" t="s">
        <v>53</v>
      </c>
      <c r="W251" t="s">
        <v>1445</v>
      </c>
      <c r="X251" t="s">
        <v>1386</v>
      </c>
      <c r="Y251" t="s">
        <v>694</v>
      </c>
      <c r="Z251" t="s">
        <v>57</v>
      </c>
    </row>
    <row r="252" spans="1:26" ht="12.75" customHeight="1" x14ac:dyDescent="0.35">
      <c r="A252">
        <v>251</v>
      </c>
      <c r="B252">
        <v>45884.701208773149</v>
      </c>
      <c r="D252" t="s">
        <v>1446</v>
      </c>
      <c r="E252" t="s">
        <v>1447</v>
      </c>
      <c r="F252" t="s">
        <v>28</v>
      </c>
      <c r="G252" t="s">
        <v>33</v>
      </c>
      <c r="H252" t="s">
        <v>60</v>
      </c>
      <c r="I252" t="s">
        <v>196</v>
      </c>
      <c r="J252" t="s">
        <v>30</v>
      </c>
      <c r="K252" t="s">
        <v>28</v>
      </c>
      <c r="L252" t="s">
        <v>36</v>
      </c>
      <c r="N252" t="s">
        <v>1448</v>
      </c>
      <c r="O252" t="s">
        <v>38</v>
      </c>
      <c r="P252" t="s">
        <v>48</v>
      </c>
      <c r="Q252" t="s">
        <v>38</v>
      </c>
      <c r="R252" t="s">
        <v>1449</v>
      </c>
      <c r="S252" t="s">
        <v>49</v>
      </c>
      <c r="T252" t="s">
        <v>1450</v>
      </c>
      <c r="U252" t="s">
        <v>1451</v>
      </c>
      <c r="V252" t="s">
        <v>79</v>
      </c>
      <c r="W252" t="s">
        <v>1452</v>
      </c>
      <c r="X252" t="s">
        <v>1386</v>
      </c>
      <c r="Y252" t="s">
        <v>751</v>
      </c>
      <c r="Z252" t="s">
        <v>170</v>
      </c>
    </row>
    <row r="253" spans="1:26" ht="12.75" customHeight="1" x14ac:dyDescent="0.35">
      <c r="A253">
        <v>252</v>
      </c>
      <c r="B253">
        <v>45884.703324340277</v>
      </c>
      <c r="D253" t="s">
        <v>1453</v>
      </c>
      <c r="E253" t="s">
        <v>1454</v>
      </c>
      <c r="F253" t="s">
        <v>28</v>
      </c>
      <c r="G253" t="s">
        <v>28</v>
      </c>
      <c r="H253" t="s">
        <v>28</v>
      </c>
      <c r="I253" t="s">
        <v>103</v>
      </c>
      <c r="J253" t="s">
        <v>45</v>
      </c>
      <c r="K253" t="s">
        <v>35</v>
      </c>
      <c r="L253" t="s">
        <v>46</v>
      </c>
      <c r="N253" t="s">
        <v>1410</v>
      </c>
      <c r="O253" t="s">
        <v>49</v>
      </c>
      <c r="P253" t="s">
        <v>49</v>
      </c>
      <c r="Q253" t="s">
        <v>49</v>
      </c>
      <c r="R253" t="s">
        <v>1455</v>
      </c>
      <c r="S253" t="s">
        <v>49</v>
      </c>
      <c r="T253" t="s">
        <v>1456</v>
      </c>
      <c r="U253" t="s">
        <v>1457</v>
      </c>
      <c r="V253" t="s">
        <v>53</v>
      </c>
      <c r="X253" t="s">
        <v>1386</v>
      </c>
      <c r="Y253" t="s">
        <v>1422</v>
      </c>
      <c r="Z253" t="s">
        <v>91</v>
      </c>
    </row>
    <row r="254" spans="1:26" ht="12.75" customHeight="1" x14ac:dyDescent="0.35">
      <c r="A254">
        <v>253</v>
      </c>
      <c r="B254">
        <v>45884.704074351852</v>
      </c>
      <c r="D254" t="s">
        <v>1458</v>
      </c>
      <c r="E254" t="s">
        <v>1345</v>
      </c>
      <c r="F254" t="s">
        <v>33</v>
      </c>
      <c r="G254" t="s">
        <v>196</v>
      </c>
      <c r="H254" t="s">
        <v>206</v>
      </c>
      <c r="I254" t="s">
        <v>28</v>
      </c>
      <c r="J254" t="s">
        <v>30</v>
      </c>
      <c r="K254" t="s">
        <v>292</v>
      </c>
      <c r="L254" t="s">
        <v>46</v>
      </c>
      <c r="N254" t="s">
        <v>1381</v>
      </c>
      <c r="O254" t="s">
        <v>38</v>
      </c>
      <c r="P254" t="s">
        <v>48</v>
      </c>
      <c r="Q254" t="s">
        <v>49</v>
      </c>
      <c r="R254" t="s">
        <v>1459</v>
      </c>
      <c r="S254" t="s">
        <v>48</v>
      </c>
      <c r="T254" t="s">
        <v>1460</v>
      </c>
      <c r="U254" t="s">
        <v>1461</v>
      </c>
      <c r="V254" t="s">
        <v>65</v>
      </c>
      <c r="X254" t="s">
        <v>1378</v>
      </c>
      <c r="Y254" t="s">
        <v>1462</v>
      </c>
      <c r="Z254" t="s">
        <v>91</v>
      </c>
    </row>
    <row r="255" spans="1:26" ht="12.75" customHeight="1" x14ac:dyDescent="0.35">
      <c r="A255">
        <v>254</v>
      </c>
      <c r="B255">
        <v>45884.706384467594</v>
      </c>
      <c r="D255" t="s">
        <v>1463</v>
      </c>
      <c r="E255" t="s">
        <v>1464</v>
      </c>
      <c r="F255" t="s">
        <v>344</v>
      </c>
      <c r="G255" t="s">
        <v>28</v>
      </c>
      <c r="H255" t="s">
        <v>29</v>
      </c>
      <c r="I255" t="s">
        <v>30</v>
      </c>
      <c r="J255" t="s">
        <v>28</v>
      </c>
      <c r="K255" t="s">
        <v>94</v>
      </c>
      <c r="L255" t="s">
        <v>36</v>
      </c>
      <c r="N255" t="s">
        <v>1436</v>
      </c>
      <c r="O255" t="s">
        <v>38</v>
      </c>
      <c r="P255" t="s">
        <v>48</v>
      </c>
      <c r="Q255" t="s">
        <v>49</v>
      </c>
      <c r="R255" t="s">
        <v>1465</v>
      </c>
      <c r="S255" t="s">
        <v>49</v>
      </c>
      <c r="T255" t="s">
        <v>1465</v>
      </c>
      <c r="U255" t="s">
        <v>1466</v>
      </c>
      <c r="V255" t="s">
        <v>65</v>
      </c>
      <c r="W255" t="s">
        <v>1467</v>
      </c>
      <c r="X255" t="s">
        <v>1395</v>
      </c>
      <c r="Y255" t="s">
        <v>1061</v>
      </c>
      <c r="Z255" t="s">
        <v>57</v>
      </c>
    </row>
    <row r="256" spans="1:26" ht="12.75" customHeight="1" x14ac:dyDescent="0.35">
      <c r="A256">
        <v>255</v>
      </c>
      <c r="B256">
        <v>45884.708769212964</v>
      </c>
      <c r="D256" t="s">
        <v>1468</v>
      </c>
      <c r="E256" t="s">
        <v>1469</v>
      </c>
      <c r="F256" t="s">
        <v>344</v>
      </c>
      <c r="G256" t="s">
        <v>28</v>
      </c>
      <c r="H256" t="s">
        <v>29</v>
      </c>
      <c r="I256" t="s">
        <v>30</v>
      </c>
      <c r="J256" t="s">
        <v>173</v>
      </c>
      <c r="K256" t="s">
        <v>94</v>
      </c>
      <c r="L256" t="s">
        <v>46</v>
      </c>
      <c r="N256" t="s">
        <v>1470</v>
      </c>
      <c r="O256" t="s">
        <v>49</v>
      </c>
      <c r="P256" t="s">
        <v>49</v>
      </c>
      <c r="Q256" t="s">
        <v>38</v>
      </c>
      <c r="R256" t="s">
        <v>1471</v>
      </c>
      <c r="S256" t="s">
        <v>40</v>
      </c>
      <c r="T256" t="s">
        <v>1472</v>
      </c>
      <c r="U256" t="s">
        <v>1473</v>
      </c>
      <c r="V256" t="s">
        <v>79</v>
      </c>
      <c r="W256" t="s">
        <v>1474</v>
      </c>
      <c r="X256" t="s">
        <v>1386</v>
      </c>
      <c r="Y256" t="s">
        <v>1475</v>
      </c>
      <c r="Z256" t="s">
        <v>129</v>
      </c>
    </row>
    <row r="257" spans="1:26" ht="12.75" customHeight="1" x14ac:dyDescent="0.35">
      <c r="A257">
        <v>256</v>
      </c>
      <c r="B257">
        <v>45885.452021643519</v>
      </c>
      <c r="D257" t="s">
        <v>1476</v>
      </c>
      <c r="E257" t="s">
        <v>1041</v>
      </c>
      <c r="F257" t="s">
        <v>28</v>
      </c>
      <c r="G257" t="s">
        <v>60</v>
      </c>
      <c r="H257" t="s">
        <v>73</v>
      </c>
      <c r="I257" t="s">
        <v>173</v>
      </c>
      <c r="J257" t="s">
        <v>368</v>
      </c>
      <c r="K257" t="s">
        <v>94</v>
      </c>
      <c r="L257" t="s">
        <v>36</v>
      </c>
      <c r="N257" t="s">
        <v>1477</v>
      </c>
      <c r="O257" t="s">
        <v>48</v>
      </c>
      <c r="P257" t="s">
        <v>48</v>
      </c>
      <c r="Q257" t="s">
        <v>40</v>
      </c>
      <c r="R257" t="s">
        <v>1478</v>
      </c>
      <c r="S257" t="s">
        <v>48</v>
      </c>
      <c r="T257" t="s">
        <v>1479</v>
      </c>
      <c r="U257" t="s">
        <v>1480</v>
      </c>
      <c r="V257" t="s">
        <v>79</v>
      </c>
      <c r="X257" t="s">
        <v>1481</v>
      </c>
      <c r="Y257" t="s">
        <v>759</v>
      </c>
      <c r="Z257" t="s">
        <v>91</v>
      </c>
    </row>
    <row r="258" spans="1:26" ht="12.75" customHeight="1" x14ac:dyDescent="0.35">
      <c r="A258">
        <v>257</v>
      </c>
      <c r="B258">
        <v>45885.455184745369</v>
      </c>
      <c r="D258" t="s">
        <v>1482</v>
      </c>
      <c r="E258" t="s">
        <v>1112</v>
      </c>
      <c r="F258" t="s">
        <v>28</v>
      </c>
      <c r="G258" t="s">
        <v>33</v>
      </c>
      <c r="H258" t="s">
        <v>29</v>
      </c>
      <c r="I258" t="s">
        <v>30</v>
      </c>
      <c r="J258" t="s">
        <v>30</v>
      </c>
      <c r="K258" t="s">
        <v>45</v>
      </c>
      <c r="L258" t="s">
        <v>46</v>
      </c>
      <c r="N258" t="s">
        <v>1483</v>
      </c>
      <c r="O258" t="s">
        <v>48</v>
      </c>
      <c r="P258" t="s">
        <v>48</v>
      </c>
      <c r="Q258" t="s">
        <v>39</v>
      </c>
      <c r="R258" t="s">
        <v>1484</v>
      </c>
      <c r="S258" t="s">
        <v>38</v>
      </c>
      <c r="T258" t="s">
        <v>1485</v>
      </c>
      <c r="U258" t="s">
        <v>1486</v>
      </c>
      <c r="V258" t="s">
        <v>65</v>
      </c>
      <c r="X258" t="s">
        <v>1481</v>
      </c>
      <c r="Y258" t="s">
        <v>1235</v>
      </c>
      <c r="Z258" t="s">
        <v>57</v>
      </c>
    </row>
    <row r="259" spans="1:26" ht="12.75" customHeight="1" x14ac:dyDescent="0.35">
      <c r="A259">
        <v>258</v>
      </c>
      <c r="B259">
        <v>45885.460563425921</v>
      </c>
      <c r="D259" t="s">
        <v>1487</v>
      </c>
      <c r="E259" t="s">
        <v>1488</v>
      </c>
      <c r="F259" t="s">
        <v>28</v>
      </c>
      <c r="G259" t="s">
        <v>158</v>
      </c>
      <c r="H259" t="s">
        <v>60</v>
      </c>
      <c r="I259" t="s">
        <v>158</v>
      </c>
      <c r="J259" t="s">
        <v>173</v>
      </c>
      <c r="K259" t="s">
        <v>292</v>
      </c>
      <c r="L259" t="s">
        <v>36</v>
      </c>
      <c r="N259" t="s">
        <v>1489</v>
      </c>
      <c r="O259" t="s">
        <v>49</v>
      </c>
      <c r="P259" t="s">
        <v>49</v>
      </c>
      <c r="Q259" t="s">
        <v>48</v>
      </c>
      <c r="R259" t="s">
        <v>1490</v>
      </c>
      <c r="S259" t="s">
        <v>38</v>
      </c>
      <c r="T259" t="s">
        <v>1491</v>
      </c>
      <c r="U259" t="s">
        <v>1492</v>
      </c>
      <c r="V259" t="s">
        <v>79</v>
      </c>
      <c r="X259" t="s">
        <v>1481</v>
      </c>
      <c r="Y259" t="s">
        <v>376</v>
      </c>
      <c r="Z259" t="s">
        <v>129</v>
      </c>
    </row>
    <row r="260" spans="1:26" ht="12.75" customHeight="1" x14ac:dyDescent="0.35">
      <c r="A260">
        <v>259</v>
      </c>
      <c r="B260">
        <v>45885.487181944445</v>
      </c>
      <c r="D260" t="s">
        <v>1493</v>
      </c>
      <c r="E260" t="s">
        <v>1494</v>
      </c>
      <c r="F260" t="s">
        <v>28</v>
      </c>
      <c r="G260" t="s">
        <v>197</v>
      </c>
      <c r="H260" t="s">
        <v>60</v>
      </c>
      <c r="I260" t="s">
        <v>197</v>
      </c>
      <c r="J260" t="s">
        <v>28</v>
      </c>
      <c r="K260" t="s">
        <v>292</v>
      </c>
      <c r="L260" t="s">
        <v>46</v>
      </c>
      <c r="N260" t="s">
        <v>1495</v>
      </c>
      <c r="O260" t="s">
        <v>49</v>
      </c>
      <c r="P260" t="s">
        <v>49</v>
      </c>
      <c r="Q260" t="s">
        <v>48</v>
      </c>
      <c r="R260" t="s">
        <v>1496</v>
      </c>
      <c r="S260" t="s">
        <v>38</v>
      </c>
      <c r="T260" t="s">
        <v>1497</v>
      </c>
      <c r="U260" t="s">
        <v>1498</v>
      </c>
      <c r="V260" t="s">
        <v>79</v>
      </c>
      <c r="X260" t="s">
        <v>1481</v>
      </c>
      <c r="Y260" t="s">
        <v>1499</v>
      </c>
      <c r="Z260" t="s">
        <v>91</v>
      </c>
    </row>
    <row r="261" spans="1:26" ht="12.75" customHeight="1" x14ac:dyDescent="0.35">
      <c r="A261">
        <v>260</v>
      </c>
      <c r="B261">
        <v>45885.49155111111</v>
      </c>
      <c r="D261" t="s">
        <v>1500</v>
      </c>
      <c r="E261" t="s">
        <v>1501</v>
      </c>
      <c r="F261" t="s">
        <v>28</v>
      </c>
      <c r="G261" t="s">
        <v>60</v>
      </c>
      <c r="H261" t="s">
        <v>206</v>
      </c>
      <c r="I261" t="s">
        <v>173</v>
      </c>
      <c r="J261" t="s">
        <v>45</v>
      </c>
      <c r="K261" t="s">
        <v>73</v>
      </c>
      <c r="L261" t="s">
        <v>36</v>
      </c>
      <c r="N261" t="s">
        <v>1477</v>
      </c>
      <c r="O261" t="s">
        <v>49</v>
      </c>
      <c r="P261" t="s">
        <v>49</v>
      </c>
      <c r="Q261" t="s">
        <v>39</v>
      </c>
      <c r="R261" t="s">
        <v>1502</v>
      </c>
      <c r="S261" t="s">
        <v>48</v>
      </c>
      <c r="T261" t="s">
        <v>1503</v>
      </c>
      <c r="U261" t="s">
        <v>1504</v>
      </c>
      <c r="V261" t="s">
        <v>65</v>
      </c>
      <c r="X261" t="s">
        <v>1481</v>
      </c>
      <c r="Y261" t="s">
        <v>1061</v>
      </c>
      <c r="Z261" t="s">
        <v>129</v>
      </c>
    </row>
    <row r="262" spans="1:26" ht="12.75" customHeight="1" x14ac:dyDescent="0.35">
      <c r="A262">
        <v>261</v>
      </c>
      <c r="B262">
        <v>45885.495521238423</v>
      </c>
      <c r="D262" t="s">
        <v>1505</v>
      </c>
      <c r="E262" t="s">
        <v>1506</v>
      </c>
      <c r="F262" t="s">
        <v>449</v>
      </c>
      <c r="G262" t="s">
        <v>60</v>
      </c>
      <c r="H262" t="s">
        <v>60</v>
      </c>
      <c r="I262" t="s">
        <v>34</v>
      </c>
      <c r="J262" t="s">
        <v>30</v>
      </c>
      <c r="K262" t="s">
        <v>45</v>
      </c>
      <c r="L262" t="s">
        <v>46</v>
      </c>
      <c r="N262" t="s">
        <v>1507</v>
      </c>
      <c r="O262" t="s">
        <v>48</v>
      </c>
      <c r="P262" t="s">
        <v>48</v>
      </c>
      <c r="Q262" t="s">
        <v>40</v>
      </c>
      <c r="R262" t="s">
        <v>1508</v>
      </c>
      <c r="S262" t="s">
        <v>38</v>
      </c>
      <c r="T262" t="s">
        <v>1509</v>
      </c>
      <c r="U262" t="s">
        <v>1510</v>
      </c>
      <c r="V262" t="s">
        <v>53</v>
      </c>
      <c r="X262" t="s">
        <v>1481</v>
      </c>
      <c r="Y262" t="s">
        <v>694</v>
      </c>
      <c r="Z262" t="s">
        <v>129</v>
      </c>
    </row>
    <row r="263" spans="1:26" ht="12.75" customHeight="1" x14ac:dyDescent="0.35">
      <c r="A263">
        <v>262</v>
      </c>
      <c r="B263">
        <v>45885.499304560188</v>
      </c>
      <c r="D263" t="s">
        <v>1511</v>
      </c>
      <c r="E263" t="s">
        <v>1085</v>
      </c>
      <c r="F263" t="s">
        <v>28</v>
      </c>
      <c r="G263" t="s">
        <v>196</v>
      </c>
      <c r="H263" t="s">
        <v>60</v>
      </c>
      <c r="I263" t="s">
        <v>196</v>
      </c>
      <c r="J263" t="s">
        <v>173</v>
      </c>
      <c r="K263" t="s">
        <v>292</v>
      </c>
      <c r="L263" t="s">
        <v>36</v>
      </c>
      <c r="N263" t="s">
        <v>1483</v>
      </c>
      <c r="O263" t="s">
        <v>49</v>
      </c>
      <c r="P263" t="s">
        <v>49</v>
      </c>
      <c r="Q263" t="s">
        <v>48</v>
      </c>
      <c r="R263" t="s">
        <v>1512</v>
      </c>
      <c r="S263" t="s">
        <v>49</v>
      </c>
      <c r="T263" t="s">
        <v>1513</v>
      </c>
      <c r="U263" t="s">
        <v>1514</v>
      </c>
      <c r="V263" t="s">
        <v>65</v>
      </c>
      <c r="X263" t="s">
        <v>1481</v>
      </c>
      <c r="Y263" t="s">
        <v>1090</v>
      </c>
      <c r="Z263" t="s">
        <v>57</v>
      </c>
    </row>
    <row r="264" spans="1:26" ht="12.75" customHeight="1" x14ac:dyDescent="0.35">
      <c r="A264">
        <v>263</v>
      </c>
      <c r="B264">
        <v>45885.507249953705</v>
      </c>
      <c r="D264" t="s">
        <v>1515</v>
      </c>
      <c r="E264" t="s">
        <v>1070</v>
      </c>
      <c r="F264" t="s">
        <v>28</v>
      </c>
      <c r="G264" t="s">
        <v>72</v>
      </c>
      <c r="H264" t="s">
        <v>28</v>
      </c>
      <c r="I264" t="s">
        <v>196</v>
      </c>
      <c r="J264" t="s">
        <v>28</v>
      </c>
      <c r="K264" t="s">
        <v>61</v>
      </c>
      <c r="L264" t="s">
        <v>46</v>
      </c>
      <c r="N264" t="s">
        <v>1495</v>
      </c>
      <c r="O264" t="s">
        <v>49</v>
      </c>
      <c r="P264" t="s">
        <v>49</v>
      </c>
      <c r="Q264" t="s">
        <v>48</v>
      </c>
      <c r="R264" t="s">
        <v>1516</v>
      </c>
      <c r="S264" t="s">
        <v>49</v>
      </c>
      <c r="T264" t="s">
        <v>1517</v>
      </c>
      <c r="U264" t="s">
        <v>1518</v>
      </c>
      <c r="V264" t="s">
        <v>87</v>
      </c>
      <c r="X264" t="s">
        <v>1481</v>
      </c>
      <c r="Y264" t="s">
        <v>1075</v>
      </c>
      <c r="Z264" t="s">
        <v>91</v>
      </c>
    </row>
    <row r="265" spans="1:26" ht="12.75" customHeight="1" x14ac:dyDescent="0.35">
      <c r="A265">
        <v>264</v>
      </c>
      <c r="B265">
        <v>45885.512656909719</v>
      </c>
      <c r="D265" t="s">
        <v>1519</v>
      </c>
      <c r="E265" t="s">
        <v>1520</v>
      </c>
      <c r="F265" t="s">
        <v>44</v>
      </c>
      <c r="G265" t="s">
        <v>60</v>
      </c>
      <c r="H265" t="s">
        <v>206</v>
      </c>
      <c r="I265" t="s">
        <v>28</v>
      </c>
      <c r="J265" t="s">
        <v>368</v>
      </c>
      <c r="K265" t="s">
        <v>73</v>
      </c>
      <c r="L265" t="s">
        <v>36</v>
      </c>
      <c r="N265" t="s">
        <v>1521</v>
      </c>
      <c r="O265" t="s">
        <v>49</v>
      </c>
      <c r="P265" t="s">
        <v>49</v>
      </c>
      <c r="Q265" t="s">
        <v>38</v>
      </c>
      <c r="R265" t="s">
        <v>1522</v>
      </c>
      <c r="S265" t="s">
        <v>48</v>
      </c>
      <c r="T265" t="s">
        <v>1523</v>
      </c>
      <c r="U265" t="s">
        <v>1524</v>
      </c>
      <c r="V265" t="s">
        <v>53</v>
      </c>
      <c r="X265" t="s">
        <v>1525</v>
      </c>
      <c r="Y265" t="s">
        <v>1104</v>
      </c>
      <c r="Z265" t="s">
        <v>170</v>
      </c>
    </row>
    <row r="266" spans="1:26" ht="12.75" customHeight="1" x14ac:dyDescent="0.35">
      <c r="A266">
        <v>265</v>
      </c>
      <c r="B266">
        <v>45885.513781458329</v>
      </c>
      <c r="D266" t="s">
        <v>1526</v>
      </c>
      <c r="E266" t="s">
        <v>1527</v>
      </c>
      <c r="F266" t="s">
        <v>60</v>
      </c>
      <c r="G266" t="s">
        <v>33</v>
      </c>
      <c r="H266" t="s">
        <v>33</v>
      </c>
      <c r="I266" t="s">
        <v>173</v>
      </c>
      <c r="J266" t="s">
        <v>30</v>
      </c>
      <c r="K266" t="s">
        <v>28</v>
      </c>
      <c r="L266" t="s">
        <v>46</v>
      </c>
      <c r="N266" t="s">
        <v>1528</v>
      </c>
      <c r="O266" t="s">
        <v>48</v>
      </c>
      <c r="P266" t="s">
        <v>49</v>
      </c>
      <c r="Q266" t="s">
        <v>38</v>
      </c>
      <c r="R266" t="s">
        <v>1529</v>
      </c>
      <c r="S266" t="s">
        <v>38</v>
      </c>
      <c r="T266" t="s">
        <v>1530</v>
      </c>
      <c r="U266" t="s">
        <v>1531</v>
      </c>
      <c r="V266" t="s">
        <v>87</v>
      </c>
      <c r="X266" t="s">
        <v>1525</v>
      </c>
      <c r="Y266" t="s">
        <v>1532</v>
      </c>
      <c r="Z266" t="s">
        <v>91</v>
      </c>
    </row>
    <row r="267" spans="1:26" ht="12.75" customHeight="1" x14ac:dyDescent="0.35">
      <c r="A267">
        <v>266</v>
      </c>
      <c r="B267">
        <v>45885.515334432872</v>
      </c>
      <c r="D267" t="s">
        <v>1533</v>
      </c>
      <c r="E267" t="s">
        <v>1534</v>
      </c>
      <c r="F267" t="s">
        <v>28</v>
      </c>
      <c r="G267" t="s">
        <v>60</v>
      </c>
      <c r="H267" t="s">
        <v>206</v>
      </c>
      <c r="I267" t="s">
        <v>173</v>
      </c>
      <c r="J267" t="s">
        <v>94</v>
      </c>
      <c r="K267" t="s">
        <v>73</v>
      </c>
      <c r="L267" t="s">
        <v>36</v>
      </c>
      <c r="N267" t="s">
        <v>1535</v>
      </c>
      <c r="O267" t="s">
        <v>49</v>
      </c>
      <c r="P267" t="s">
        <v>49</v>
      </c>
      <c r="Q267" t="s">
        <v>49</v>
      </c>
      <c r="R267" t="s">
        <v>1536</v>
      </c>
      <c r="S267" t="s">
        <v>48</v>
      </c>
      <c r="T267" t="s">
        <v>1537</v>
      </c>
      <c r="U267" t="s">
        <v>1538</v>
      </c>
      <c r="V267" t="s">
        <v>87</v>
      </c>
      <c r="X267" t="s">
        <v>1525</v>
      </c>
      <c r="Y267" t="s">
        <v>1047</v>
      </c>
      <c r="Z267" t="s">
        <v>129</v>
      </c>
    </row>
    <row r="268" spans="1:26" ht="12.75" customHeight="1" x14ac:dyDescent="0.35">
      <c r="A268">
        <v>267</v>
      </c>
      <c r="B268">
        <v>45885.517218692126</v>
      </c>
      <c r="D268" t="s">
        <v>1539</v>
      </c>
      <c r="E268" t="s">
        <v>1160</v>
      </c>
      <c r="F268" t="s">
        <v>28</v>
      </c>
      <c r="G268" t="s">
        <v>197</v>
      </c>
      <c r="H268" t="s">
        <v>44</v>
      </c>
      <c r="I268" t="s">
        <v>197</v>
      </c>
      <c r="J268" t="s">
        <v>103</v>
      </c>
      <c r="K268" t="s">
        <v>61</v>
      </c>
      <c r="L268" t="s">
        <v>46</v>
      </c>
      <c r="N268" t="s">
        <v>1540</v>
      </c>
      <c r="O268" t="s">
        <v>49</v>
      </c>
      <c r="P268" t="s">
        <v>49</v>
      </c>
      <c r="Q268" t="s">
        <v>48</v>
      </c>
      <c r="R268" t="s">
        <v>1541</v>
      </c>
      <c r="S268" t="s">
        <v>49</v>
      </c>
      <c r="T268" t="s">
        <v>1542</v>
      </c>
      <c r="U268" t="s">
        <v>1543</v>
      </c>
      <c r="V268" t="s">
        <v>79</v>
      </c>
      <c r="X268" t="s">
        <v>1525</v>
      </c>
      <c r="Y268" t="s">
        <v>694</v>
      </c>
      <c r="Z268" t="s">
        <v>129</v>
      </c>
    </row>
    <row r="269" spans="1:26" ht="12.75" customHeight="1" x14ac:dyDescent="0.35">
      <c r="A269">
        <v>268</v>
      </c>
      <c r="B269">
        <v>45885.519449305561</v>
      </c>
      <c r="D269" t="s">
        <v>1164</v>
      </c>
      <c r="E269" t="s">
        <v>1339</v>
      </c>
      <c r="F269" t="s">
        <v>449</v>
      </c>
      <c r="G269" t="s">
        <v>60</v>
      </c>
      <c r="H269" t="s">
        <v>206</v>
      </c>
      <c r="I269" t="s">
        <v>30</v>
      </c>
      <c r="J269" t="s">
        <v>94</v>
      </c>
      <c r="K269" t="s">
        <v>73</v>
      </c>
      <c r="L269" t="s">
        <v>36</v>
      </c>
      <c r="N269" t="s">
        <v>1544</v>
      </c>
      <c r="O269" t="s">
        <v>49</v>
      </c>
      <c r="P269" t="s">
        <v>49</v>
      </c>
      <c r="Q269" t="s">
        <v>38</v>
      </c>
      <c r="R269" t="s">
        <v>1545</v>
      </c>
      <c r="S269" t="s">
        <v>48</v>
      </c>
      <c r="T269" t="s">
        <v>1546</v>
      </c>
      <c r="U269" t="s">
        <v>1547</v>
      </c>
      <c r="V269" t="s">
        <v>53</v>
      </c>
      <c r="X269" t="s">
        <v>1525</v>
      </c>
      <c r="Y269" t="s">
        <v>1235</v>
      </c>
      <c r="Z269" t="s">
        <v>91</v>
      </c>
    </row>
    <row r="270" spans="1:26" ht="12.75" customHeight="1" x14ac:dyDescent="0.35">
      <c r="A270">
        <v>269</v>
      </c>
      <c r="B270">
        <v>45885.520891805558</v>
      </c>
      <c r="D270" t="s">
        <v>1548</v>
      </c>
      <c r="E270" t="s">
        <v>1070</v>
      </c>
      <c r="F270" t="s">
        <v>29</v>
      </c>
      <c r="G270" t="s">
        <v>33</v>
      </c>
      <c r="H270" t="s">
        <v>33</v>
      </c>
      <c r="I270" t="s">
        <v>173</v>
      </c>
      <c r="J270" t="s">
        <v>173</v>
      </c>
      <c r="K270" t="s">
        <v>28</v>
      </c>
      <c r="L270" t="s">
        <v>46</v>
      </c>
      <c r="N270" t="s">
        <v>1549</v>
      </c>
      <c r="O270" t="s">
        <v>48</v>
      </c>
      <c r="P270" t="s">
        <v>49</v>
      </c>
      <c r="Q270" t="s">
        <v>49</v>
      </c>
      <c r="R270" t="s">
        <v>1550</v>
      </c>
      <c r="S270" t="s">
        <v>49</v>
      </c>
      <c r="T270" t="s">
        <v>1551</v>
      </c>
      <c r="U270" t="s">
        <v>1552</v>
      </c>
      <c r="V270" t="s">
        <v>53</v>
      </c>
      <c r="X270" t="s">
        <v>1525</v>
      </c>
      <c r="Y270" t="s">
        <v>1075</v>
      </c>
      <c r="Z270" t="s">
        <v>91</v>
      </c>
    </row>
    <row r="271" spans="1:26" ht="12.75" customHeight="1" x14ac:dyDescent="0.35">
      <c r="A271">
        <v>270</v>
      </c>
      <c r="B271">
        <v>45885.522389293983</v>
      </c>
      <c r="D271" t="s">
        <v>1553</v>
      </c>
      <c r="E271" t="s">
        <v>1085</v>
      </c>
      <c r="F271" t="s">
        <v>60</v>
      </c>
      <c r="G271" t="s">
        <v>28</v>
      </c>
      <c r="H271" t="s">
        <v>60</v>
      </c>
      <c r="I271" t="s">
        <v>197</v>
      </c>
      <c r="J271" t="s">
        <v>173</v>
      </c>
      <c r="K271" t="s">
        <v>61</v>
      </c>
      <c r="L271" t="s">
        <v>36</v>
      </c>
      <c r="N271" t="s">
        <v>1521</v>
      </c>
      <c r="O271" t="s">
        <v>48</v>
      </c>
      <c r="P271" t="s">
        <v>49</v>
      </c>
      <c r="Q271" t="s">
        <v>48</v>
      </c>
      <c r="R271" t="s">
        <v>1554</v>
      </c>
      <c r="S271" t="s">
        <v>49</v>
      </c>
      <c r="T271" t="s">
        <v>1555</v>
      </c>
      <c r="U271" t="s">
        <v>1556</v>
      </c>
      <c r="V271" t="s">
        <v>65</v>
      </c>
      <c r="X271" t="s">
        <v>1525</v>
      </c>
      <c r="Y271" t="s">
        <v>1090</v>
      </c>
      <c r="Z271" t="s">
        <v>129</v>
      </c>
    </row>
    <row r="272" spans="1:26" ht="12.75" customHeight="1" x14ac:dyDescent="0.35">
      <c r="A272">
        <v>271</v>
      </c>
      <c r="B272">
        <v>45885.523446435182</v>
      </c>
      <c r="D272" t="s">
        <v>1557</v>
      </c>
      <c r="E272" t="s">
        <v>1192</v>
      </c>
      <c r="F272" t="s">
        <v>449</v>
      </c>
      <c r="G272" t="s">
        <v>29</v>
      </c>
      <c r="H272" t="s">
        <v>206</v>
      </c>
      <c r="I272" t="s">
        <v>30</v>
      </c>
      <c r="J272" t="s">
        <v>368</v>
      </c>
      <c r="K272" t="s">
        <v>73</v>
      </c>
      <c r="L272" t="s">
        <v>46</v>
      </c>
      <c r="N272" t="s">
        <v>1558</v>
      </c>
      <c r="O272" t="s">
        <v>49</v>
      </c>
      <c r="P272" t="s">
        <v>49</v>
      </c>
      <c r="Q272" t="s">
        <v>38</v>
      </c>
      <c r="R272" t="s">
        <v>1559</v>
      </c>
      <c r="S272" t="s">
        <v>48</v>
      </c>
      <c r="T272" t="s">
        <v>1560</v>
      </c>
      <c r="U272" t="s">
        <v>1561</v>
      </c>
      <c r="V272" t="s">
        <v>87</v>
      </c>
      <c r="X272" t="s">
        <v>1525</v>
      </c>
      <c r="Y272" t="s">
        <v>704</v>
      </c>
      <c r="Z272" t="s">
        <v>129</v>
      </c>
    </row>
    <row r="273" spans="1:26" ht="12.75" customHeight="1" x14ac:dyDescent="0.35">
      <c r="A273">
        <v>272</v>
      </c>
      <c r="B273">
        <v>45885.524333796297</v>
      </c>
      <c r="D273" t="s">
        <v>1562</v>
      </c>
      <c r="E273" t="s">
        <v>1282</v>
      </c>
      <c r="F273" t="s">
        <v>29</v>
      </c>
      <c r="G273" t="s">
        <v>33</v>
      </c>
      <c r="H273" t="s">
        <v>33</v>
      </c>
      <c r="I273" t="s">
        <v>173</v>
      </c>
      <c r="J273" t="s">
        <v>30</v>
      </c>
      <c r="K273" t="s">
        <v>292</v>
      </c>
      <c r="L273" t="s">
        <v>36</v>
      </c>
      <c r="N273" t="s">
        <v>1528</v>
      </c>
      <c r="O273" t="s">
        <v>48</v>
      </c>
      <c r="P273" t="s">
        <v>49</v>
      </c>
      <c r="Q273" t="s">
        <v>49</v>
      </c>
      <c r="R273" t="s">
        <v>1563</v>
      </c>
      <c r="S273" t="s">
        <v>49</v>
      </c>
      <c r="T273" t="s">
        <v>1564</v>
      </c>
      <c r="U273" t="s">
        <v>1565</v>
      </c>
      <c r="V273" t="s">
        <v>53</v>
      </c>
      <c r="X273" t="s">
        <v>1525</v>
      </c>
      <c r="Y273" t="s">
        <v>1566</v>
      </c>
      <c r="Z273" t="s">
        <v>91</v>
      </c>
    </row>
    <row r="274" spans="1:26" ht="12.75" customHeight="1" x14ac:dyDescent="0.35">
      <c r="A274">
        <v>273</v>
      </c>
      <c r="B274">
        <v>45885.525337407409</v>
      </c>
      <c r="D274" t="s">
        <v>1567</v>
      </c>
      <c r="E274" t="s">
        <v>1447</v>
      </c>
      <c r="F274" t="s">
        <v>377</v>
      </c>
      <c r="G274" t="s">
        <v>44</v>
      </c>
      <c r="H274" t="s">
        <v>206</v>
      </c>
      <c r="I274" t="s">
        <v>173</v>
      </c>
      <c r="J274" t="s">
        <v>94</v>
      </c>
      <c r="K274" t="s">
        <v>73</v>
      </c>
      <c r="L274" t="s">
        <v>46</v>
      </c>
      <c r="N274" t="s">
        <v>1568</v>
      </c>
      <c r="O274" t="s">
        <v>49</v>
      </c>
      <c r="P274" t="s">
        <v>49</v>
      </c>
      <c r="Q274" t="s">
        <v>49</v>
      </c>
      <c r="R274" t="s">
        <v>1569</v>
      </c>
      <c r="S274" t="s">
        <v>48</v>
      </c>
      <c r="T274" t="s">
        <v>1570</v>
      </c>
      <c r="U274" t="s">
        <v>1571</v>
      </c>
      <c r="V274" t="s">
        <v>87</v>
      </c>
      <c r="X274" t="s">
        <v>1525</v>
      </c>
      <c r="Y274" t="s">
        <v>1572</v>
      </c>
      <c r="Z274" t="s">
        <v>91</v>
      </c>
    </row>
    <row r="275" spans="1:26" ht="12.75" customHeight="1" x14ac:dyDescent="0.35">
      <c r="A275">
        <v>274</v>
      </c>
      <c r="B275">
        <v>45885.526537106482</v>
      </c>
      <c r="D275" t="s">
        <v>1573</v>
      </c>
      <c r="E275" t="s">
        <v>180</v>
      </c>
      <c r="F275" t="s">
        <v>449</v>
      </c>
      <c r="G275" t="s">
        <v>60</v>
      </c>
      <c r="H275" t="s">
        <v>206</v>
      </c>
      <c r="I275" t="s">
        <v>173</v>
      </c>
      <c r="J275" t="s">
        <v>94</v>
      </c>
      <c r="K275" t="s">
        <v>73</v>
      </c>
      <c r="L275" t="s">
        <v>36</v>
      </c>
      <c r="N275" t="s">
        <v>1521</v>
      </c>
      <c r="O275" t="s">
        <v>49</v>
      </c>
      <c r="P275" t="s">
        <v>49</v>
      </c>
      <c r="Q275" t="s">
        <v>49</v>
      </c>
      <c r="R275" t="s">
        <v>1574</v>
      </c>
      <c r="S275" t="s">
        <v>48</v>
      </c>
      <c r="T275" t="s">
        <v>1575</v>
      </c>
      <c r="U275" t="s">
        <v>1576</v>
      </c>
      <c r="V275" t="s">
        <v>79</v>
      </c>
      <c r="X275" t="s">
        <v>1525</v>
      </c>
      <c r="Y275" t="s">
        <v>981</v>
      </c>
      <c r="Z275" t="s">
        <v>91</v>
      </c>
    </row>
    <row r="276" spans="1:26" ht="12.75" customHeight="1" x14ac:dyDescent="0.35">
      <c r="A276">
        <v>275</v>
      </c>
      <c r="B276">
        <v>45885.527511087959</v>
      </c>
      <c r="D276" t="s">
        <v>1577</v>
      </c>
      <c r="E276" t="s">
        <v>1282</v>
      </c>
      <c r="F276" t="s">
        <v>29</v>
      </c>
      <c r="G276" t="s">
        <v>33</v>
      </c>
      <c r="H276" t="s">
        <v>33</v>
      </c>
      <c r="I276" t="s">
        <v>173</v>
      </c>
      <c r="J276" t="s">
        <v>173</v>
      </c>
      <c r="K276" t="s">
        <v>28</v>
      </c>
      <c r="L276" t="s">
        <v>46</v>
      </c>
      <c r="N276" t="s">
        <v>1528</v>
      </c>
      <c r="O276" t="s">
        <v>48</v>
      </c>
      <c r="P276" t="s">
        <v>49</v>
      </c>
      <c r="Q276" t="s">
        <v>49</v>
      </c>
      <c r="R276" t="s">
        <v>1578</v>
      </c>
      <c r="S276" t="s">
        <v>49</v>
      </c>
      <c r="T276" t="s">
        <v>1579</v>
      </c>
      <c r="U276" t="s">
        <v>1580</v>
      </c>
      <c r="V276" t="s">
        <v>87</v>
      </c>
      <c r="X276" t="s">
        <v>1525</v>
      </c>
      <c r="Y276" t="s">
        <v>1581</v>
      </c>
      <c r="Z276" t="s">
        <v>129</v>
      </c>
    </row>
    <row r="277" spans="1:26" ht="12.75" customHeight="1" x14ac:dyDescent="0.35">
      <c r="A277">
        <v>276</v>
      </c>
      <c r="B277">
        <v>45885.528885173611</v>
      </c>
      <c r="D277" t="s">
        <v>1582</v>
      </c>
      <c r="E277" t="s">
        <v>1583</v>
      </c>
      <c r="F277" t="s">
        <v>377</v>
      </c>
      <c r="G277" t="s">
        <v>44</v>
      </c>
      <c r="H277" t="s">
        <v>284</v>
      </c>
      <c r="I277" t="s">
        <v>103</v>
      </c>
      <c r="J277" t="s">
        <v>368</v>
      </c>
      <c r="K277" t="s">
        <v>94</v>
      </c>
      <c r="L277" t="s">
        <v>36</v>
      </c>
      <c r="N277" t="s">
        <v>1535</v>
      </c>
      <c r="O277" t="s">
        <v>49</v>
      </c>
      <c r="P277" t="s">
        <v>49</v>
      </c>
      <c r="Q277" t="s">
        <v>49</v>
      </c>
      <c r="R277" t="s">
        <v>1584</v>
      </c>
      <c r="S277" t="s">
        <v>48</v>
      </c>
      <c r="T277" t="s">
        <v>1585</v>
      </c>
      <c r="U277" t="s">
        <v>1586</v>
      </c>
      <c r="V277" t="s">
        <v>79</v>
      </c>
      <c r="X277" t="s">
        <v>1525</v>
      </c>
      <c r="Y277" t="s">
        <v>1061</v>
      </c>
      <c r="Z277" t="s">
        <v>129</v>
      </c>
    </row>
    <row r="278" spans="1:26" ht="12.75" customHeight="1" x14ac:dyDescent="0.35">
      <c r="A278">
        <v>277</v>
      </c>
      <c r="B278">
        <v>45885.530014340278</v>
      </c>
      <c r="D278" t="s">
        <v>1587</v>
      </c>
      <c r="E278" t="s">
        <v>172</v>
      </c>
      <c r="F278" t="s">
        <v>44</v>
      </c>
      <c r="G278" t="s">
        <v>197</v>
      </c>
      <c r="H278" t="s">
        <v>60</v>
      </c>
      <c r="I278" t="s">
        <v>197</v>
      </c>
      <c r="J278" t="s">
        <v>173</v>
      </c>
      <c r="K278" t="s">
        <v>74</v>
      </c>
      <c r="L278" t="s">
        <v>46</v>
      </c>
      <c r="N278" t="s">
        <v>1521</v>
      </c>
      <c r="O278" t="s">
        <v>49</v>
      </c>
      <c r="P278" t="s">
        <v>49</v>
      </c>
      <c r="Q278" t="s">
        <v>48</v>
      </c>
      <c r="R278" t="s">
        <v>1588</v>
      </c>
      <c r="S278" t="s">
        <v>38</v>
      </c>
      <c r="T278" t="s">
        <v>1589</v>
      </c>
      <c r="U278" t="s">
        <v>1590</v>
      </c>
      <c r="V278" t="s">
        <v>53</v>
      </c>
      <c r="X278" t="s">
        <v>1525</v>
      </c>
      <c r="Y278" t="s">
        <v>1591</v>
      </c>
      <c r="Z278" t="s">
        <v>129</v>
      </c>
    </row>
    <row r="279" spans="1:26" ht="12.75" customHeight="1" x14ac:dyDescent="0.35">
      <c r="A279">
        <v>278</v>
      </c>
      <c r="B279">
        <v>45885.53098210648</v>
      </c>
      <c r="D279" t="s">
        <v>1592</v>
      </c>
      <c r="E279" t="s">
        <v>172</v>
      </c>
      <c r="F279" t="s">
        <v>28</v>
      </c>
      <c r="G279" t="s">
        <v>60</v>
      </c>
      <c r="H279" t="s">
        <v>284</v>
      </c>
      <c r="I279" t="s">
        <v>173</v>
      </c>
      <c r="J279" t="s">
        <v>368</v>
      </c>
      <c r="K279" t="s">
        <v>94</v>
      </c>
      <c r="L279" t="s">
        <v>36</v>
      </c>
      <c r="N279" t="s">
        <v>1540</v>
      </c>
      <c r="O279" t="s">
        <v>49</v>
      </c>
      <c r="P279" t="s">
        <v>49</v>
      </c>
      <c r="Q279" t="s">
        <v>49</v>
      </c>
      <c r="R279" t="s">
        <v>1593</v>
      </c>
      <c r="S279" t="s">
        <v>48</v>
      </c>
      <c r="T279" t="s">
        <v>1594</v>
      </c>
      <c r="U279" t="s">
        <v>1595</v>
      </c>
      <c r="V279" t="s">
        <v>87</v>
      </c>
      <c r="X279" t="s">
        <v>1525</v>
      </c>
      <c r="Y279" t="s">
        <v>1596</v>
      </c>
      <c r="Z279" t="s">
        <v>91</v>
      </c>
    </row>
    <row r="280" spans="1:26" ht="12.75" customHeight="1" x14ac:dyDescent="0.35">
      <c r="A280">
        <v>279</v>
      </c>
      <c r="B280">
        <v>45885.532203703704</v>
      </c>
      <c r="D280" t="s">
        <v>1597</v>
      </c>
      <c r="E280" t="s">
        <v>172</v>
      </c>
      <c r="F280" t="s">
        <v>60</v>
      </c>
      <c r="G280" t="s">
        <v>60</v>
      </c>
      <c r="H280" t="s">
        <v>60</v>
      </c>
      <c r="I280" t="s">
        <v>103</v>
      </c>
      <c r="J280" t="s">
        <v>103</v>
      </c>
      <c r="K280" t="s">
        <v>28</v>
      </c>
      <c r="L280" t="s">
        <v>46</v>
      </c>
      <c r="N280" t="s">
        <v>1549</v>
      </c>
      <c r="O280" t="s">
        <v>48</v>
      </c>
      <c r="P280" t="s">
        <v>49</v>
      </c>
      <c r="Q280" t="s">
        <v>49</v>
      </c>
      <c r="R280" t="s">
        <v>1598</v>
      </c>
      <c r="S280" t="s">
        <v>49</v>
      </c>
      <c r="T280" t="s">
        <v>1599</v>
      </c>
      <c r="U280" t="s">
        <v>1600</v>
      </c>
      <c r="V280" t="s">
        <v>79</v>
      </c>
      <c r="X280" t="s">
        <v>1525</v>
      </c>
      <c r="Y280" t="s">
        <v>1075</v>
      </c>
      <c r="Z280" t="s">
        <v>129</v>
      </c>
    </row>
    <row r="281" spans="1:26" ht="12.75" customHeight="1" x14ac:dyDescent="0.35">
      <c r="A281">
        <v>280</v>
      </c>
      <c r="B281">
        <v>45885.533734016208</v>
      </c>
      <c r="D281" t="s">
        <v>1601</v>
      </c>
      <c r="E281" t="s">
        <v>172</v>
      </c>
      <c r="F281" t="s">
        <v>60</v>
      </c>
      <c r="G281" t="s">
        <v>28</v>
      </c>
      <c r="H281" t="s">
        <v>29</v>
      </c>
      <c r="I281" t="s">
        <v>197</v>
      </c>
      <c r="J281" t="s">
        <v>173</v>
      </c>
      <c r="K281" t="s">
        <v>292</v>
      </c>
      <c r="L281" t="s">
        <v>36</v>
      </c>
      <c r="N281" t="s">
        <v>1544</v>
      </c>
      <c r="O281" t="s">
        <v>48</v>
      </c>
      <c r="P281" t="s">
        <v>49</v>
      </c>
      <c r="Q281" t="s">
        <v>48</v>
      </c>
      <c r="R281" t="s">
        <v>1602</v>
      </c>
      <c r="S281" t="s">
        <v>49</v>
      </c>
      <c r="T281" t="s">
        <v>1603</v>
      </c>
      <c r="U281" t="s">
        <v>1604</v>
      </c>
      <c r="V281" t="s">
        <v>53</v>
      </c>
      <c r="X281" t="s">
        <v>1525</v>
      </c>
      <c r="Y281" t="s">
        <v>1605</v>
      </c>
      <c r="Z281" t="s">
        <v>129</v>
      </c>
    </row>
    <row r="282" spans="1:26" ht="12.75" customHeight="1" x14ac:dyDescent="0.35">
      <c r="A282">
        <v>281</v>
      </c>
      <c r="B282">
        <v>45885.535738032406</v>
      </c>
      <c r="D282" t="s">
        <v>1606</v>
      </c>
      <c r="E282" t="s">
        <v>172</v>
      </c>
      <c r="F282" t="s">
        <v>60</v>
      </c>
      <c r="G282" t="s">
        <v>29</v>
      </c>
      <c r="H282" t="s">
        <v>29</v>
      </c>
      <c r="I282" t="s">
        <v>173</v>
      </c>
      <c r="J282" t="s">
        <v>173</v>
      </c>
      <c r="K282" t="s">
        <v>28</v>
      </c>
      <c r="L282" t="s">
        <v>46</v>
      </c>
      <c r="N282" t="s">
        <v>1607</v>
      </c>
      <c r="O282" t="s">
        <v>48</v>
      </c>
      <c r="P282" t="s">
        <v>49</v>
      </c>
      <c r="Q282" t="s">
        <v>38</v>
      </c>
      <c r="R282" t="s">
        <v>1608</v>
      </c>
      <c r="S282" t="s">
        <v>38</v>
      </c>
      <c r="T282" t="s">
        <v>1609</v>
      </c>
      <c r="U282" t="s">
        <v>1610</v>
      </c>
      <c r="V282" t="s">
        <v>53</v>
      </c>
      <c r="X282" t="s">
        <v>1525</v>
      </c>
      <c r="Y282" t="s">
        <v>981</v>
      </c>
      <c r="Z282" t="s">
        <v>91</v>
      </c>
    </row>
    <row r="283" spans="1:26" ht="12.75" customHeight="1" x14ac:dyDescent="0.35">
      <c r="A283">
        <v>282</v>
      </c>
      <c r="B283">
        <v>45885.536824641204</v>
      </c>
      <c r="D283" t="s">
        <v>1611</v>
      </c>
      <c r="E283" t="s">
        <v>172</v>
      </c>
      <c r="F283" t="s">
        <v>449</v>
      </c>
      <c r="G283" t="s">
        <v>60</v>
      </c>
      <c r="H283" t="s">
        <v>284</v>
      </c>
      <c r="I283" t="s">
        <v>173</v>
      </c>
      <c r="J283" t="s">
        <v>368</v>
      </c>
      <c r="K283" t="s">
        <v>73</v>
      </c>
      <c r="L283" t="s">
        <v>36</v>
      </c>
      <c r="N283" t="s">
        <v>1612</v>
      </c>
      <c r="O283" t="s">
        <v>49</v>
      </c>
      <c r="P283" t="s">
        <v>49</v>
      </c>
      <c r="Q283" t="s">
        <v>40</v>
      </c>
      <c r="R283" t="s">
        <v>1613</v>
      </c>
      <c r="S283" t="s">
        <v>48</v>
      </c>
      <c r="T283" t="s">
        <v>1614</v>
      </c>
      <c r="U283" t="s">
        <v>1615</v>
      </c>
      <c r="V283" t="s">
        <v>53</v>
      </c>
      <c r="X283" t="s">
        <v>1525</v>
      </c>
      <c r="Y283" t="s">
        <v>1616</v>
      </c>
      <c r="Z283" t="s">
        <v>91</v>
      </c>
    </row>
    <row r="284" spans="1:26" ht="12.75" customHeight="1" x14ac:dyDescent="0.35">
      <c r="A284">
        <v>283</v>
      </c>
      <c r="B284">
        <v>45885.537876608796</v>
      </c>
      <c r="D284" t="s">
        <v>1617</v>
      </c>
      <c r="E284" t="s">
        <v>172</v>
      </c>
      <c r="F284" t="s">
        <v>44</v>
      </c>
      <c r="G284" t="s">
        <v>60</v>
      </c>
      <c r="H284" t="s">
        <v>60</v>
      </c>
      <c r="I284" t="s">
        <v>103</v>
      </c>
      <c r="J284" t="s">
        <v>173</v>
      </c>
      <c r="K284" t="s">
        <v>28</v>
      </c>
      <c r="L284" t="s">
        <v>46</v>
      </c>
      <c r="N284" t="s">
        <v>1618</v>
      </c>
      <c r="O284" t="s">
        <v>48</v>
      </c>
      <c r="P284" t="s">
        <v>48</v>
      </c>
      <c r="Q284" t="s">
        <v>49</v>
      </c>
      <c r="R284" t="s">
        <v>1619</v>
      </c>
      <c r="S284" t="s">
        <v>49</v>
      </c>
      <c r="T284" t="s">
        <v>1620</v>
      </c>
      <c r="U284" t="s">
        <v>1621</v>
      </c>
      <c r="V284" t="s">
        <v>53</v>
      </c>
      <c r="X284" t="s">
        <v>1525</v>
      </c>
      <c r="Y284" t="s">
        <v>1622</v>
      </c>
      <c r="Z284" t="s">
        <v>129</v>
      </c>
    </row>
    <row r="285" spans="1:26" ht="12.75" customHeight="1" x14ac:dyDescent="0.35">
      <c r="A285">
        <v>284</v>
      </c>
      <c r="B285">
        <v>45885.556184907407</v>
      </c>
      <c r="D285" t="s">
        <v>1623</v>
      </c>
      <c r="E285" t="s">
        <v>1282</v>
      </c>
      <c r="F285" t="s">
        <v>28</v>
      </c>
      <c r="G285" t="s">
        <v>60</v>
      </c>
      <c r="H285" t="s">
        <v>284</v>
      </c>
      <c r="I285" t="s">
        <v>30</v>
      </c>
      <c r="J285" t="s">
        <v>368</v>
      </c>
      <c r="K285" t="s">
        <v>73</v>
      </c>
      <c r="L285" t="s">
        <v>36</v>
      </c>
      <c r="N285" t="s">
        <v>1477</v>
      </c>
      <c r="O285" t="s">
        <v>49</v>
      </c>
      <c r="P285" t="s">
        <v>49</v>
      </c>
      <c r="Q285" t="s">
        <v>40</v>
      </c>
      <c r="R285" t="s">
        <v>1624</v>
      </c>
      <c r="S285" t="s">
        <v>48</v>
      </c>
      <c r="T285" t="s">
        <v>1625</v>
      </c>
      <c r="U285" t="s">
        <v>1626</v>
      </c>
      <c r="V285" t="s">
        <v>79</v>
      </c>
      <c r="X285" t="s">
        <v>1481</v>
      </c>
      <c r="Y285" t="s">
        <v>1014</v>
      </c>
      <c r="Z285" t="s">
        <v>129</v>
      </c>
    </row>
    <row r="286" spans="1:26" ht="12.75" customHeight="1" x14ac:dyDescent="0.35">
      <c r="A286">
        <v>285</v>
      </c>
      <c r="B286">
        <v>45885.557168541665</v>
      </c>
      <c r="D286" t="s">
        <v>1627</v>
      </c>
      <c r="E286" t="s">
        <v>1192</v>
      </c>
      <c r="F286" t="s">
        <v>28</v>
      </c>
      <c r="G286" t="s">
        <v>29</v>
      </c>
      <c r="H286" t="s">
        <v>28</v>
      </c>
      <c r="I286" t="s">
        <v>173</v>
      </c>
      <c r="J286" t="s">
        <v>28</v>
      </c>
      <c r="K286" t="s">
        <v>94</v>
      </c>
      <c r="L286" t="s">
        <v>46</v>
      </c>
      <c r="N286" t="s">
        <v>1628</v>
      </c>
      <c r="O286" t="s">
        <v>48</v>
      </c>
      <c r="P286" t="s">
        <v>48</v>
      </c>
      <c r="Q286" t="s">
        <v>39</v>
      </c>
      <c r="R286" t="s">
        <v>1629</v>
      </c>
      <c r="S286" t="s">
        <v>48</v>
      </c>
      <c r="T286" t="s">
        <v>1630</v>
      </c>
      <c r="U286" t="s">
        <v>1631</v>
      </c>
      <c r="V286" t="s">
        <v>79</v>
      </c>
      <c r="X286" t="s">
        <v>1481</v>
      </c>
      <c r="Y286" t="s">
        <v>704</v>
      </c>
      <c r="Z286" t="s">
        <v>129</v>
      </c>
    </row>
    <row r="287" spans="1:26" ht="12.75" customHeight="1" x14ac:dyDescent="0.35">
      <c r="A287">
        <v>286</v>
      </c>
      <c r="B287">
        <v>45885.558416388885</v>
      </c>
      <c r="D287" t="s">
        <v>1632</v>
      </c>
      <c r="E287" t="s">
        <v>1520</v>
      </c>
      <c r="F287" t="s">
        <v>44</v>
      </c>
      <c r="G287" t="s">
        <v>33</v>
      </c>
      <c r="H287" t="s">
        <v>29</v>
      </c>
      <c r="I287" t="s">
        <v>173</v>
      </c>
      <c r="J287" t="s">
        <v>30</v>
      </c>
      <c r="K287" t="s">
        <v>45</v>
      </c>
      <c r="L287" t="s">
        <v>36</v>
      </c>
      <c r="N287" t="s">
        <v>1489</v>
      </c>
      <c r="O287" t="s">
        <v>48</v>
      </c>
      <c r="P287" t="s">
        <v>48</v>
      </c>
      <c r="Q287" t="s">
        <v>40</v>
      </c>
      <c r="R287" t="s">
        <v>1633</v>
      </c>
      <c r="S287" t="s">
        <v>38</v>
      </c>
      <c r="T287" t="s">
        <v>1634</v>
      </c>
      <c r="U287" t="s">
        <v>1635</v>
      </c>
      <c r="V287" t="s">
        <v>53</v>
      </c>
      <c r="X287" t="s">
        <v>1481</v>
      </c>
      <c r="Y287" t="s">
        <v>1235</v>
      </c>
      <c r="Z287" t="s">
        <v>91</v>
      </c>
    </row>
    <row r="288" spans="1:26" ht="12.75" customHeight="1" x14ac:dyDescent="0.35">
      <c r="A288">
        <v>287</v>
      </c>
      <c r="B288">
        <v>45885.559985532411</v>
      </c>
      <c r="D288" t="s">
        <v>1636</v>
      </c>
      <c r="E288" t="s">
        <v>1320</v>
      </c>
      <c r="F288" t="s">
        <v>28</v>
      </c>
      <c r="G288" t="s">
        <v>60</v>
      </c>
      <c r="H288" t="s">
        <v>206</v>
      </c>
      <c r="I288" t="s">
        <v>30</v>
      </c>
      <c r="J288" t="s">
        <v>73</v>
      </c>
      <c r="K288" t="s">
        <v>73</v>
      </c>
      <c r="L288" t="s">
        <v>46</v>
      </c>
      <c r="N288" t="s">
        <v>1477</v>
      </c>
      <c r="O288" t="s">
        <v>49</v>
      </c>
      <c r="P288" t="s">
        <v>38</v>
      </c>
      <c r="Q288" t="s">
        <v>38</v>
      </c>
      <c r="R288" t="s">
        <v>1637</v>
      </c>
      <c r="S288" t="s">
        <v>48</v>
      </c>
      <c r="T288" t="s">
        <v>1638</v>
      </c>
      <c r="U288" t="s">
        <v>1639</v>
      </c>
      <c r="V288" t="s">
        <v>135</v>
      </c>
      <c r="X288" t="s">
        <v>1481</v>
      </c>
      <c r="Y288" t="s">
        <v>1235</v>
      </c>
      <c r="Z288" t="s">
        <v>170</v>
      </c>
    </row>
    <row r="289" spans="1:26" ht="12.75" customHeight="1" x14ac:dyDescent="0.35">
      <c r="A289">
        <v>288</v>
      </c>
      <c r="B289">
        <v>45885.560965543977</v>
      </c>
      <c r="D289" t="s">
        <v>1640</v>
      </c>
      <c r="E289" t="s">
        <v>1641</v>
      </c>
      <c r="F289" t="s">
        <v>28</v>
      </c>
      <c r="G289" t="s">
        <v>197</v>
      </c>
      <c r="H289" t="s">
        <v>28</v>
      </c>
      <c r="I289" t="s">
        <v>197</v>
      </c>
      <c r="J289" t="s">
        <v>28</v>
      </c>
      <c r="K289" t="s">
        <v>61</v>
      </c>
      <c r="L289" t="s">
        <v>36</v>
      </c>
      <c r="N289" t="s">
        <v>1483</v>
      </c>
      <c r="O289" t="s">
        <v>38</v>
      </c>
      <c r="P289" t="s">
        <v>38</v>
      </c>
      <c r="Q289" t="s">
        <v>48</v>
      </c>
      <c r="R289" t="s">
        <v>1642</v>
      </c>
      <c r="S289" t="s">
        <v>40</v>
      </c>
      <c r="T289" t="s">
        <v>1643</v>
      </c>
      <c r="U289" t="s">
        <v>1644</v>
      </c>
      <c r="V289" t="s">
        <v>79</v>
      </c>
      <c r="X289" t="s">
        <v>1481</v>
      </c>
      <c r="Y289" t="s">
        <v>1645</v>
      </c>
      <c r="Z289" t="s">
        <v>91</v>
      </c>
    </row>
    <row r="290" spans="1:26" ht="12.75" customHeight="1" x14ac:dyDescent="0.35">
      <c r="A290">
        <v>289</v>
      </c>
      <c r="B290">
        <v>45885.564462013892</v>
      </c>
      <c r="D290" t="s">
        <v>1646</v>
      </c>
      <c r="E290" t="s">
        <v>1647</v>
      </c>
      <c r="F290" t="s">
        <v>44</v>
      </c>
      <c r="G290" t="s">
        <v>33</v>
      </c>
      <c r="H290" t="s">
        <v>29</v>
      </c>
      <c r="I290" t="s">
        <v>30</v>
      </c>
      <c r="J290" t="s">
        <v>30</v>
      </c>
      <c r="K290" t="s">
        <v>45</v>
      </c>
      <c r="L290" t="s">
        <v>46</v>
      </c>
      <c r="N290" t="s">
        <v>1495</v>
      </c>
      <c r="O290" t="s">
        <v>48</v>
      </c>
      <c r="P290" t="s">
        <v>49</v>
      </c>
      <c r="Q290" t="s">
        <v>39</v>
      </c>
      <c r="R290" t="s">
        <v>1648</v>
      </c>
      <c r="S290" t="s">
        <v>40</v>
      </c>
      <c r="T290" t="s">
        <v>1649</v>
      </c>
      <c r="U290" t="s">
        <v>1650</v>
      </c>
      <c r="V290" t="s">
        <v>53</v>
      </c>
      <c r="X290" t="s">
        <v>1481</v>
      </c>
      <c r="Y290" t="s">
        <v>694</v>
      </c>
      <c r="Z290" t="s">
        <v>129</v>
      </c>
    </row>
    <row r="291" spans="1:26" ht="12.75" customHeight="1" x14ac:dyDescent="0.35">
      <c r="A291">
        <v>290</v>
      </c>
      <c r="B291">
        <v>45885.565509803244</v>
      </c>
      <c r="D291" t="s">
        <v>1651</v>
      </c>
      <c r="E291" t="s">
        <v>1652</v>
      </c>
      <c r="F291" t="s">
        <v>28</v>
      </c>
      <c r="G291" t="s">
        <v>44</v>
      </c>
      <c r="H291" t="s">
        <v>284</v>
      </c>
      <c r="I291" t="s">
        <v>173</v>
      </c>
      <c r="J291" t="s">
        <v>368</v>
      </c>
      <c r="K291" t="s">
        <v>94</v>
      </c>
      <c r="L291" t="s">
        <v>36</v>
      </c>
      <c r="N291" t="s">
        <v>1477</v>
      </c>
      <c r="O291" t="s">
        <v>49</v>
      </c>
      <c r="P291" t="s">
        <v>49</v>
      </c>
      <c r="Q291" t="s">
        <v>38</v>
      </c>
      <c r="R291" t="s">
        <v>1653</v>
      </c>
      <c r="S291" t="s">
        <v>48</v>
      </c>
      <c r="T291" t="s">
        <v>1654</v>
      </c>
      <c r="U291" t="s">
        <v>1655</v>
      </c>
      <c r="V291" t="s">
        <v>65</v>
      </c>
      <c r="X291" t="s">
        <v>1481</v>
      </c>
      <c r="Y291" t="s">
        <v>1061</v>
      </c>
      <c r="Z291" t="s">
        <v>91</v>
      </c>
    </row>
    <row r="292" spans="1:26" ht="12.75" customHeight="1" x14ac:dyDescent="0.35">
      <c r="A292">
        <v>291</v>
      </c>
      <c r="B292">
        <v>45885.566188645833</v>
      </c>
      <c r="D292" t="s">
        <v>1656</v>
      </c>
      <c r="E292" t="s">
        <v>1657</v>
      </c>
      <c r="F292" t="s">
        <v>449</v>
      </c>
      <c r="G292" t="s">
        <v>44</v>
      </c>
      <c r="H292" t="s">
        <v>60</v>
      </c>
      <c r="I292" t="s">
        <v>34</v>
      </c>
      <c r="J292" t="s">
        <v>34</v>
      </c>
      <c r="K292" t="s">
        <v>45</v>
      </c>
      <c r="L292" t="s">
        <v>46</v>
      </c>
      <c r="N292" t="s">
        <v>1507</v>
      </c>
      <c r="O292" t="s">
        <v>49</v>
      </c>
      <c r="P292" t="s">
        <v>48</v>
      </c>
      <c r="Q292" t="s">
        <v>39</v>
      </c>
      <c r="R292" t="s">
        <v>1658</v>
      </c>
      <c r="S292" t="s">
        <v>38</v>
      </c>
      <c r="T292" t="s">
        <v>1659</v>
      </c>
      <c r="U292" t="s">
        <v>1660</v>
      </c>
      <c r="V292" t="s">
        <v>53</v>
      </c>
      <c r="X292" t="s">
        <v>1481</v>
      </c>
      <c r="Y292" t="s">
        <v>759</v>
      </c>
      <c r="Z292" t="s">
        <v>91</v>
      </c>
    </row>
    <row r="293" spans="1:26" ht="12.75" customHeight="1" x14ac:dyDescent="0.35">
      <c r="A293">
        <v>292</v>
      </c>
      <c r="B293">
        <v>45885.56709271991</v>
      </c>
      <c r="D293" t="s">
        <v>1661</v>
      </c>
      <c r="E293" t="s">
        <v>1662</v>
      </c>
      <c r="F293" t="s">
        <v>28</v>
      </c>
      <c r="G293" t="s">
        <v>60</v>
      </c>
      <c r="H293" t="s">
        <v>284</v>
      </c>
      <c r="I293" t="s">
        <v>173</v>
      </c>
      <c r="J293" t="s">
        <v>94</v>
      </c>
      <c r="K293" t="s">
        <v>73</v>
      </c>
      <c r="L293" t="s">
        <v>36</v>
      </c>
      <c r="N293" t="s">
        <v>1628</v>
      </c>
      <c r="O293" t="s">
        <v>49</v>
      </c>
      <c r="P293" t="s">
        <v>49</v>
      </c>
      <c r="Q293" t="s">
        <v>40</v>
      </c>
      <c r="R293" t="s">
        <v>1663</v>
      </c>
      <c r="S293" t="s">
        <v>48</v>
      </c>
      <c r="T293" t="s">
        <v>1664</v>
      </c>
      <c r="U293" t="s">
        <v>1665</v>
      </c>
      <c r="V293" t="s">
        <v>65</v>
      </c>
      <c r="X293" t="s">
        <v>1481</v>
      </c>
      <c r="Y293" t="s">
        <v>376</v>
      </c>
      <c r="Z293" t="s">
        <v>91</v>
      </c>
    </row>
    <row r="294" spans="1:26" ht="12.75" customHeight="1" x14ac:dyDescent="0.35">
      <c r="A294">
        <v>293</v>
      </c>
      <c r="B294">
        <v>45885.567946469906</v>
      </c>
      <c r="D294" t="s">
        <v>1666</v>
      </c>
      <c r="E294" t="s">
        <v>1506</v>
      </c>
      <c r="F294" t="s">
        <v>28</v>
      </c>
      <c r="G294" t="s">
        <v>197</v>
      </c>
      <c r="H294" t="s">
        <v>60</v>
      </c>
      <c r="I294" t="s">
        <v>197</v>
      </c>
      <c r="J294" t="s">
        <v>28</v>
      </c>
      <c r="K294" t="s">
        <v>61</v>
      </c>
      <c r="L294" t="s">
        <v>46</v>
      </c>
      <c r="N294" t="s">
        <v>1483</v>
      </c>
      <c r="O294" t="s">
        <v>49</v>
      </c>
      <c r="P294" t="s">
        <v>38</v>
      </c>
      <c r="Q294" t="s">
        <v>48</v>
      </c>
      <c r="R294" t="s">
        <v>1667</v>
      </c>
      <c r="T294" t="s">
        <v>1668</v>
      </c>
      <c r="U294" t="s">
        <v>1669</v>
      </c>
      <c r="V294" t="s">
        <v>87</v>
      </c>
      <c r="X294" t="s">
        <v>1481</v>
      </c>
      <c r="Y294" t="s">
        <v>1097</v>
      </c>
      <c r="Z294" t="s">
        <v>129</v>
      </c>
    </row>
    <row r="295" spans="1:26" ht="12.75" customHeight="1" x14ac:dyDescent="0.35">
      <c r="A295">
        <v>294</v>
      </c>
      <c r="B295">
        <v>45885.569577789356</v>
      </c>
      <c r="D295" t="s">
        <v>1670</v>
      </c>
      <c r="E295" t="s">
        <v>1099</v>
      </c>
      <c r="F295" t="s">
        <v>28</v>
      </c>
      <c r="G295" t="s">
        <v>29</v>
      </c>
      <c r="H295" t="s">
        <v>206</v>
      </c>
      <c r="I295" t="s">
        <v>173</v>
      </c>
      <c r="J295" t="s">
        <v>368</v>
      </c>
      <c r="K295" t="s">
        <v>94</v>
      </c>
      <c r="L295" t="s">
        <v>36</v>
      </c>
      <c r="N295" t="s">
        <v>1477</v>
      </c>
      <c r="O295" t="s">
        <v>49</v>
      </c>
      <c r="P295" t="s">
        <v>49</v>
      </c>
      <c r="Q295" t="s">
        <v>38</v>
      </c>
      <c r="R295" t="s">
        <v>1671</v>
      </c>
      <c r="S295" t="s">
        <v>48</v>
      </c>
      <c r="T295" t="s">
        <v>1672</v>
      </c>
      <c r="U295" t="s">
        <v>1673</v>
      </c>
      <c r="V295" t="s">
        <v>79</v>
      </c>
      <c r="X295" t="s">
        <v>1481</v>
      </c>
      <c r="Y295" t="s">
        <v>1235</v>
      </c>
      <c r="Z295" t="s">
        <v>129</v>
      </c>
    </row>
    <row r="296" spans="1:26" ht="12.75" customHeight="1" x14ac:dyDescent="0.35">
      <c r="A296">
        <v>295</v>
      </c>
      <c r="B296">
        <v>45885.570475567132</v>
      </c>
      <c r="D296" t="s">
        <v>1674</v>
      </c>
      <c r="E296" t="s">
        <v>1070</v>
      </c>
      <c r="F296" t="s">
        <v>28</v>
      </c>
      <c r="G296" t="s">
        <v>29</v>
      </c>
      <c r="H296" t="s">
        <v>157</v>
      </c>
      <c r="I296" t="s">
        <v>173</v>
      </c>
      <c r="J296" t="s">
        <v>94</v>
      </c>
      <c r="K296" t="s">
        <v>73</v>
      </c>
      <c r="L296" t="s">
        <v>46</v>
      </c>
      <c r="N296" t="s">
        <v>1489</v>
      </c>
      <c r="O296" t="s">
        <v>49</v>
      </c>
      <c r="P296" t="s">
        <v>49</v>
      </c>
      <c r="Q296" t="s">
        <v>40</v>
      </c>
      <c r="R296" t="s">
        <v>1675</v>
      </c>
      <c r="S296" t="s">
        <v>48</v>
      </c>
      <c r="T296" t="s">
        <v>1676</v>
      </c>
      <c r="U296" t="s">
        <v>1677</v>
      </c>
      <c r="V296" t="s">
        <v>135</v>
      </c>
      <c r="X296" t="s">
        <v>1481</v>
      </c>
      <c r="Y296" t="s">
        <v>1075</v>
      </c>
      <c r="Z296" t="s">
        <v>91</v>
      </c>
    </row>
    <row r="297" spans="1:26" ht="12.75" customHeight="1" x14ac:dyDescent="0.35">
      <c r="A297">
        <v>296</v>
      </c>
      <c r="B297">
        <v>45885.637090590273</v>
      </c>
      <c r="D297" t="s">
        <v>1678</v>
      </c>
      <c r="E297" t="s">
        <v>1679</v>
      </c>
      <c r="F297" t="s">
        <v>28</v>
      </c>
      <c r="G297" t="s">
        <v>28</v>
      </c>
      <c r="H297" t="s">
        <v>28</v>
      </c>
      <c r="I297" t="s">
        <v>103</v>
      </c>
      <c r="J297" t="s">
        <v>28</v>
      </c>
      <c r="K297" t="s">
        <v>28</v>
      </c>
      <c r="L297" t="s">
        <v>46</v>
      </c>
      <c r="N297" t="s">
        <v>1680</v>
      </c>
      <c r="O297" t="s">
        <v>38</v>
      </c>
      <c r="P297" t="s">
        <v>49</v>
      </c>
      <c r="Q297" t="s">
        <v>49</v>
      </c>
      <c r="R297" t="s">
        <v>1681</v>
      </c>
      <c r="S297" t="s">
        <v>49</v>
      </c>
      <c r="T297" t="s">
        <v>1682</v>
      </c>
      <c r="U297" t="s">
        <v>1683</v>
      </c>
      <c r="V297" t="s">
        <v>53</v>
      </c>
      <c r="X297" t="s">
        <v>1684</v>
      </c>
      <c r="Y297" t="s">
        <v>1685</v>
      </c>
      <c r="Z297" t="s">
        <v>129</v>
      </c>
    </row>
    <row r="298" spans="1:26" ht="12.75" customHeight="1" x14ac:dyDescent="0.35">
      <c r="A298">
        <v>297</v>
      </c>
      <c r="B298">
        <v>45885.640208668978</v>
      </c>
      <c r="D298" t="s">
        <v>1686</v>
      </c>
      <c r="E298" t="s">
        <v>1687</v>
      </c>
      <c r="F298" t="s">
        <v>28</v>
      </c>
      <c r="G298" t="s">
        <v>44</v>
      </c>
      <c r="H298" t="s">
        <v>28</v>
      </c>
      <c r="I298" t="s">
        <v>28</v>
      </c>
      <c r="J298" t="s">
        <v>28</v>
      </c>
      <c r="K298" t="s">
        <v>45</v>
      </c>
      <c r="L298" t="s">
        <v>36</v>
      </c>
      <c r="N298" t="s">
        <v>1688</v>
      </c>
      <c r="O298" t="s">
        <v>38</v>
      </c>
      <c r="P298" t="s">
        <v>38</v>
      </c>
      <c r="Q298" t="s">
        <v>38</v>
      </c>
      <c r="R298" t="s">
        <v>1689</v>
      </c>
      <c r="S298" t="s">
        <v>40</v>
      </c>
      <c r="T298" t="s">
        <v>1690</v>
      </c>
      <c r="U298" t="s">
        <v>1691</v>
      </c>
      <c r="V298" t="s">
        <v>79</v>
      </c>
      <c r="X298" t="s">
        <v>1692</v>
      </c>
      <c r="Y298" t="s">
        <v>1693</v>
      </c>
      <c r="Z298" t="s">
        <v>91</v>
      </c>
    </row>
    <row r="299" spans="1:26" ht="12.75" customHeight="1" x14ac:dyDescent="0.35">
      <c r="A299">
        <v>298</v>
      </c>
      <c r="B299">
        <v>45885.646230833328</v>
      </c>
      <c r="D299" t="s">
        <v>1694</v>
      </c>
      <c r="E299" t="s">
        <v>1695</v>
      </c>
      <c r="F299" t="s">
        <v>44</v>
      </c>
      <c r="G299" t="s">
        <v>158</v>
      </c>
      <c r="H299" t="s">
        <v>29</v>
      </c>
      <c r="I299" t="s">
        <v>173</v>
      </c>
      <c r="J299" t="s">
        <v>94</v>
      </c>
      <c r="K299" t="s">
        <v>368</v>
      </c>
      <c r="L299" t="s">
        <v>46</v>
      </c>
      <c r="N299" t="s">
        <v>1696</v>
      </c>
      <c r="O299" t="s">
        <v>38</v>
      </c>
      <c r="P299" t="s">
        <v>48</v>
      </c>
      <c r="Q299" t="s">
        <v>48</v>
      </c>
      <c r="R299" t="s">
        <v>1697</v>
      </c>
      <c r="S299" t="s">
        <v>48</v>
      </c>
      <c r="T299" t="s">
        <v>1698</v>
      </c>
      <c r="U299" t="s">
        <v>1698</v>
      </c>
      <c r="V299" t="s">
        <v>65</v>
      </c>
      <c r="X299" t="s">
        <v>1684</v>
      </c>
      <c r="Y299" t="s">
        <v>1699</v>
      </c>
      <c r="Z299" t="s">
        <v>129</v>
      </c>
    </row>
    <row r="300" spans="1:26" ht="12.75" customHeight="1" x14ac:dyDescent="0.35">
      <c r="A300">
        <v>299</v>
      </c>
      <c r="B300">
        <v>45885.651650567132</v>
      </c>
      <c r="D300" t="s">
        <v>1700</v>
      </c>
      <c r="E300" t="s">
        <v>1695</v>
      </c>
      <c r="F300" t="s">
        <v>28</v>
      </c>
      <c r="G300" t="s">
        <v>28</v>
      </c>
      <c r="H300" t="s">
        <v>44</v>
      </c>
      <c r="I300" t="s">
        <v>173</v>
      </c>
      <c r="J300" t="s">
        <v>34</v>
      </c>
      <c r="K300" t="s">
        <v>94</v>
      </c>
      <c r="L300" t="s">
        <v>36</v>
      </c>
      <c r="N300" t="s">
        <v>1701</v>
      </c>
      <c r="O300" t="s">
        <v>49</v>
      </c>
      <c r="P300" t="s">
        <v>38</v>
      </c>
      <c r="Q300" t="s">
        <v>48</v>
      </c>
      <c r="R300" t="s">
        <v>1702</v>
      </c>
      <c r="S300" t="s">
        <v>38</v>
      </c>
      <c r="T300" t="s">
        <v>1703</v>
      </c>
      <c r="U300" t="s">
        <v>1704</v>
      </c>
      <c r="V300" t="s">
        <v>53</v>
      </c>
      <c r="X300" t="s">
        <v>1684</v>
      </c>
      <c r="Y300" t="s">
        <v>1705</v>
      </c>
      <c r="Z300" t="s">
        <v>129</v>
      </c>
    </row>
    <row r="301" spans="1:26" ht="12.75" customHeight="1" x14ac:dyDescent="0.35">
      <c r="A301">
        <v>300</v>
      </c>
      <c r="B301">
        <v>45885.655481076392</v>
      </c>
      <c r="D301" t="s">
        <v>1706</v>
      </c>
      <c r="E301" t="s">
        <v>1695</v>
      </c>
      <c r="F301" t="s">
        <v>28</v>
      </c>
      <c r="G301" t="s">
        <v>158</v>
      </c>
      <c r="H301" t="s">
        <v>206</v>
      </c>
      <c r="I301" t="s">
        <v>158</v>
      </c>
      <c r="J301" t="s">
        <v>30</v>
      </c>
      <c r="K301" t="s">
        <v>45</v>
      </c>
      <c r="L301" t="s">
        <v>46</v>
      </c>
      <c r="N301" t="s">
        <v>1688</v>
      </c>
      <c r="O301" t="s">
        <v>49</v>
      </c>
      <c r="P301" t="s">
        <v>49</v>
      </c>
      <c r="Q301" t="s">
        <v>38</v>
      </c>
      <c r="R301" t="s">
        <v>1707</v>
      </c>
      <c r="S301" t="s">
        <v>49</v>
      </c>
      <c r="T301" t="s">
        <v>1708</v>
      </c>
      <c r="U301" t="s">
        <v>1709</v>
      </c>
      <c r="V301" t="s">
        <v>87</v>
      </c>
      <c r="X301" t="s">
        <v>1684</v>
      </c>
      <c r="Y301" t="s">
        <v>1710</v>
      </c>
      <c r="Z301" t="s">
        <v>91</v>
      </c>
    </row>
    <row r="302" spans="1:26" ht="12.75" customHeight="1" x14ac:dyDescent="0.35">
      <c r="A302">
        <v>301</v>
      </c>
      <c r="B302">
        <v>45885.66169025463</v>
      </c>
      <c r="D302" t="s">
        <v>1711</v>
      </c>
      <c r="E302" t="s">
        <v>1695</v>
      </c>
      <c r="F302" t="s">
        <v>60</v>
      </c>
      <c r="G302" t="s">
        <v>44</v>
      </c>
      <c r="H302" t="s">
        <v>29</v>
      </c>
      <c r="I302" t="s">
        <v>173</v>
      </c>
      <c r="J302" t="s">
        <v>45</v>
      </c>
      <c r="K302" t="s">
        <v>35</v>
      </c>
      <c r="L302" t="s">
        <v>36</v>
      </c>
      <c r="N302" t="s">
        <v>1712</v>
      </c>
      <c r="O302" t="s">
        <v>40</v>
      </c>
      <c r="P302" t="s">
        <v>49</v>
      </c>
      <c r="Q302" t="s">
        <v>49</v>
      </c>
      <c r="R302" t="s">
        <v>1713</v>
      </c>
      <c r="S302" t="s">
        <v>48</v>
      </c>
      <c r="T302" t="s">
        <v>1714</v>
      </c>
      <c r="U302" t="s">
        <v>1715</v>
      </c>
      <c r="V302" t="s">
        <v>79</v>
      </c>
      <c r="X302" t="s">
        <v>1684</v>
      </c>
      <c r="Y302" t="s">
        <v>1716</v>
      </c>
      <c r="Z302" t="s">
        <v>91</v>
      </c>
    </row>
    <row r="303" spans="1:26" ht="12.75" customHeight="1" x14ac:dyDescent="0.35">
      <c r="A303">
        <v>302</v>
      </c>
      <c r="B303">
        <v>45885.679191921299</v>
      </c>
      <c r="D303" t="s">
        <v>1717</v>
      </c>
      <c r="E303" t="s">
        <v>1041</v>
      </c>
      <c r="F303" t="s">
        <v>28</v>
      </c>
      <c r="G303" t="s">
        <v>28</v>
      </c>
      <c r="H303" t="s">
        <v>206</v>
      </c>
      <c r="I303" t="s">
        <v>173</v>
      </c>
      <c r="J303" t="s">
        <v>368</v>
      </c>
      <c r="K303" t="s">
        <v>73</v>
      </c>
      <c r="L303" t="s">
        <v>36</v>
      </c>
      <c r="N303" t="s">
        <v>1718</v>
      </c>
      <c r="O303" t="s">
        <v>49</v>
      </c>
      <c r="P303" t="s">
        <v>49</v>
      </c>
      <c r="Q303" t="s">
        <v>40</v>
      </c>
      <c r="R303" t="s">
        <v>1719</v>
      </c>
      <c r="S303" t="s">
        <v>48</v>
      </c>
      <c r="T303" t="s">
        <v>1720</v>
      </c>
      <c r="U303" t="s">
        <v>1721</v>
      </c>
      <c r="V303" t="s">
        <v>65</v>
      </c>
      <c r="X303" t="s">
        <v>1722</v>
      </c>
      <c r="Y303" t="s">
        <v>1047</v>
      </c>
      <c r="Z303" t="s">
        <v>91</v>
      </c>
    </row>
    <row r="304" spans="1:26" ht="12.75" customHeight="1" x14ac:dyDescent="0.35">
      <c r="A304">
        <v>303</v>
      </c>
      <c r="B304">
        <v>45885.680375451389</v>
      </c>
      <c r="D304" t="s">
        <v>1723</v>
      </c>
      <c r="E304" t="s">
        <v>1724</v>
      </c>
      <c r="F304" t="s">
        <v>44</v>
      </c>
      <c r="G304" t="s">
        <v>33</v>
      </c>
      <c r="H304" t="s">
        <v>60</v>
      </c>
      <c r="I304" t="s">
        <v>173</v>
      </c>
      <c r="J304" t="s">
        <v>173</v>
      </c>
      <c r="K304" t="s">
        <v>28</v>
      </c>
      <c r="L304" t="s">
        <v>46</v>
      </c>
      <c r="N304" t="s">
        <v>1725</v>
      </c>
      <c r="O304" t="s">
        <v>48</v>
      </c>
      <c r="P304" t="s">
        <v>49</v>
      </c>
      <c r="Q304" t="s">
        <v>38</v>
      </c>
      <c r="R304" t="s">
        <v>1726</v>
      </c>
      <c r="S304" t="s">
        <v>49</v>
      </c>
      <c r="T304" t="s">
        <v>1727</v>
      </c>
      <c r="U304" t="s">
        <v>1728</v>
      </c>
      <c r="V304" t="s">
        <v>53</v>
      </c>
      <c r="X304" t="s">
        <v>1722</v>
      </c>
      <c r="Y304" t="s">
        <v>1729</v>
      </c>
      <c r="Z304" t="s">
        <v>170</v>
      </c>
    </row>
    <row r="305" spans="1:26" ht="12.75" customHeight="1" x14ac:dyDescent="0.35">
      <c r="A305">
        <v>304</v>
      </c>
      <c r="B305">
        <v>45885.681258287033</v>
      </c>
      <c r="D305" t="s">
        <v>1730</v>
      </c>
      <c r="E305" t="s">
        <v>1731</v>
      </c>
      <c r="F305" t="s">
        <v>44</v>
      </c>
      <c r="G305" t="s">
        <v>29</v>
      </c>
      <c r="H305" t="s">
        <v>29</v>
      </c>
      <c r="I305" t="s">
        <v>30</v>
      </c>
      <c r="J305" t="s">
        <v>173</v>
      </c>
      <c r="K305" t="s">
        <v>45</v>
      </c>
      <c r="L305" t="s">
        <v>36</v>
      </c>
      <c r="N305" t="s">
        <v>1712</v>
      </c>
      <c r="O305" t="s">
        <v>48</v>
      </c>
      <c r="P305" t="s">
        <v>38</v>
      </c>
      <c r="Q305" t="s">
        <v>38</v>
      </c>
      <c r="R305" t="s">
        <v>1732</v>
      </c>
      <c r="S305" t="s">
        <v>38</v>
      </c>
      <c r="T305" t="s">
        <v>1733</v>
      </c>
      <c r="U305" t="s">
        <v>1734</v>
      </c>
      <c r="V305" t="s">
        <v>79</v>
      </c>
      <c r="X305" t="s">
        <v>1722</v>
      </c>
      <c r="Y305" t="s">
        <v>1735</v>
      </c>
      <c r="Z305" t="s">
        <v>129</v>
      </c>
    </row>
    <row r="306" spans="1:26" ht="12.75" customHeight="1" x14ac:dyDescent="0.35">
      <c r="A306">
        <v>305</v>
      </c>
      <c r="B306">
        <v>45885.682038344909</v>
      </c>
      <c r="D306" t="s">
        <v>1736</v>
      </c>
      <c r="E306" t="s">
        <v>1212</v>
      </c>
      <c r="F306" t="s">
        <v>28</v>
      </c>
      <c r="G306" t="s">
        <v>158</v>
      </c>
      <c r="H306" t="s">
        <v>28</v>
      </c>
      <c r="I306" t="s">
        <v>197</v>
      </c>
      <c r="J306" t="s">
        <v>28</v>
      </c>
      <c r="K306" t="s">
        <v>292</v>
      </c>
      <c r="L306" t="s">
        <v>46</v>
      </c>
      <c r="N306" t="s">
        <v>1688</v>
      </c>
      <c r="O306" t="s">
        <v>38</v>
      </c>
      <c r="P306" t="s">
        <v>49</v>
      </c>
      <c r="Q306" t="s">
        <v>48</v>
      </c>
      <c r="R306" t="s">
        <v>1737</v>
      </c>
      <c r="S306" t="s">
        <v>49</v>
      </c>
      <c r="T306" t="s">
        <v>1738</v>
      </c>
      <c r="U306" t="s">
        <v>1739</v>
      </c>
      <c r="V306" t="s">
        <v>87</v>
      </c>
      <c r="X306" t="s">
        <v>1722</v>
      </c>
      <c r="Y306" t="s">
        <v>1097</v>
      </c>
      <c r="Z306" t="s">
        <v>91</v>
      </c>
    </row>
    <row r="307" spans="1:26" ht="12.75" customHeight="1" x14ac:dyDescent="0.35">
      <c r="A307">
        <v>306</v>
      </c>
      <c r="B307">
        <v>45885.682864664355</v>
      </c>
      <c r="D307" t="s">
        <v>1740</v>
      </c>
      <c r="E307" t="s">
        <v>1085</v>
      </c>
      <c r="F307" t="s">
        <v>28</v>
      </c>
      <c r="G307" t="s">
        <v>44</v>
      </c>
      <c r="H307" t="s">
        <v>206</v>
      </c>
      <c r="I307" t="s">
        <v>173</v>
      </c>
      <c r="J307" t="s">
        <v>368</v>
      </c>
      <c r="K307" t="s">
        <v>94</v>
      </c>
      <c r="L307" t="s">
        <v>36</v>
      </c>
      <c r="N307" t="s">
        <v>1741</v>
      </c>
      <c r="O307" t="s">
        <v>49</v>
      </c>
      <c r="P307" t="s">
        <v>48</v>
      </c>
      <c r="Q307" t="s">
        <v>40</v>
      </c>
      <c r="R307" t="s">
        <v>1742</v>
      </c>
      <c r="S307" t="s">
        <v>48</v>
      </c>
      <c r="T307" t="s">
        <v>1743</v>
      </c>
      <c r="U307" t="s">
        <v>1744</v>
      </c>
      <c r="V307" t="s">
        <v>53</v>
      </c>
      <c r="X307" t="s">
        <v>1722</v>
      </c>
      <c r="Y307" t="s">
        <v>1090</v>
      </c>
      <c r="Z307" t="s">
        <v>91</v>
      </c>
    </row>
    <row r="308" spans="1:26" ht="12.75" customHeight="1" x14ac:dyDescent="0.35">
      <c r="A308">
        <v>307</v>
      </c>
      <c r="B308">
        <v>45885.683715196763</v>
      </c>
      <c r="D308" t="s">
        <v>1159</v>
      </c>
      <c r="E308" t="s">
        <v>1192</v>
      </c>
      <c r="F308" t="s">
        <v>28</v>
      </c>
      <c r="G308" t="s">
        <v>158</v>
      </c>
      <c r="H308" t="s">
        <v>44</v>
      </c>
      <c r="I308" t="s">
        <v>196</v>
      </c>
      <c r="J308" t="s">
        <v>28</v>
      </c>
      <c r="K308" t="s">
        <v>74</v>
      </c>
      <c r="L308" t="s">
        <v>46</v>
      </c>
      <c r="N308" t="s">
        <v>1718</v>
      </c>
      <c r="O308" t="s">
        <v>49</v>
      </c>
      <c r="P308" t="s">
        <v>49</v>
      </c>
      <c r="Q308" t="s">
        <v>48</v>
      </c>
      <c r="R308" t="s">
        <v>1745</v>
      </c>
      <c r="S308" t="s">
        <v>38</v>
      </c>
      <c r="T308" t="s">
        <v>1746</v>
      </c>
      <c r="U308" t="s">
        <v>1747</v>
      </c>
      <c r="V308" t="s">
        <v>53</v>
      </c>
      <c r="X308" t="s">
        <v>1722</v>
      </c>
      <c r="Y308" t="s">
        <v>704</v>
      </c>
      <c r="Z308" t="s">
        <v>91</v>
      </c>
    </row>
    <row r="309" spans="1:26" ht="12.75" customHeight="1" x14ac:dyDescent="0.35">
      <c r="A309">
        <v>308</v>
      </c>
      <c r="B309">
        <v>45885.684850543985</v>
      </c>
      <c r="D309" t="s">
        <v>1748</v>
      </c>
      <c r="E309" t="s">
        <v>1282</v>
      </c>
      <c r="F309" t="s">
        <v>28</v>
      </c>
      <c r="G309" t="s">
        <v>60</v>
      </c>
      <c r="H309" t="s">
        <v>206</v>
      </c>
      <c r="I309" t="s">
        <v>173</v>
      </c>
      <c r="J309" t="s">
        <v>94</v>
      </c>
      <c r="K309" t="s">
        <v>73</v>
      </c>
      <c r="L309" t="s">
        <v>36</v>
      </c>
      <c r="N309" t="s">
        <v>1725</v>
      </c>
      <c r="O309" t="s">
        <v>49</v>
      </c>
      <c r="P309" t="s">
        <v>38</v>
      </c>
      <c r="Q309" t="s">
        <v>40</v>
      </c>
      <c r="R309" t="s">
        <v>1749</v>
      </c>
      <c r="S309" t="s">
        <v>48</v>
      </c>
      <c r="T309" t="s">
        <v>1750</v>
      </c>
      <c r="U309" t="s">
        <v>1751</v>
      </c>
      <c r="V309" t="s">
        <v>53</v>
      </c>
      <c r="X309" t="s">
        <v>1722</v>
      </c>
      <c r="Y309" t="s">
        <v>1566</v>
      </c>
      <c r="Z309" t="s">
        <v>91</v>
      </c>
    </row>
    <row r="310" spans="1:26" ht="12.75" customHeight="1" x14ac:dyDescent="0.35">
      <c r="A310">
        <v>309</v>
      </c>
      <c r="B310">
        <v>45885.685763946763</v>
      </c>
      <c r="D310" t="s">
        <v>1752</v>
      </c>
      <c r="E310" t="s">
        <v>1206</v>
      </c>
      <c r="F310" t="s">
        <v>344</v>
      </c>
      <c r="G310" t="s">
        <v>60</v>
      </c>
      <c r="H310" t="s">
        <v>60</v>
      </c>
      <c r="I310" t="s">
        <v>34</v>
      </c>
      <c r="J310" t="s">
        <v>30</v>
      </c>
      <c r="K310" t="s">
        <v>28</v>
      </c>
      <c r="L310" t="s">
        <v>46</v>
      </c>
      <c r="N310" t="s">
        <v>1712</v>
      </c>
      <c r="O310" t="s">
        <v>49</v>
      </c>
      <c r="P310" t="s">
        <v>48</v>
      </c>
      <c r="Q310" t="s">
        <v>38</v>
      </c>
      <c r="R310" t="s">
        <v>1753</v>
      </c>
      <c r="S310" t="s">
        <v>38</v>
      </c>
      <c r="T310" t="s">
        <v>1754</v>
      </c>
      <c r="U310" t="s">
        <v>1755</v>
      </c>
      <c r="V310" t="s">
        <v>87</v>
      </c>
      <c r="X310" t="s">
        <v>1722</v>
      </c>
      <c r="Y310" t="s">
        <v>1075</v>
      </c>
      <c r="Z310" t="s">
        <v>129</v>
      </c>
    </row>
    <row r="311" spans="1:26" ht="12.75" customHeight="1" x14ac:dyDescent="0.35">
      <c r="A311">
        <v>310</v>
      </c>
      <c r="B311">
        <v>45885.687074756948</v>
      </c>
      <c r="D311" t="s">
        <v>1756</v>
      </c>
      <c r="E311" t="s">
        <v>1099</v>
      </c>
      <c r="F311" t="s">
        <v>29</v>
      </c>
      <c r="G311" t="s">
        <v>33</v>
      </c>
      <c r="H311" t="s">
        <v>60</v>
      </c>
      <c r="I311" t="s">
        <v>103</v>
      </c>
      <c r="J311" t="s">
        <v>173</v>
      </c>
      <c r="K311" t="s">
        <v>45</v>
      </c>
      <c r="L311" t="s">
        <v>36</v>
      </c>
      <c r="N311" t="s">
        <v>1688</v>
      </c>
      <c r="O311" t="s">
        <v>48</v>
      </c>
      <c r="P311" t="s">
        <v>49</v>
      </c>
      <c r="Q311" t="s">
        <v>39</v>
      </c>
      <c r="R311" t="s">
        <v>1757</v>
      </c>
      <c r="S311" t="s">
        <v>38</v>
      </c>
      <c r="T311" t="s">
        <v>1758</v>
      </c>
      <c r="U311" t="s">
        <v>1759</v>
      </c>
      <c r="V311" t="s">
        <v>53</v>
      </c>
      <c r="X311" t="s">
        <v>1722</v>
      </c>
      <c r="Y311" t="s">
        <v>1104</v>
      </c>
      <c r="Z311" t="s">
        <v>170</v>
      </c>
    </row>
    <row r="312" spans="1:26" ht="12.75" customHeight="1" x14ac:dyDescent="0.35">
      <c r="A312">
        <v>311</v>
      </c>
      <c r="B312">
        <v>45885.688655844904</v>
      </c>
      <c r="D312" t="s">
        <v>1760</v>
      </c>
      <c r="E312" t="s">
        <v>1447</v>
      </c>
      <c r="F312" t="s">
        <v>28</v>
      </c>
      <c r="G312" t="s">
        <v>44</v>
      </c>
      <c r="H312" t="s">
        <v>206</v>
      </c>
      <c r="I312" t="s">
        <v>28</v>
      </c>
      <c r="J312" t="s">
        <v>368</v>
      </c>
      <c r="K312" t="s">
        <v>73</v>
      </c>
      <c r="L312" t="s">
        <v>46</v>
      </c>
      <c r="N312" t="s">
        <v>1718</v>
      </c>
      <c r="O312" t="s">
        <v>49</v>
      </c>
      <c r="P312" t="s">
        <v>49</v>
      </c>
      <c r="Q312" t="s">
        <v>40</v>
      </c>
      <c r="R312" t="s">
        <v>1761</v>
      </c>
      <c r="S312" t="s">
        <v>48</v>
      </c>
      <c r="T312" t="s">
        <v>1762</v>
      </c>
      <c r="U312" t="s">
        <v>1763</v>
      </c>
      <c r="V312" t="s">
        <v>135</v>
      </c>
      <c r="X312" t="s">
        <v>1722</v>
      </c>
      <c r="Y312" t="s">
        <v>1572</v>
      </c>
      <c r="Z312" t="s">
        <v>91</v>
      </c>
    </row>
    <row r="313" spans="1:26" ht="12.75" customHeight="1" x14ac:dyDescent="0.35">
      <c r="A313">
        <v>312</v>
      </c>
      <c r="B313">
        <v>45885.689448067133</v>
      </c>
      <c r="D313" t="s">
        <v>1764</v>
      </c>
      <c r="E313" t="s">
        <v>712</v>
      </c>
      <c r="F313" t="s">
        <v>28</v>
      </c>
      <c r="G313" t="s">
        <v>60</v>
      </c>
      <c r="H313" t="s">
        <v>73</v>
      </c>
      <c r="I313" t="s">
        <v>103</v>
      </c>
      <c r="J313" t="s">
        <v>94</v>
      </c>
      <c r="K313" t="s">
        <v>94</v>
      </c>
      <c r="L313" t="s">
        <v>36</v>
      </c>
      <c r="N313" t="s">
        <v>1765</v>
      </c>
      <c r="O313" t="s">
        <v>49</v>
      </c>
      <c r="P313" t="s">
        <v>49</v>
      </c>
      <c r="Q313" t="s">
        <v>39</v>
      </c>
      <c r="R313" t="s">
        <v>1766</v>
      </c>
      <c r="S313" t="s">
        <v>48</v>
      </c>
      <c r="T313" t="s">
        <v>1767</v>
      </c>
      <c r="U313" t="s">
        <v>1768</v>
      </c>
      <c r="V313" t="s">
        <v>87</v>
      </c>
      <c r="X313" t="s">
        <v>1722</v>
      </c>
      <c r="Y313" t="s">
        <v>1769</v>
      </c>
      <c r="Z313" t="s">
        <v>91</v>
      </c>
    </row>
    <row r="314" spans="1:26" ht="12.75" customHeight="1" x14ac:dyDescent="0.35">
      <c r="A314">
        <v>313</v>
      </c>
      <c r="B314">
        <v>45885.690337476852</v>
      </c>
      <c r="D314" t="s">
        <v>1770</v>
      </c>
      <c r="E314" t="s">
        <v>180</v>
      </c>
      <c r="F314" t="s">
        <v>28</v>
      </c>
      <c r="G314" t="s">
        <v>197</v>
      </c>
      <c r="H314" t="s">
        <v>28</v>
      </c>
      <c r="I314" t="s">
        <v>197</v>
      </c>
      <c r="J314" t="s">
        <v>103</v>
      </c>
      <c r="K314" t="s">
        <v>61</v>
      </c>
      <c r="L314" t="s">
        <v>36</v>
      </c>
      <c r="N314" t="s">
        <v>1718</v>
      </c>
      <c r="O314" t="s">
        <v>38</v>
      </c>
      <c r="P314" t="s">
        <v>38</v>
      </c>
      <c r="Q314" t="s">
        <v>48</v>
      </c>
      <c r="R314" t="s">
        <v>1771</v>
      </c>
      <c r="S314" t="s">
        <v>40</v>
      </c>
      <c r="T314" t="s">
        <v>1772</v>
      </c>
      <c r="U314" t="s">
        <v>1773</v>
      </c>
      <c r="V314" t="s">
        <v>53</v>
      </c>
      <c r="X314" t="s">
        <v>1722</v>
      </c>
      <c r="Y314" t="s">
        <v>981</v>
      </c>
      <c r="Z314" t="s">
        <v>91</v>
      </c>
    </row>
    <row r="315" spans="1:26" ht="12.75" customHeight="1" x14ac:dyDescent="0.35">
      <c r="A315">
        <v>314</v>
      </c>
      <c r="B315">
        <v>45885.691741030096</v>
      </c>
      <c r="D315" t="s">
        <v>1774</v>
      </c>
      <c r="E315" t="s">
        <v>1775</v>
      </c>
      <c r="F315" t="s">
        <v>28</v>
      </c>
      <c r="G315" t="s">
        <v>44</v>
      </c>
      <c r="H315" t="s">
        <v>284</v>
      </c>
      <c r="I315" t="s">
        <v>173</v>
      </c>
      <c r="J315" t="s">
        <v>368</v>
      </c>
      <c r="K315" t="s">
        <v>73</v>
      </c>
      <c r="L315" t="s">
        <v>46</v>
      </c>
      <c r="N315" t="s">
        <v>1725</v>
      </c>
      <c r="O315" t="s">
        <v>38</v>
      </c>
      <c r="P315" t="s">
        <v>49</v>
      </c>
      <c r="Q315" t="s">
        <v>39</v>
      </c>
      <c r="R315" t="s">
        <v>1776</v>
      </c>
      <c r="S315" t="s">
        <v>48</v>
      </c>
      <c r="T315" t="s">
        <v>1777</v>
      </c>
      <c r="U315" t="s">
        <v>1778</v>
      </c>
      <c r="V315" t="s">
        <v>53</v>
      </c>
      <c r="X315" t="s">
        <v>1722</v>
      </c>
      <c r="Y315" t="s">
        <v>1581</v>
      </c>
      <c r="Z315" t="s">
        <v>129</v>
      </c>
    </row>
    <row r="316" spans="1:26" ht="12.75" customHeight="1" x14ac:dyDescent="0.35">
      <c r="A316">
        <v>315</v>
      </c>
      <c r="B316">
        <v>45885.692966030096</v>
      </c>
      <c r="D316" t="s">
        <v>1779</v>
      </c>
      <c r="E316" t="s">
        <v>205</v>
      </c>
      <c r="F316" t="s">
        <v>28</v>
      </c>
      <c r="G316" t="s">
        <v>60</v>
      </c>
      <c r="H316" t="s">
        <v>284</v>
      </c>
      <c r="I316" t="s">
        <v>173</v>
      </c>
      <c r="J316" t="s">
        <v>368</v>
      </c>
      <c r="K316" t="s">
        <v>73</v>
      </c>
      <c r="L316" t="s">
        <v>36</v>
      </c>
      <c r="N316" t="s">
        <v>1712</v>
      </c>
      <c r="O316" t="s">
        <v>49</v>
      </c>
      <c r="P316" t="s">
        <v>49</v>
      </c>
      <c r="Q316" t="s">
        <v>40</v>
      </c>
      <c r="R316" t="s">
        <v>1780</v>
      </c>
      <c r="S316" t="s">
        <v>49</v>
      </c>
      <c r="T316" t="s">
        <v>1781</v>
      </c>
      <c r="U316" t="s">
        <v>1782</v>
      </c>
      <c r="V316" t="s">
        <v>65</v>
      </c>
      <c r="X316" t="s">
        <v>1722</v>
      </c>
      <c r="Y316" t="s">
        <v>1616</v>
      </c>
      <c r="Z316" t="s">
        <v>129</v>
      </c>
    </row>
    <row r="317" spans="1:26" ht="12.75" customHeight="1" x14ac:dyDescent="0.35">
      <c r="A317">
        <v>316</v>
      </c>
      <c r="B317">
        <v>45885.703820254625</v>
      </c>
      <c r="D317" t="s">
        <v>1783</v>
      </c>
      <c r="E317" t="s">
        <v>1520</v>
      </c>
      <c r="F317" t="s">
        <v>28</v>
      </c>
      <c r="G317" t="s">
        <v>60</v>
      </c>
      <c r="H317" t="s">
        <v>284</v>
      </c>
      <c r="I317" t="s">
        <v>173</v>
      </c>
      <c r="J317" t="s">
        <v>368</v>
      </c>
      <c r="K317" t="s">
        <v>94</v>
      </c>
      <c r="L317" t="s">
        <v>46</v>
      </c>
      <c r="N317" t="s">
        <v>1784</v>
      </c>
      <c r="O317" t="s">
        <v>49</v>
      </c>
      <c r="P317" t="s">
        <v>49</v>
      </c>
      <c r="Q317" t="s">
        <v>38</v>
      </c>
      <c r="R317" t="s">
        <v>1785</v>
      </c>
      <c r="S317" t="s">
        <v>48</v>
      </c>
      <c r="T317" t="s">
        <v>1786</v>
      </c>
      <c r="U317" t="s">
        <v>1787</v>
      </c>
      <c r="V317" t="s">
        <v>53</v>
      </c>
      <c r="X317" t="s">
        <v>1788</v>
      </c>
      <c r="Y317" t="s">
        <v>1104</v>
      </c>
      <c r="Z317" t="s">
        <v>170</v>
      </c>
    </row>
    <row r="318" spans="1:26" ht="12.75" customHeight="1" x14ac:dyDescent="0.35">
      <c r="A318">
        <v>317</v>
      </c>
      <c r="B318">
        <v>45885.704944756944</v>
      </c>
      <c r="D318" t="s">
        <v>1789</v>
      </c>
      <c r="E318" t="s">
        <v>1143</v>
      </c>
      <c r="F318" t="s">
        <v>377</v>
      </c>
      <c r="G318" t="s">
        <v>196</v>
      </c>
      <c r="H318" t="s">
        <v>157</v>
      </c>
      <c r="I318" t="s">
        <v>196</v>
      </c>
      <c r="J318" t="s">
        <v>173</v>
      </c>
      <c r="K318" t="s">
        <v>61</v>
      </c>
      <c r="L318" t="s">
        <v>36</v>
      </c>
      <c r="N318" t="s">
        <v>1790</v>
      </c>
      <c r="O318" t="s">
        <v>49</v>
      </c>
      <c r="P318" t="s">
        <v>49</v>
      </c>
      <c r="Q318" t="s">
        <v>48</v>
      </c>
      <c r="R318" t="s">
        <v>1791</v>
      </c>
      <c r="S318" t="s">
        <v>49</v>
      </c>
      <c r="T318" t="s">
        <v>1792</v>
      </c>
      <c r="U318" t="s">
        <v>1793</v>
      </c>
      <c r="V318" t="s">
        <v>87</v>
      </c>
      <c r="X318" t="s">
        <v>1788</v>
      </c>
      <c r="Y318" t="s">
        <v>1061</v>
      </c>
      <c r="Z318" t="s">
        <v>129</v>
      </c>
    </row>
    <row r="319" spans="1:26" ht="12.75" customHeight="1" x14ac:dyDescent="0.35">
      <c r="A319">
        <v>318</v>
      </c>
      <c r="B319">
        <v>45885.706109571758</v>
      </c>
      <c r="D319" t="s">
        <v>1794</v>
      </c>
      <c r="E319" t="s">
        <v>1795</v>
      </c>
      <c r="F319" t="s">
        <v>60</v>
      </c>
      <c r="G319" t="s">
        <v>29</v>
      </c>
      <c r="H319" t="s">
        <v>29</v>
      </c>
      <c r="I319" t="s">
        <v>173</v>
      </c>
      <c r="J319" t="s">
        <v>173</v>
      </c>
      <c r="K319" t="s">
        <v>35</v>
      </c>
      <c r="L319" t="s">
        <v>46</v>
      </c>
      <c r="N319" t="s">
        <v>1796</v>
      </c>
      <c r="O319" t="s">
        <v>48</v>
      </c>
      <c r="P319" t="s">
        <v>49</v>
      </c>
      <c r="Q319" t="s">
        <v>49</v>
      </c>
      <c r="R319" t="s">
        <v>1797</v>
      </c>
      <c r="S319" t="s">
        <v>49</v>
      </c>
      <c r="T319" t="s">
        <v>1798</v>
      </c>
      <c r="U319" t="s">
        <v>1799</v>
      </c>
      <c r="V319" t="s">
        <v>53</v>
      </c>
      <c r="X319" t="s">
        <v>1788</v>
      </c>
      <c r="Y319" t="s">
        <v>1800</v>
      </c>
      <c r="Z319" t="s">
        <v>91</v>
      </c>
    </row>
    <row r="320" spans="1:26" ht="12.75" customHeight="1" x14ac:dyDescent="0.35">
      <c r="A320">
        <v>319</v>
      </c>
      <c r="B320">
        <v>45885.707211932866</v>
      </c>
      <c r="D320" t="s">
        <v>1801</v>
      </c>
      <c r="E320" t="s">
        <v>1802</v>
      </c>
      <c r="F320" t="s">
        <v>28</v>
      </c>
      <c r="G320" t="s">
        <v>44</v>
      </c>
      <c r="H320" t="s">
        <v>284</v>
      </c>
      <c r="I320" t="s">
        <v>103</v>
      </c>
      <c r="J320" t="s">
        <v>368</v>
      </c>
      <c r="K320" t="s">
        <v>94</v>
      </c>
      <c r="L320" t="s">
        <v>36</v>
      </c>
      <c r="N320" t="s">
        <v>1784</v>
      </c>
      <c r="O320" t="s">
        <v>49</v>
      </c>
      <c r="P320" t="s">
        <v>49</v>
      </c>
      <c r="Q320" t="s">
        <v>49</v>
      </c>
      <c r="R320" t="s">
        <v>1803</v>
      </c>
      <c r="S320" t="s">
        <v>48</v>
      </c>
      <c r="T320" t="s">
        <v>1804</v>
      </c>
      <c r="U320" t="s">
        <v>1805</v>
      </c>
      <c r="V320" t="s">
        <v>79</v>
      </c>
      <c r="X320" t="s">
        <v>1788</v>
      </c>
      <c r="Y320" t="s">
        <v>1047</v>
      </c>
      <c r="Z320" t="s">
        <v>91</v>
      </c>
    </row>
    <row r="321" spans="1:26" ht="12.75" customHeight="1" x14ac:dyDescent="0.35">
      <c r="A321">
        <v>320</v>
      </c>
      <c r="B321">
        <v>45885.708330208334</v>
      </c>
      <c r="D321" t="s">
        <v>1806</v>
      </c>
      <c r="E321" t="s">
        <v>1212</v>
      </c>
      <c r="F321" t="s">
        <v>344</v>
      </c>
      <c r="G321" t="s">
        <v>197</v>
      </c>
      <c r="H321" t="s">
        <v>60</v>
      </c>
      <c r="I321" t="s">
        <v>30</v>
      </c>
      <c r="J321" t="s">
        <v>34</v>
      </c>
      <c r="K321" t="s">
        <v>292</v>
      </c>
      <c r="L321" t="s">
        <v>46</v>
      </c>
      <c r="N321" t="s">
        <v>1807</v>
      </c>
      <c r="O321" t="s">
        <v>49</v>
      </c>
      <c r="P321" t="s">
        <v>48</v>
      </c>
      <c r="Q321" t="s">
        <v>49</v>
      </c>
      <c r="R321" t="s">
        <v>1808</v>
      </c>
      <c r="S321" t="s">
        <v>38</v>
      </c>
      <c r="T321" t="s">
        <v>1809</v>
      </c>
      <c r="U321" t="s">
        <v>1810</v>
      </c>
      <c r="V321" t="s">
        <v>65</v>
      </c>
      <c r="X321" t="s">
        <v>1788</v>
      </c>
      <c r="Y321" t="s">
        <v>1097</v>
      </c>
      <c r="Z321" t="s">
        <v>129</v>
      </c>
    </row>
    <row r="322" spans="1:26" ht="12.75" customHeight="1" x14ac:dyDescent="0.35">
      <c r="A322">
        <v>321</v>
      </c>
      <c r="B322">
        <v>45885.709444467589</v>
      </c>
      <c r="D322" t="s">
        <v>1811</v>
      </c>
      <c r="E322" t="s">
        <v>1070</v>
      </c>
      <c r="F322" t="s">
        <v>449</v>
      </c>
      <c r="G322" t="s">
        <v>196</v>
      </c>
      <c r="H322" t="s">
        <v>44</v>
      </c>
      <c r="I322" t="s">
        <v>196</v>
      </c>
      <c r="J322" t="s">
        <v>30</v>
      </c>
      <c r="K322" t="s">
        <v>74</v>
      </c>
      <c r="L322" t="s">
        <v>46</v>
      </c>
      <c r="N322" t="s">
        <v>1812</v>
      </c>
      <c r="O322" t="s">
        <v>49</v>
      </c>
      <c r="P322" t="s">
        <v>49</v>
      </c>
      <c r="Q322" t="s">
        <v>48</v>
      </c>
      <c r="R322" t="s">
        <v>1813</v>
      </c>
      <c r="S322" t="s">
        <v>49</v>
      </c>
      <c r="T322" t="s">
        <v>1814</v>
      </c>
      <c r="U322" t="s">
        <v>1815</v>
      </c>
      <c r="V322" t="s">
        <v>53</v>
      </c>
      <c r="X322" t="s">
        <v>1788</v>
      </c>
      <c r="Y322" t="s">
        <v>1075</v>
      </c>
      <c r="Z322" t="s">
        <v>91</v>
      </c>
    </row>
    <row r="323" spans="1:26" ht="12.75" customHeight="1" x14ac:dyDescent="0.35">
      <c r="A323">
        <v>322</v>
      </c>
      <c r="B323">
        <v>45885.711622488423</v>
      </c>
      <c r="D323" t="s">
        <v>1816</v>
      </c>
      <c r="E323" t="s">
        <v>1085</v>
      </c>
      <c r="F323" t="s">
        <v>29</v>
      </c>
      <c r="G323" t="s">
        <v>197</v>
      </c>
      <c r="H323" t="s">
        <v>33</v>
      </c>
      <c r="I323" t="s">
        <v>196</v>
      </c>
      <c r="J323" t="s">
        <v>173</v>
      </c>
      <c r="K323" t="s">
        <v>61</v>
      </c>
      <c r="L323" t="s">
        <v>36</v>
      </c>
      <c r="N323" t="s">
        <v>1817</v>
      </c>
      <c r="O323" t="s">
        <v>49</v>
      </c>
      <c r="P323" t="s">
        <v>49</v>
      </c>
      <c r="Q323" t="s">
        <v>48</v>
      </c>
      <c r="R323" t="s">
        <v>1818</v>
      </c>
      <c r="S323" t="s">
        <v>49</v>
      </c>
      <c r="T323" t="s">
        <v>1819</v>
      </c>
      <c r="U323" t="s">
        <v>1820</v>
      </c>
      <c r="V323" t="s">
        <v>87</v>
      </c>
      <c r="X323" t="s">
        <v>1788</v>
      </c>
      <c r="Y323" t="s">
        <v>1090</v>
      </c>
      <c r="Z323" t="s">
        <v>129</v>
      </c>
    </row>
    <row r="324" spans="1:26" ht="12.75" customHeight="1" x14ac:dyDescent="0.35">
      <c r="A324">
        <v>323</v>
      </c>
      <c r="B324">
        <v>45885.712781469905</v>
      </c>
      <c r="D324" t="s">
        <v>1821</v>
      </c>
      <c r="E324" t="s">
        <v>1192</v>
      </c>
      <c r="F324" t="s">
        <v>28</v>
      </c>
      <c r="G324" t="s">
        <v>196</v>
      </c>
      <c r="H324" t="s">
        <v>28</v>
      </c>
      <c r="I324" t="s">
        <v>196</v>
      </c>
      <c r="J324" t="s">
        <v>28</v>
      </c>
      <c r="K324" t="s">
        <v>61</v>
      </c>
      <c r="L324" t="s">
        <v>46</v>
      </c>
      <c r="N324" t="s">
        <v>1822</v>
      </c>
      <c r="O324" t="s">
        <v>49</v>
      </c>
      <c r="P324" t="s">
        <v>49</v>
      </c>
      <c r="Q324" t="s">
        <v>48</v>
      </c>
      <c r="R324" t="s">
        <v>1823</v>
      </c>
      <c r="S324" t="s">
        <v>49</v>
      </c>
      <c r="T324" t="s">
        <v>1824</v>
      </c>
      <c r="U324" t="s">
        <v>1825</v>
      </c>
      <c r="V324" t="s">
        <v>53</v>
      </c>
      <c r="X324" t="s">
        <v>1788</v>
      </c>
      <c r="Y324" t="s">
        <v>704</v>
      </c>
      <c r="Z324" t="s">
        <v>91</v>
      </c>
    </row>
    <row r="325" spans="1:26" ht="12.75" customHeight="1" x14ac:dyDescent="0.35">
      <c r="A325">
        <v>324</v>
      </c>
      <c r="B325">
        <v>45885.714841666668</v>
      </c>
      <c r="D325" t="s">
        <v>1826</v>
      </c>
      <c r="E325" t="s">
        <v>1282</v>
      </c>
      <c r="F325" t="s">
        <v>449</v>
      </c>
      <c r="G325" t="s">
        <v>197</v>
      </c>
      <c r="H325" t="s">
        <v>60</v>
      </c>
      <c r="I325" t="s">
        <v>196</v>
      </c>
      <c r="J325" t="s">
        <v>30</v>
      </c>
      <c r="K325" t="s">
        <v>61</v>
      </c>
      <c r="L325" t="s">
        <v>36</v>
      </c>
      <c r="N325" t="s">
        <v>1827</v>
      </c>
      <c r="O325" t="s">
        <v>49</v>
      </c>
      <c r="P325" t="s">
        <v>49</v>
      </c>
      <c r="Q325" t="s">
        <v>48</v>
      </c>
      <c r="R325" t="s">
        <v>1828</v>
      </c>
      <c r="S325" t="s">
        <v>49</v>
      </c>
      <c r="T325" t="s">
        <v>1829</v>
      </c>
      <c r="U325" t="s">
        <v>1830</v>
      </c>
      <c r="V325" t="s">
        <v>53</v>
      </c>
      <c r="X325" t="s">
        <v>1788</v>
      </c>
      <c r="Y325" t="s">
        <v>1566</v>
      </c>
      <c r="Z325" t="s">
        <v>91</v>
      </c>
    </row>
    <row r="326" spans="1:26" ht="12.75" customHeight="1" x14ac:dyDescent="0.35">
      <c r="A326">
        <v>325</v>
      </c>
      <c r="B326">
        <v>45885.71616575231</v>
      </c>
      <c r="D326" t="s">
        <v>1831</v>
      </c>
      <c r="E326" t="s">
        <v>1832</v>
      </c>
      <c r="F326" t="s">
        <v>344</v>
      </c>
      <c r="G326" t="s">
        <v>197</v>
      </c>
      <c r="H326" t="s">
        <v>44</v>
      </c>
      <c r="I326" t="s">
        <v>28</v>
      </c>
      <c r="J326" t="s">
        <v>30</v>
      </c>
      <c r="K326" t="s">
        <v>61</v>
      </c>
      <c r="L326" t="s">
        <v>36</v>
      </c>
      <c r="N326" t="s">
        <v>1833</v>
      </c>
      <c r="O326" t="s">
        <v>49</v>
      </c>
      <c r="P326" t="s">
        <v>48</v>
      </c>
      <c r="Q326" t="s">
        <v>48</v>
      </c>
      <c r="R326" t="s">
        <v>1834</v>
      </c>
      <c r="S326" t="s">
        <v>49</v>
      </c>
      <c r="T326" t="s">
        <v>1835</v>
      </c>
      <c r="U326" t="s">
        <v>1836</v>
      </c>
      <c r="V326" t="s">
        <v>135</v>
      </c>
      <c r="X326" t="s">
        <v>1788</v>
      </c>
      <c r="Y326" t="s">
        <v>1735</v>
      </c>
      <c r="Z326" t="s">
        <v>170</v>
      </c>
    </row>
    <row r="327" spans="1:26" ht="12.75" customHeight="1" x14ac:dyDescent="0.35">
      <c r="A327">
        <v>326</v>
      </c>
      <c r="B327">
        <v>45885.722290601851</v>
      </c>
      <c r="D327" t="s">
        <v>1837</v>
      </c>
      <c r="E327" t="s">
        <v>1838</v>
      </c>
      <c r="F327" t="s">
        <v>344</v>
      </c>
      <c r="G327" t="s">
        <v>28</v>
      </c>
      <c r="H327" t="s">
        <v>28</v>
      </c>
      <c r="I327" t="s">
        <v>103</v>
      </c>
      <c r="J327" t="s">
        <v>173</v>
      </c>
      <c r="K327" t="s">
        <v>292</v>
      </c>
      <c r="L327" t="s">
        <v>46</v>
      </c>
      <c r="N327" t="s">
        <v>1839</v>
      </c>
      <c r="O327" t="s">
        <v>49</v>
      </c>
      <c r="P327" t="s">
        <v>48</v>
      </c>
      <c r="Q327" t="s">
        <v>49</v>
      </c>
      <c r="R327" t="s">
        <v>1840</v>
      </c>
      <c r="S327" t="s">
        <v>49</v>
      </c>
      <c r="T327" t="s">
        <v>1841</v>
      </c>
      <c r="U327" t="s">
        <v>1842</v>
      </c>
      <c r="V327" t="s">
        <v>135</v>
      </c>
      <c r="X327" t="s">
        <v>1788</v>
      </c>
      <c r="Y327" t="s">
        <v>1800</v>
      </c>
      <c r="Z327" t="s">
        <v>91</v>
      </c>
    </row>
    <row r="328" spans="1:26" ht="12.75" customHeight="1" x14ac:dyDescent="0.35">
      <c r="A328">
        <v>327</v>
      </c>
      <c r="B328">
        <v>45885.724119733801</v>
      </c>
      <c r="D328" t="s">
        <v>1843</v>
      </c>
      <c r="E328" t="s">
        <v>1802</v>
      </c>
      <c r="F328" t="s">
        <v>60</v>
      </c>
      <c r="G328" t="s">
        <v>29</v>
      </c>
      <c r="H328" t="s">
        <v>29</v>
      </c>
      <c r="I328" t="s">
        <v>103</v>
      </c>
      <c r="J328" t="s">
        <v>103</v>
      </c>
      <c r="K328" t="s">
        <v>28</v>
      </c>
      <c r="L328" t="s">
        <v>36</v>
      </c>
      <c r="N328" t="s">
        <v>1784</v>
      </c>
      <c r="O328" t="s">
        <v>48</v>
      </c>
      <c r="P328" t="s">
        <v>49</v>
      </c>
      <c r="Q328" t="s">
        <v>49</v>
      </c>
      <c r="R328" t="s">
        <v>1844</v>
      </c>
      <c r="S328" t="s">
        <v>49</v>
      </c>
      <c r="T328" t="s">
        <v>1845</v>
      </c>
      <c r="U328" t="s">
        <v>1846</v>
      </c>
      <c r="V328" t="s">
        <v>53</v>
      </c>
      <c r="X328" t="s">
        <v>1788</v>
      </c>
      <c r="Y328" t="s">
        <v>1047</v>
      </c>
      <c r="Z328" t="s">
        <v>91</v>
      </c>
    </row>
    <row r="329" spans="1:26" ht="12.75" customHeight="1" x14ac:dyDescent="0.35">
      <c r="A329">
        <v>328</v>
      </c>
      <c r="B329">
        <v>45885.725181423608</v>
      </c>
      <c r="D329" t="s">
        <v>1847</v>
      </c>
      <c r="E329" t="s">
        <v>1212</v>
      </c>
      <c r="F329" t="s">
        <v>29</v>
      </c>
      <c r="G329" t="s">
        <v>29</v>
      </c>
      <c r="H329" t="s">
        <v>29</v>
      </c>
      <c r="I329" t="s">
        <v>173</v>
      </c>
      <c r="J329" t="s">
        <v>173</v>
      </c>
      <c r="K329" t="s">
        <v>35</v>
      </c>
      <c r="L329" t="s">
        <v>46</v>
      </c>
      <c r="N329" t="s">
        <v>1848</v>
      </c>
      <c r="O329" t="s">
        <v>48</v>
      </c>
      <c r="P329" t="s">
        <v>49</v>
      </c>
      <c r="Q329" t="s">
        <v>49</v>
      </c>
      <c r="R329" t="s">
        <v>1849</v>
      </c>
      <c r="S329" t="s">
        <v>49</v>
      </c>
      <c r="T329" t="s">
        <v>1850</v>
      </c>
      <c r="U329" t="s">
        <v>1851</v>
      </c>
      <c r="V329" t="s">
        <v>87</v>
      </c>
      <c r="X329" t="s">
        <v>1788</v>
      </c>
      <c r="Y329" t="s">
        <v>1097</v>
      </c>
      <c r="Z329" t="s">
        <v>129</v>
      </c>
    </row>
    <row r="330" spans="1:26" ht="12.75" customHeight="1" x14ac:dyDescent="0.35">
      <c r="A330">
        <v>329</v>
      </c>
      <c r="B330">
        <v>45885.726275185181</v>
      </c>
      <c r="D330" t="s">
        <v>1852</v>
      </c>
      <c r="E330" t="s">
        <v>1143</v>
      </c>
      <c r="F330" t="s">
        <v>28</v>
      </c>
      <c r="G330" t="s">
        <v>60</v>
      </c>
      <c r="H330" t="s">
        <v>284</v>
      </c>
      <c r="I330" t="s">
        <v>173</v>
      </c>
      <c r="J330" t="s">
        <v>368</v>
      </c>
      <c r="K330" t="s">
        <v>368</v>
      </c>
      <c r="L330" t="s">
        <v>36</v>
      </c>
      <c r="N330" t="s">
        <v>1790</v>
      </c>
      <c r="O330" t="s">
        <v>49</v>
      </c>
      <c r="P330" t="s">
        <v>49</v>
      </c>
      <c r="Q330" t="s">
        <v>49</v>
      </c>
      <c r="R330" t="s">
        <v>1853</v>
      </c>
      <c r="S330" t="s">
        <v>48</v>
      </c>
      <c r="T330" t="s">
        <v>1854</v>
      </c>
      <c r="U330" t="s">
        <v>1855</v>
      </c>
      <c r="V330" t="s">
        <v>53</v>
      </c>
      <c r="X330" t="s">
        <v>1788</v>
      </c>
      <c r="Y330" t="s">
        <v>1061</v>
      </c>
      <c r="Z330" t="s">
        <v>129</v>
      </c>
    </row>
    <row r="331" spans="1:26" ht="12.75" customHeight="1" x14ac:dyDescent="0.35">
      <c r="A331">
        <v>330</v>
      </c>
      <c r="B331">
        <v>45885.727426261576</v>
      </c>
      <c r="D331" t="s">
        <v>1856</v>
      </c>
      <c r="E331" t="s">
        <v>1237</v>
      </c>
      <c r="F331" t="s">
        <v>449</v>
      </c>
      <c r="G331" t="s">
        <v>44</v>
      </c>
      <c r="H331" t="s">
        <v>206</v>
      </c>
      <c r="I331" t="s">
        <v>30</v>
      </c>
      <c r="J331" t="s">
        <v>368</v>
      </c>
      <c r="K331" t="s">
        <v>94</v>
      </c>
      <c r="L331" t="s">
        <v>46</v>
      </c>
      <c r="N331" t="s">
        <v>1857</v>
      </c>
      <c r="O331" t="s">
        <v>49</v>
      </c>
      <c r="P331" t="s">
        <v>49</v>
      </c>
      <c r="Q331" t="s">
        <v>49</v>
      </c>
      <c r="R331" t="s">
        <v>1858</v>
      </c>
      <c r="S331" t="s">
        <v>48</v>
      </c>
      <c r="T331" t="s">
        <v>1859</v>
      </c>
      <c r="U331" t="s">
        <v>1860</v>
      </c>
      <c r="V331" t="s">
        <v>79</v>
      </c>
      <c r="X331" t="s">
        <v>1788</v>
      </c>
      <c r="Y331" t="s">
        <v>1075</v>
      </c>
      <c r="Z331" t="s">
        <v>91</v>
      </c>
    </row>
    <row r="332" spans="1:26" ht="12.75" customHeight="1" x14ac:dyDescent="0.35">
      <c r="A332">
        <v>331</v>
      </c>
      <c r="B332">
        <v>45885.728965949078</v>
      </c>
      <c r="D332" t="s">
        <v>1861</v>
      </c>
      <c r="E332" t="s">
        <v>1085</v>
      </c>
      <c r="F332" t="s">
        <v>44</v>
      </c>
      <c r="G332" t="s">
        <v>197</v>
      </c>
      <c r="H332" t="s">
        <v>44</v>
      </c>
      <c r="I332" t="s">
        <v>197</v>
      </c>
      <c r="J332" t="s">
        <v>173</v>
      </c>
      <c r="K332" t="s">
        <v>292</v>
      </c>
      <c r="L332" t="s">
        <v>36</v>
      </c>
      <c r="N332" t="s">
        <v>1862</v>
      </c>
      <c r="O332" t="s">
        <v>49</v>
      </c>
      <c r="P332" t="s">
        <v>49</v>
      </c>
      <c r="Q332" t="s">
        <v>48</v>
      </c>
      <c r="R332" t="s">
        <v>1863</v>
      </c>
      <c r="S332" t="s">
        <v>49</v>
      </c>
      <c r="T332" t="s">
        <v>1864</v>
      </c>
      <c r="U332" t="s">
        <v>1865</v>
      </c>
      <c r="V332" t="s">
        <v>87</v>
      </c>
      <c r="X332" t="s">
        <v>1788</v>
      </c>
      <c r="Y332" t="s">
        <v>1090</v>
      </c>
      <c r="Z332" t="s">
        <v>129</v>
      </c>
    </row>
    <row r="333" spans="1:26" ht="12.75" customHeight="1" x14ac:dyDescent="0.35">
      <c r="A333">
        <v>332</v>
      </c>
      <c r="B333">
        <v>45885.729920717597</v>
      </c>
      <c r="D333" t="s">
        <v>1866</v>
      </c>
      <c r="E333" t="s">
        <v>1192</v>
      </c>
      <c r="F333" t="s">
        <v>28</v>
      </c>
      <c r="G333" t="s">
        <v>44</v>
      </c>
      <c r="H333" t="s">
        <v>284</v>
      </c>
      <c r="I333" t="s">
        <v>103</v>
      </c>
      <c r="J333" t="s">
        <v>368</v>
      </c>
      <c r="K333" t="s">
        <v>94</v>
      </c>
      <c r="L333" t="s">
        <v>46</v>
      </c>
      <c r="N333" t="s">
        <v>1812</v>
      </c>
      <c r="O333" t="s">
        <v>49</v>
      </c>
      <c r="P333" t="s">
        <v>49</v>
      </c>
      <c r="Q333" t="s">
        <v>49</v>
      </c>
      <c r="R333" t="s">
        <v>1867</v>
      </c>
      <c r="S333" t="s">
        <v>48</v>
      </c>
      <c r="T333" t="s">
        <v>1868</v>
      </c>
      <c r="U333" t="s">
        <v>1869</v>
      </c>
      <c r="V333" t="s">
        <v>53</v>
      </c>
      <c r="X333" t="s">
        <v>1788</v>
      </c>
      <c r="Y333" t="s">
        <v>704</v>
      </c>
      <c r="Z333" t="s">
        <v>170</v>
      </c>
    </row>
    <row r="334" spans="1:26" ht="12.75" customHeight="1" x14ac:dyDescent="0.35">
      <c r="A334">
        <v>333</v>
      </c>
      <c r="B334">
        <v>45885.731118530093</v>
      </c>
      <c r="D334" t="s">
        <v>1870</v>
      </c>
      <c r="E334" t="s">
        <v>1282</v>
      </c>
      <c r="F334" t="s">
        <v>449</v>
      </c>
      <c r="G334" t="s">
        <v>197</v>
      </c>
      <c r="H334" t="s">
        <v>60</v>
      </c>
      <c r="I334" t="s">
        <v>173</v>
      </c>
      <c r="J334" t="s">
        <v>30</v>
      </c>
      <c r="K334" t="s">
        <v>35</v>
      </c>
      <c r="L334" t="s">
        <v>36</v>
      </c>
      <c r="N334" t="s">
        <v>1784</v>
      </c>
      <c r="O334" t="s">
        <v>49</v>
      </c>
      <c r="P334" t="s">
        <v>48</v>
      </c>
      <c r="Q334" t="s">
        <v>49</v>
      </c>
      <c r="R334" t="s">
        <v>1871</v>
      </c>
      <c r="S334" t="s">
        <v>49</v>
      </c>
      <c r="T334" t="s">
        <v>1872</v>
      </c>
      <c r="U334" t="s">
        <v>1873</v>
      </c>
      <c r="V334" t="s">
        <v>87</v>
      </c>
      <c r="X334" t="s">
        <v>1788</v>
      </c>
      <c r="Y334" t="s">
        <v>1566</v>
      </c>
      <c r="Z334" t="s">
        <v>91</v>
      </c>
    </row>
    <row r="335" spans="1:26" ht="12.75" customHeight="1" x14ac:dyDescent="0.35">
      <c r="A335">
        <v>334</v>
      </c>
      <c r="B335">
        <v>45886.595767094906</v>
      </c>
      <c r="D335" t="s">
        <v>1874</v>
      </c>
      <c r="E335" t="s">
        <v>1875</v>
      </c>
      <c r="F335" t="s">
        <v>33</v>
      </c>
      <c r="G335" t="s">
        <v>28</v>
      </c>
      <c r="H335" t="s">
        <v>60</v>
      </c>
      <c r="I335" t="s">
        <v>30</v>
      </c>
      <c r="J335" t="s">
        <v>173</v>
      </c>
      <c r="K335" t="s">
        <v>28</v>
      </c>
      <c r="L335" t="s">
        <v>36</v>
      </c>
      <c r="N335" t="s">
        <v>1876</v>
      </c>
      <c r="O335" t="s">
        <v>38</v>
      </c>
      <c r="P335" t="s">
        <v>38</v>
      </c>
      <c r="Q335" t="s">
        <v>38</v>
      </c>
      <c r="R335" t="s">
        <v>1877</v>
      </c>
      <c r="S335" t="s">
        <v>49</v>
      </c>
      <c r="T335" t="s">
        <v>1878</v>
      </c>
      <c r="U335" t="s">
        <v>1879</v>
      </c>
      <c r="V335" t="s">
        <v>79</v>
      </c>
      <c r="W335" t="s">
        <v>1880</v>
      </c>
      <c r="X335" t="s">
        <v>81</v>
      </c>
      <c r="Y335" t="s">
        <v>1881</v>
      </c>
      <c r="Z335" t="s">
        <v>91</v>
      </c>
    </row>
    <row r="336" spans="1:26" ht="12.75" customHeight="1" x14ac:dyDescent="0.35">
      <c r="A336">
        <v>335</v>
      </c>
      <c r="B336">
        <v>45886.59825826389</v>
      </c>
      <c r="D336" t="s">
        <v>1882</v>
      </c>
      <c r="E336" t="s">
        <v>1883</v>
      </c>
      <c r="F336" t="s">
        <v>28</v>
      </c>
      <c r="G336" t="s">
        <v>28</v>
      </c>
      <c r="H336" t="s">
        <v>44</v>
      </c>
      <c r="I336" t="s">
        <v>173</v>
      </c>
      <c r="J336" t="s">
        <v>103</v>
      </c>
      <c r="K336" t="s">
        <v>45</v>
      </c>
      <c r="L336" t="s">
        <v>46</v>
      </c>
      <c r="N336" t="s">
        <v>1884</v>
      </c>
      <c r="O336" t="s">
        <v>38</v>
      </c>
      <c r="P336" t="s">
        <v>38</v>
      </c>
      <c r="Q336" t="s">
        <v>38</v>
      </c>
      <c r="R336" t="s">
        <v>1885</v>
      </c>
      <c r="S336" t="s">
        <v>38</v>
      </c>
      <c r="T336" t="s">
        <v>1886</v>
      </c>
      <c r="U336" t="s">
        <v>1887</v>
      </c>
      <c r="V336" t="s">
        <v>65</v>
      </c>
      <c r="W336" t="s">
        <v>1888</v>
      </c>
      <c r="X336" t="s">
        <v>1889</v>
      </c>
      <c r="Y336" t="s">
        <v>1890</v>
      </c>
      <c r="Z336" t="s">
        <v>91</v>
      </c>
    </row>
    <row r="337" spans="1:26" ht="12.75" customHeight="1" x14ac:dyDescent="0.35">
      <c r="A337">
        <v>336</v>
      </c>
      <c r="B337">
        <v>45886.599969641204</v>
      </c>
      <c r="D337" t="s">
        <v>1891</v>
      </c>
      <c r="E337" t="s">
        <v>1892</v>
      </c>
      <c r="F337" t="s">
        <v>60</v>
      </c>
      <c r="G337" t="s">
        <v>44</v>
      </c>
      <c r="H337" t="s">
        <v>28</v>
      </c>
      <c r="I337" t="s">
        <v>158</v>
      </c>
      <c r="J337" t="s">
        <v>368</v>
      </c>
      <c r="K337" t="s">
        <v>368</v>
      </c>
      <c r="L337" t="s">
        <v>46</v>
      </c>
      <c r="N337" t="s">
        <v>1884</v>
      </c>
      <c r="O337" t="s">
        <v>49</v>
      </c>
      <c r="P337" t="s">
        <v>48</v>
      </c>
      <c r="Q337" t="s">
        <v>49</v>
      </c>
      <c r="R337" t="s">
        <v>1893</v>
      </c>
      <c r="S337" t="s">
        <v>48</v>
      </c>
      <c r="T337" t="s">
        <v>1894</v>
      </c>
      <c r="U337" t="s">
        <v>1895</v>
      </c>
      <c r="V337" t="s">
        <v>79</v>
      </c>
      <c r="W337" t="s">
        <v>1896</v>
      </c>
      <c r="X337" t="s">
        <v>1889</v>
      </c>
      <c r="Y337" t="s">
        <v>1897</v>
      </c>
      <c r="Z337" t="s">
        <v>91</v>
      </c>
    </row>
    <row r="338" spans="1:26" ht="12.75" customHeight="1" x14ac:dyDescent="0.35">
      <c r="A338">
        <v>337</v>
      </c>
      <c r="B338">
        <v>45886.604206122684</v>
      </c>
      <c r="D338" t="s">
        <v>1898</v>
      </c>
      <c r="E338" t="s">
        <v>1899</v>
      </c>
      <c r="F338" t="s">
        <v>377</v>
      </c>
      <c r="G338" t="s">
        <v>28</v>
      </c>
      <c r="H338" t="s">
        <v>28</v>
      </c>
      <c r="I338" t="s">
        <v>28</v>
      </c>
      <c r="J338" t="s">
        <v>28</v>
      </c>
      <c r="K338" t="s">
        <v>28</v>
      </c>
      <c r="L338" t="s">
        <v>36</v>
      </c>
      <c r="N338" t="s">
        <v>1900</v>
      </c>
      <c r="O338" t="s">
        <v>38</v>
      </c>
      <c r="P338" t="s">
        <v>38</v>
      </c>
      <c r="Q338" t="s">
        <v>38</v>
      </c>
      <c r="R338" t="s">
        <v>1901</v>
      </c>
      <c r="S338" t="s">
        <v>38</v>
      </c>
      <c r="T338" t="s">
        <v>1902</v>
      </c>
      <c r="U338" t="s">
        <v>1903</v>
      </c>
      <c r="V338" t="s">
        <v>53</v>
      </c>
      <c r="W338" t="s">
        <v>1904</v>
      </c>
      <c r="X338" t="s">
        <v>81</v>
      </c>
      <c r="Y338" t="s">
        <v>1905</v>
      </c>
      <c r="Z338" t="s">
        <v>129</v>
      </c>
    </row>
    <row r="339" spans="1:26" ht="12.75" customHeight="1" x14ac:dyDescent="0.35">
      <c r="A339">
        <v>338</v>
      </c>
      <c r="B339">
        <v>45886.608674178242</v>
      </c>
      <c r="D339" t="s">
        <v>1906</v>
      </c>
      <c r="E339" t="s">
        <v>1907</v>
      </c>
      <c r="F339" t="s">
        <v>28</v>
      </c>
      <c r="G339" t="s">
        <v>28</v>
      </c>
      <c r="H339" t="s">
        <v>28</v>
      </c>
      <c r="I339" t="s">
        <v>28</v>
      </c>
      <c r="J339" t="s">
        <v>28</v>
      </c>
      <c r="K339" t="s">
        <v>28</v>
      </c>
      <c r="L339" t="s">
        <v>46</v>
      </c>
      <c r="N339" t="s">
        <v>1908</v>
      </c>
      <c r="O339" t="s">
        <v>48</v>
      </c>
      <c r="P339" t="s">
        <v>48</v>
      </c>
      <c r="Q339" t="s">
        <v>48</v>
      </c>
      <c r="R339" t="s">
        <v>1909</v>
      </c>
      <c r="S339" t="s">
        <v>48</v>
      </c>
      <c r="T339" t="s">
        <v>1910</v>
      </c>
      <c r="U339" t="s">
        <v>1911</v>
      </c>
      <c r="V339" t="s">
        <v>53</v>
      </c>
      <c r="W339" t="s">
        <v>1912</v>
      </c>
      <c r="X339" t="s">
        <v>81</v>
      </c>
      <c r="Y339" t="s">
        <v>1913</v>
      </c>
      <c r="Z339" t="s">
        <v>91</v>
      </c>
    </row>
    <row r="340" spans="1:26" ht="12.75" customHeight="1" x14ac:dyDescent="0.35">
      <c r="A340">
        <v>339</v>
      </c>
      <c r="B340">
        <v>45886.617920300923</v>
      </c>
      <c r="D340" t="s">
        <v>1914</v>
      </c>
      <c r="E340" t="s">
        <v>1883</v>
      </c>
      <c r="F340" t="s">
        <v>33</v>
      </c>
      <c r="G340" t="s">
        <v>60</v>
      </c>
      <c r="H340" t="s">
        <v>44</v>
      </c>
      <c r="I340" t="s">
        <v>173</v>
      </c>
      <c r="J340" t="s">
        <v>103</v>
      </c>
      <c r="K340" t="s">
        <v>45</v>
      </c>
      <c r="L340" t="s">
        <v>46</v>
      </c>
      <c r="N340" t="s">
        <v>1915</v>
      </c>
      <c r="O340" t="s">
        <v>48</v>
      </c>
      <c r="P340" t="s">
        <v>49</v>
      </c>
      <c r="Q340" t="s">
        <v>38</v>
      </c>
      <c r="R340" t="s">
        <v>1916</v>
      </c>
      <c r="S340" t="s">
        <v>49</v>
      </c>
      <c r="T340" t="s">
        <v>1917</v>
      </c>
      <c r="U340" t="s">
        <v>1918</v>
      </c>
      <c r="V340" t="s">
        <v>79</v>
      </c>
      <c r="W340" t="s">
        <v>1919</v>
      </c>
      <c r="X340" t="s">
        <v>1889</v>
      </c>
      <c r="Y340" t="s">
        <v>1920</v>
      </c>
      <c r="Z340" t="s">
        <v>91</v>
      </c>
    </row>
    <row r="341" spans="1:26" ht="12.75" customHeight="1" x14ac:dyDescent="0.35">
      <c r="A341">
        <v>340</v>
      </c>
      <c r="B341">
        <v>45886.620192592593</v>
      </c>
      <c r="D341" t="s">
        <v>1921</v>
      </c>
      <c r="E341" t="s">
        <v>1899</v>
      </c>
      <c r="F341" t="s">
        <v>28</v>
      </c>
      <c r="G341" t="s">
        <v>28</v>
      </c>
      <c r="H341" t="s">
        <v>28</v>
      </c>
      <c r="I341" t="s">
        <v>28</v>
      </c>
      <c r="J341" t="s">
        <v>28</v>
      </c>
      <c r="K341" t="s">
        <v>28</v>
      </c>
      <c r="L341" t="s">
        <v>46</v>
      </c>
      <c r="N341" t="s">
        <v>1922</v>
      </c>
      <c r="O341" t="s">
        <v>48</v>
      </c>
      <c r="P341" t="s">
        <v>48</v>
      </c>
      <c r="Q341" t="s">
        <v>48</v>
      </c>
      <c r="R341" t="s">
        <v>1923</v>
      </c>
      <c r="S341" t="s">
        <v>48</v>
      </c>
      <c r="T341" t="s">
        <v>1924</v>
      </c>
      <c r="U341" t="s">
        <v>1925</v>
      </c>
      <c r="V341" t="s">
        <v>53</v>
      </c>
      <c r="W341" t="s">
        <v>1926</v>
      </c>
      <c r="X341" t="s">
        <v>81</v>
      </c>
      <c r="Y341" t="s">
        <v>1927</v>
      </c>
      <c r="Z341" t="s">
        <v>91</v>
      </c>
    </row>
    <row r="342" spans="1:26" ht="12.75" customHeight="1" x14ac:dyDescent="0.35">
      <c r="A342">
        <v>341</v>
      </c>
      <c r="B342">
        <v>45886.622259479162</v>
      </c>
      <c r="D342" t="s">
        <v>1928</v>
      </c>
      <c r="E342" t="s">
        <v>1929</v>
      </c>
      <c r="F342" t="s">
        <v>60</v>
      </c>
      <c r="G342" t="s">
        <v>28</v>
      </c>
      <c r="H342" t="s">
        <v>60</v>
      </c>
      <c r="I342" t="s">
        <v>197</v>
      </c>
      <c r="J342" t="s">
        <v>173</v>
      </c>
      <c r="K342" t="s">
        <v>292</v>
      </c>
      <c r="L342" t="s">
        <v>46</v>
      </c>
      <c r="N342" t="s">
        <v>1930</v>
      </c>
      <c r="O342" t="s">
        <v>48</v>
      </c>
      <c r="P342" t="s">
        <v>48</v>
      </c>
      <c r="Q342" t="s">
        <v>48</v>
      </c>
      <c r="R342" t="s">
        <v>1931</v>
      </c>
      <c r="S342" t="s">
        <v>48</v>
      </c>
      <c r="U342" t="s">
        <v>1932</v>
      </c>
      <c r="V342" t="s">
        <v>53</v>
      </c>
      <c r="W342" t="s">
        <v>1933</v>
      </c>
      <c r="X342" t="s">
        <v>81</v>
      </c>
      <c r="Y342" t="s">
        <v>1934</v>
      </c>
      <c r="Z342" t="s">
        <v>91</v>
      </c>
    </row>
    <row r="343" spans="1:26" ht="12.75" customHeight="1" x14ac:dyDescent="0.35">
      <c r="A343">
        <v>342</v>
      </c>
      <c r="B343">
        <v>45886.62487965278</v>
      </c>
      <c r="D343" t="s">
        <v>1935</v>
      </c>
      <c r="E343" t="s">
        <v>1875</v>
      </c>
      <c r="F343" t="s">
        <v>28</v>
      </c>
      <c r="G343" t="s">
        <v>29</v>
      </c>
      <c r="H343" t="s">
        <v>28</v>
      </c>
      <c r="I343" t="s">
        <v>197</v>
      </c>
      <c r="J343" t="s">
        <v>73</v>
      </c>
      <c r="K343" t="s">
        <v>368</v>
      </c>
      <c r="L343" t="s">
        <v>46</v>
      </c>
      <c r="N343" t="s">
        <v>1915</v>
      </c>
      <c r="O343" t="s">
        <v>49</v>
      </c>
      <c r="P343" t="s">
        <v>48</v>
      </c>
      <c r="Q343" t="s">
        <v>38</v>
      </c>
      <c r="R343" t="s">
        <v>1936</v>
      </c>
      <c r="S343" t="s">
        <v>49</v>
      </c>
      <c r="T343" t="s">
        <v>1937</v>
      </c>
      <c r="U343" t="s">
        <v>1938</v>
      </c>
      <c r="V343" t="s">
        <v>53</v>
      </c>
      <c r="W343" t="s">
        <v>1939</v>
      </c>
      <c r="X343" t="s">
        <v>1889</v>
      </c>
      <c r="Y343" t="s">
        <v>1940</v>
      </c>
      <c r="Z343" t="s">
        <v>91</v>
      </c>
    </row>
    <row r="344" spans="1:26" ht="12.75" customHeight="1" x14ac:dyDescent="0.35">
      <c r="A344">
        <v>343</v>
      </c>
      <c r="B344">
        <v>45886.625366469903</v>
      </c>
      <c r="D344" t="s">
        <v>1921</v>
      </c>
      <c r="E344" t="s">
        <v>1899</v>
      </c>
      <c r="F344" t="s">
        <v>33</v>
      </c>
      <c r="G344" t="s">
        <v>28</v>
      </c>
      <c r="H344" t="s">
        <v>284</v>
      </c>
      <c r="I344" t="s">
        <v>173</v>
      </c>
      <c r="J344" t="s">
        <v>28</v>
      </c>
      <c r="K344" t="s">
        <v>35</v>
      </c>
      <c r="L344" t="s">
        <v>46</v>
      </c>
      <c r="N344" t="s">
        <v>1922</v>
      </c>
      <c r="O344" t="s">
        <v>49</v>
      </c>
      <c r="P344" t="s">
        <v>49</v>
      </c>
      <c r="Q344" t="s">
        <v>49</v>
      </c>
      <c r="R344" t="s">
        <v>1941</v>
      </c>
      <c r="S344" t="s">
        <v>49</v>
      </c>
      <c r="T344" t="s">
        <v>1942</v>
      </c>
      <c r="U344" t="s">
        <v>1943</v>
      </c>
      <c r="V344" t="s">
        <v>53</v>
      </c>
      <c r="W344" t="s">
        <v>1926</v>
      </c>
      <c r="X344" t="s">
        <v>81</v>
      </c>
      <c r="Y344" t="s">
        <v>1927</v>
      </c>
      <c r="Z344" t="s">
        <v>57</v>
      </c>
    </row>
    <row r="345" spans="1:26" ht="12.75" customHeight="1" x14ac:dyDescent="0.35">
      <c r="A345">
        <v>344</v>
      </c>
      <c r="B345">
        <v>45886.626407743053</v>
      </c>
      <c r="D345" t="s">
        <v>1944</v>
      </c>
      <c r="E345" t="s">
        <v>1899</v>
      </c>
      <c r="F345" t="s">
        <v>44</v>
      </c>
      <c r="G345" t="s">
        <v>28</v>
      </c>
      <c r="H345" t="s">
        <v>28</v>
      </c>
      <c r="I345" t="s">
        <v>28</v>
      </c>
      <c r="J345" t="s">
        <v>28</v>
      </c>
      <c r="K345" t="s">
        <v>28</v>
      </c>
      <c r="L345" t="s">
        <v>36</v>
      </c>
      <c r="N345" t="s">
        <v>1945</v>
      </c>
      <c r="O345" t="s">
        <v>48</v>
      </c>
      <c r="P345" t="s">
        <v>48</v>
      </c>
      <c r="Q345" t="s">
        <v>48</v>
      </c>
      <c r="R345" t="s">
        <v>1923</v>
      </c>
      <c r="S345" t="s">
        <v>48</v>
      </c>
      <c r="T345" t="s">
        <v>1924</v>
      </c>
      <c r="U345" t="s">
        <v>1925</v>
      </c>
      <c r="V345" t="s">
        <v>53</v>
      </c>
      <c r="W345" t="s">
        <v>1946</v>
      </c>
      <c r="X345" t="s">
        <v>1947</v>
      </c>
      <c r="Y345" t="s">
        <v>1948</v>
      </c>
      <c r="Z345" t="s">
        <v>129</v>
      </c>
    </row>
    <row r="346" spans="1:26" ht="12.75" customHeight="1" x14ac:dyDescent="0.35">
      <c r="A346">
        <v>345</v>
      </c>
      <c r="B346">
        <v>45886.63066127315</v>
      </c>
      <c r="D346" t="s">
        <v>1949</v>
      </c>
      <c r="E346" t="s">
        <v>1929</v>
      </c>
      <c r="F346" t="s">
        <v>60</v>
      </c>
      <c r="G346" t="s">
        <v>28</v>
      </c>
      <c r="H346" t="s">
        <v>60</v>
      </c>
      <c r="I346" t="s">
        <v>197</v>
      </c>
      <c r="J346" t="s">
        <v>173</v>
      </c>
      <c r="K346" t="s">
        <v>292</v>
      </c>
      <c r="L346" t="s">
        <v>46</v>
      </c>
      <c r="N346" t="s">
        <v>1950</v>
      </c>
      <c r="O346" t="s">
        <v>48</v>
      </c>
      <c r="P346" t="s">
        <v>48</v>
      </c>
      <c r="Q346" t="s">
        <v>48</v>
      </c>
      <c r="R346" t="s">
        <v>1951</v>
      </c>
      <c r="S346" t="s">
        <v>48</v>
      </c>
      <c r="T346" t="s">
        <v>1952</v>
      </c>
      <c r="U346" t="s">
        <v>1953</v>
      </c>
      <c r="V346" t="s">
        <v>53</v>
      </c>
      <c r="W346" t="s">
        <v>1954</v>
      </c>
      <c r="X346" t="s">
        <v>81</v>
      </c>
      <c r="Y346" t="s">
        <v>1955</v>
      </c>
      <c r="Z346" t="s">
        <v>91</v>
      </c>
    </row>
    <row r="347" spans="1:26" ht="12.75" customHeight="1" x14ac:dyDescent="0.35">
      <c r="A347">
        <v>346</v>
      </c>
      <c r="B347">
        <v>45886.631132094903</v>
      </c>
      <c r="D347" t="s">
        <v>1956</v>
      </c>
      <c r="E347" t="s">
        <v>1899</v>
      </c>
      <c r="F347" t="s">
        <v>28</v>
      </c>
      <c r="G347" t="s">
        <v>28</v>
      </c>
      <c r="H347" t="s">
        <v>28</v>
      </c>
      <c r="I347" t="s">
        <v>28</v>
      </c>
      <c r="J347" t="s">
        <v>28</v>
      </c>
      <c r="K347" t="s">
        <v>28</v>
      </c>
      <c r="L347" t="s">
        <v>46</v>
      </c>
      <c r="N347" t="s">
        <v>1945</v>
      </c>
      <c r="O347" t="s">
        <v>48</v>
      </c>
      <c r="P347" t="s">
        <v>48</v>
      </c>
      <c r="Q347" t="s">
        <v>48</v>
      </c>
      <c r="R347" t="s">
        <v>1923</v>
      </c>
      <c r="S347" t="s">
        <v>48</v>
      </c>
      <c r="T347" t="s">
        <v>1924</v>
      </c>
      <c r="U347" t="s">
        <v>1925</v>
      </c>
      <c r="V347" t="s">
        <v>53</v>
      </c>
      <c r="W347" t="s">
        <v>1957</v>
      </c>
      <c r="X347" t="s">
        <v>1947</v>
      </c>
      <c r="Y347" t="s">
        <v>1958</v>
      </c>
      <c r="Z347" t="s">
        <v>129</v>
      </c>
    </row>
    <row r="348" spans="1:26" ht="12.75" customHeight="1" x14ac:dyDescent="0.35">
      <c r="A348">
        <v>347</v>
      </c>
      <c r="B348">
        <v>45886.632348206018</v>
      </c>
      <c r="D348" t="s">
        <v>1959</v>
      </c>
      <c r="E348" t="s">
        <v>1960</v>
      </c>
      <c r="F348" t="s">
        <v>60</v>
      </c>
      <c r="G348" t="s">
        <v>29</v>
      </c>
      <c r="H348" t="s">
        <v>28</v>
      </c>
      <c r="I348" t="s">
        <v>173</v>
      </c>
      <c r="J348" t="s">
        <v>28</v>
      </c>
      <c r="K348" t="s">
        <v>45</v>
      </c>
      <c r="L348" t="s">
        <v>46</v>
      </c>
      <c r="N348" t="s">
        <v>1961</v>
      </c>
      <c r="O348" t="s">
        <v>48</v>
      </c>
      <c r="P348" t="s">
        <v>49</v>
      </c>
      <c r="Q348" t="s">
        <v>49</v>
      </c>
      <c r="R348" t="s">
        <v>1885</v>
      </c>
      <c r="S348" t="s">
        <v>49</v>
      </c>
      <c r="T348" t="s">
        <v>1962</v>
      </c>
      <c r="U348" t="s">
        <v>1887</v>
      </c>
      <c r="V348" t="s">
        <v>65</v>
      </c>
      <c r="W348" t="s">
        <v>1963</v>
      </c>
      <c r="X348" t="s">
        <v>1889</v>
      </c>
      <c r="Y348" t="s">
        <v>1964</v>
      </c>
      <c r="Z348" t="s">
        <v>91</v>
      </c>
    </row>
    <row r="349" spans="1:26" ht="12.75" customHeight="1" x14ac:dyDescent="0.35">
      <c r="A349">
        <v>348</v>
      </c>
      <c r="B349">
        <v>45886.636008703703</v>
      </c>
      <c r="D349" t="s">
        <v>1965</v>
      </c>
      <c r="E349" t="s">
        <v>1899</v>
      </c>
      <c r="F349" t="s">
        <v>377</v>
      </c>
      <c r="G349" t="s">
        <v>28</v>
      </c>
      <c r="H349" t="s">
        <v>28</v>
      </c>
      <c r="I349" t="s">
        <v>28</v>
      </c>
      <c r="J349" t="s">
        <v>28</v>
      </c>
      <c r="K349" t="s">
        <v>28</v>
      </c>
      <c r="L349" t="s">
        <v>46</v>
      </c>
      <c r="N349" t="s">
        <v>1966</v>
      </c>
      <c r="O349" t="s">
        <v>48</v>
      </c>
      <c r="P349" t="s">
        <v>48</v>
      </c>
      <c r="Q349" t="s">
        <v>49</v>
      </c>
      <c r="R349" t="s">
        <v>1967</v>
      </c>
      <c r="S349" t="s">
        <v>49</v>
      </c>
      <c r="T349" t="s">
        <v>1924</v>
      </c>
      <c r="U349" t="s">
        <v>1925</v>
      </c>
      <c r="V349" t="s">
        <v>53</v>
      </c>
      <c r="W349" t="s">
        <v>1968</v>
      </c>
      <c r="X349" t="s">
        <v>1947</v>
      </c>
      <c r="Y349" t="s">
        <v>1969</v>
      </c>
      <c r="Z349" t="s">
        <v>170</v>
      </c>
    </row>
    <row r="350" spans="1:26" ht="12.75" customHeight="1" x14ac:dyDescent="0.35">
      <c r="A350">
        <v>349</v>
      </c>
      <c r="B350">
        <v>45886.642413587964</v>
      </c>
      <c r="D350" t="s">
        <v>1970</v>
      </c>
      <c r="E350" t="s">
        <v>1899</v>
      </c>
      <c r="F350" t="s">
        <v>44</v>
      </c>
      <c r="G350" t="s">
        <v>28</v>
      </c>
      <c r="H350" t="s">
        <v>157</v>
      </c>
      <c r="I350" t="s">
        <v>173</v>
      </c>
      <c r="J350" t="s">
        <v>103</v>
      </c>
      <c r="K350" t="s">
        <v>35</v>
      </c>
      <c r="L350" t="s">
        <v>46</v>
      </c>
      <c r="N350" t="s">
        <v>1971</v>
      </c>
      <c r="O350" t="s">
        <v>48</v>
      </c>
      <c r="P350" t="s">
        <v>48</v>
      </c>
      <c r="Q350" t="s">
        <v>48</v>
      </c>
      <c r="R350" t="s">
        <v>1923</v>
      </c>
      <c r="S350" t="s">
        <v>48</v>
      </c>
      <c r="T350" t="s">
        <v>1924</v>
      </c>
      <c r="U350" t="s">
        <v>1925</v>
      </c>
      <c r="V350" t="s">
        <v>53</v>
      </c>
      <c r="W350" t="s">
        <v>1972</v>
      </c>
      <c r="X350" t="s">
        <v>1947</v>
      </c>
      <c r="Y350" t="s">
        <v>1973</v>
      </c>
      <c r="Z350" t="s">
        <v>91</v>
      </c>
    </row>
    <row r="351" spans="1:26" ht="12.75" customHeight="1" x14ac:dyDescent="0.35">
      <c r="A351">
        <v>350</v>
      </c>
      <c r="B351">
        <v>45886.642839976848</v>
      </c>
      <c r="D351" t="s">
        <v>1974</v>
      </c>
      <c r="E351" t="s">
        <v>1929</v>
      </c>
      <c r="F351" t="s">
        <v>60</v>
      </c>
      <c r="G351" t="s">
        <v>28</v>
      </c>
      <c r="H351" t="s">
        <v>60</v>
      </c>
      <c r="I351" t="s">
        <v>28</v>
      </c>
      <c r="J351" t="s">
        <v>173</v>
      </c>
      <c r="K351" t="s">
        <v>292</v>
      </c>
      <c r="L351" t="s">
        <v>46</v>
      </c>
      <c r="N351" t="s">
        <v>1975</v>
      </c>
      <c r="O351" t="s">
        <v>48</v>
      </c>
      <c r="P351" t="s">
        <v>48</v>
      </c>
      <c r="Q351" t="s">
        <v>48</v>
      </c>
      <c r="R351" t="s">
        <v>1951</v>
      </c>
      <c r="S351" t="s">
        <v>48</v>
      </c>
      <c r="T351" t="s">
        <v>1952</v>
      </c>
      <c r="U351" t="s">
        <v>1976</v>
      </c>
      <c r="V351" t="s">
        <v>53</v>
      </c>
      <c r="W351" t="s">
        <v>1977</v>
      </c>
      <c r="X351" t="s">
        <v>81</v>
      </c>
      <c r="Y351" t="s">
        <v>1978</v>
      </c>
      <c r="Z351" t="s">
        <v>91</v>
      </c>
    </row>
    <row r="352" spans="1:26" ht="12.75" customHeight="1" x14ac:dyDescent="0.35">
      <c r="A352">
        <v>351</v>
      </c>
      <c r="B352">
        <v>45886.644496168985</v>
      </c>
      <c r="D352" t="s">
        <v>1979</v>
      </c>
      <c r="E352" t="s">
        <v>1875</v>
      </c>
      <c r="F352" t="s">
        <v>377</v>
      </c>
      <c r="G352" t="s">
        <v>60</v>
      </c>
      <c r="H352" t="s">
        <v>284</v>
      </c>
      <c r="I352" t="s">
        <v>103</v>
      </c>
      <c r="J352" t="s">
        <v>368</v>
      </c>
      <c r="K352" t="s">
        <v>292</v>
      </c>
      <c r="L352" t="s">
        <v>36</v>
      </c>
      <c r="N352" t="s">
        <v>1945</v>
      </c>
      <c r="O352" t="s">
        <v>49</v>
      </c>
      <c r="P352" t="s">
        <v>49</v>
      </c>
      <c r="Q352" t="s">
        <v>48</v>
      </c>
      <c r="R352" t="s">
        <v>1980</v>
      </c>
      <c r="S352" t="s">
        <v>49</v>
      </c>
      <c r="T352" t="s">
        <v>1981</v>
      </c>
      <c r="U352" t="s">
        <v>1982</v>
      </c>
      <c r="V352" t="s">
        <v>53</v>
      </c>
      <c r="W352" t="s">
        <v>1983</v>
      </c>
      <c r="X352" t="s">
        <v>1984</v>
      </c>
      <c r="Y352" t="s">
        <v>1985</v>
      </c>
      <c r="Z352" t="s">
        <v>91</v>
      </c>
    </row>
    <row r="353" spans="1:26" ht="12.75" customHeight="1" x14ac:dyDescent="0.35">
      <c r="A353">
        <v>352</v>
      </c>
      <c r="B353">
        <v>45886.644940312501</v>
      </c>
      <c r="D353" t="s">
        <v>1986</v>
      </c>
      <c r="E353" t="s">
        <v>1960</v>
      </c>
      <c r="F353" t="s">
        <v>44</v>
      </c>
      <c r="G353" t="s">
        <v>44</v>
      </c>
      <c r="H353" t="s">
        <v>60</v>
      </c>
      <c r="I353" t="s">
        <v>103</v>
      </c>
      <c r="J353" t="s">
        <v>103</v>
      </c>
      <c r="K353" t="s">
        <v>45</v>
      </c>
      <c r="L353" t="s">
        <v>46</v>
      </c>
      <c r="N353" t="s">
        <v>1961</v>
      </c>
      <c r="O353" t="s">
        <v>48</v>
      </c>
      <c r="P353" t="s">
        <v>48</v>
      </c>
      <c r="Q353" t="s">
        <v>49</v>
      </c>
      <c r="R353" t="s">
        <v>1916</v>
      </c>
      <c r="S353" t="s">
        <v>49</v>
      </c>
      <c r="T353" t="s">
        <v>1917</v>
      </c>
      <c r="U353" t="s">
        <v>1918</v>
      </c>
      <c r="V353" t="s">
        <v>79</v>
      </c>
      <c r="W353" t="s">
        <v>1987</v>
      </c>
      <c r="X353" t="s">
        <v>1889</v>
      </c>
      <c r="Y353" t="s">
        <v>1988</v>
      </c>
      <c r="Z353" t="s">
        <v>91</v>
      </c>
    </row>
    <row r="354" spans="1:26" ht="12.75" customHeight="1" x14ac:dyDescent="0.35">
      <c r="A354">
        <v>353</v>
      </c>
      <c r="B354">
        <v>45886.651960925927</v>
      </c>
      <c r="D354" t="s">
        <v>1989</v>
      </c>
      <c r="E354" t="s">
        <v>1929</v>
      </c>
      <c r="F354" t="s">
        <v>60</v>
      </c>
      <c r="G354" t="s">
        <v>28</v>
      </c>
      <c r="H354" t="s">
        <v>60</v>
      </c>
      <c r="I354" t="s">
        <v>173</v>
      </c>
      <c r="J354" t="s">
        <v>28</v>
      </c>
      <c r="K354" t="s">
        <v>368</v>
      </c>
      <c r="L354" t="s">
        <v>46</v>
      </c>
      <c r="N354" t="s">
        <v>1990</v>
      </c>
      <c r="O354" t="s">
        <v>48</v>
      </c>
      <c r="P354" t="s">
        <v>48</v>
      </c>
      <c r="Q354" t="s">
        <v>48</v>
      </c>
      <c r="R354" t="s">
        <v>1951</v>
      </c>
      <c r="S354" t="s">
        <v>48</v>
      </c>
      <c r="T354" t="s">
        <v>1952</v>
      </c>
      <c r="U354" t="s">
        <v>1976</v>
      </c>
      <c r="V354" t="s">
        <v>53</v>
      </c>
      <c r="W354" t="s">
        <v>1991</v>
      </c>
      <c r="X354" t="s">
        <v>81</v>
      </c>
      <c r="Y354" t="s">
        <v>1992</v>
      </c>
      <c r="Z354" t="s">
        <v>91</v>
      </c>
    </row>
    <row r="355" spans="1:26" ht="12.75" customHeight="1" x14ac:dyDescent="0.35">
      <c r="A355">
        <v>354</v>
      </c>
      <c r="B355">
        <v>45886.652897534717</v>
      </c>
      <c r="D355" t="s">
        <v>1993</v>
      </c>
      <c r="E355" t="s">
        <v>1899</v>
      </c>
      <c r="F355" t="s">
        <v>377</v>
      </c>
      <c r="G355" t="s">
        <v>28</v>
      </c>
      <c r="H355" t="s">
        <v>44</v>
      </c>
      <c r="I355" t="s">
        <v>28</v>
      </c>
      <c r="J355" t="s">
        <v>28</v>
      </c>
      <c r="K355" t="s">
        <v>28</v>
      </c>
      <c r="L355" t="s">
        <v>46</v>
      </c>
      <c r="N355" t="s">
        <v>1971</v>
      </c>
      <c r="O355" t="s">
        <v>48</v>
      </c>
      <c r="P355" t="s">
        <v>49</v>
      </c>
      <c r="Q355" t="s">
        <v>48</v>
      </c>
      <c r="R355" t="s">
        <v>1923</v>
      </c>
      <c r="S355" t="s">
        <v>48</v>
      </c>
      <c r="T355" t="s">
        <v>1924</v>
      </c>
      <c r="U355" t="s">
        <v>1925</v>
      </c>
      <c r="V355" t="s">
        <v>53</v>
      </c>
      <c r="W355" t="s">
        <v>1994</v>
      </c>
      <c r="X355" t="s">
        <v>1947</v>
      </c>
      <c r="Y355" t="s">
        <v>1995</v>
      </c>
      <c r="Z355" t="s">
        <v>129</v>
      </c>
    </row>
    <row r="356" spans="1:26" ht="12.75" customHeight="1" x14ac:dyDescent="0.35">
      <c r="A356">
        <v>355</v>
      </c>
      <c r="B356">
        <v>45886.655036053242</v>
      </c>
      <c r="D356" t="s">
        <v>1996</v>
      </c>
      <c r="E356" t="s">
        <v>1899</v>
      </c>
      <c r="F356" t="s">
        <v>44</v>
      </c>
      <c r="G356" t="s">
        <v>197</v>
      </c>
      <c r="H356" t="s">
        <v>157</v>
      </c>
      <c r="I356" t="s">
        <v>158</v>
      </c>
      <c r="J356" t="s">
        <v>28</v>
      </c>
      <c r="K356" t="s">
        <v>45</v>
      </c>
      <c r="L356" t="s">
        <v>46</v>
      </c>
      <c r="N356" t="s">
        <v>1922</v>
      </c>
      <c r="O356" t="s">
        <v>49</v>
      </c>
      <c r="P356" t="s">
        <v>49</v>
      </c>
      <c r="Q356" t="s">
        <v>48</v>
      </c>
      <c r="R356" t="s">
        <v>1997</v>
      </c>
      <c r="S356" t="s">
        <v>49</v>
      </c>
      <c r="T356" t="s">
        <v>1998</v>
      </c>
      <c r="U356" t="s">
        <v>1999</v>
      </c>
      <c r="V356" t="s">
        <v>53</v>
      </c>
      <c r="W356" t="s">
        <v>2000</v>
      </c>
      <c r="X356" t="s">
        <v>81</v>
      </c>
      <c r="Y356" t="s">
        <v>2001</v>
      </c>
      <c r="Z356" t="s">
        <v>170</v>
      </c>
    </row>
    <row r="357" spans="1:26" ht="12.75" customHeight="1" x14ac:dyDescent="0.35">
      <c r="A357">
        <v>356</v>
      </c>
      <c r="B357">
        <v>45886.657408125</v>
      </c>
      <c r="D357" t="s">
        <v>2002</v>
      </c>
      <c r="E357" t="s">
        <v>1899</v>
      </c>
      <c r="F357" t="s">
        <v>28</v>
      </c>
      <c r="G357" t="s">
        <v>44</v>
      </c>
      <c r="H357" t="s">
        <v>157</v>
      </c>
      <c r="I357" t="s">
        <v>28</v>
      </c>
      <c r="J357" t="s">
        <v>173</v>
      </c>
      <c r="K357" t="s">
        <v>45</v>
      </c>
      <c r="L357" t="s">
        <v>46</v>
      </c>
      <c r="N357" t="s">
        <v>1971</v>
      </c>
      <c r="O357" t="s">
        <v>49</v>
      </c>
      <c r="P357" t="s">
        <v>49</v>
      </c>
      <c r="Q357" t="s">
        <v>49</v>
      </c>
      <c r="R357" t="s">
        <v>2003</v>
      </c>
      <c r="S357" t="s">
        <v>49</v>
      </c>
      <c r="T357" t="s">
        <v>1924</v>
      </c>
      <c r="U357" t="s">
        <v>1925</v>
      </c>
      <c r="V357" t="s">
        <v>53</v>
      </c>
      <c r="W357" t="s">
        <v>2004</v>
      </c>
      <c r="X357" t="s">
        <v>1947</v>
      </c>
      <c r="Y357" t="s">
        <v>2005</v>
      </c>
      <c r="Z357" t="s">
        <v>129</v>
      </c>
    </row>
    <row r="358" spans="1:26" ht="12.75" customHeight="1" x14ac:dyDescent="0.35">
      <c r="A358">
        <v>357</v>
      </c>
      <c r="B358">
        <v>45886.6596928125</v>
      </c>
      <c r="D358" t="s">
        <v>2006</v>
      </c>
      <c r="E358" t="s">
        <v>1929</v>
      </c>
      <c r="F358" t="s">
        <v>60</v>
      </c>
      <c r="G358" t="s">
        <v>28</v>
      </c>
      <c r="H358" t="s">
        <v>60</v>
      </c>
      <c r="I358" t="s">
        <v>197</v>
      </c>
      <c r="J358" t="s">
        <v>28</v>
      </c>
      <c r="K358" t="s">
        <v>292</v>
      </c>
      <c r="L358" t="s">
        <v>36</v>
      </c>
      <c r="N358" t="s">
        <v>1971</v>
      </c>
      <c r="O358" t="s">
        <v>48</v>
      </c>
      <c r="P358" t="s">
        <v>48</v>
      </c>
      <c r="Q358" t="s">
        <v>48</v>
      </c>
      <c r="R358" t="s">
        <v>1951</v>
      </c>
      <c r="S358" t="s">
        <v>48</v>
      </c>
      <c r="T358" t="s">
        <v>1952</v>
      </c>
      <c r="U358" t="s">
        <v>1976</v>
      </c>
      <c r="V358" t="s">
        <v>53</v>
      </c>
      <c r="W358" t="s">
        <v>2007</v>
      </c>
      <c r="X358" t="s">
        <v>81</v>
      </c>
      <c r="Y358" t="s">
        <v>2008</v>
      </c>
      <c r="Z358" t="s">
        <v>91</v>
      </c>
    </row>
    <row r="359" spans="1:26" ht="12.75" customHeight="1" x14ac:dyDescent="0.35">
      <c r="A359">
        <v>358</v>
      </c>
      <c r="B359">
        <v>45886.660999733795</v>
      </c>
      <c r="D359" t="s">
        <v>2009</v>
      </c>
      <c r="E359" t="s">
        <v>1960</v>
      </c>
      <c r="F359" t="s">
        <v>29</v>
      </c>
      <c r="G359" t="s">
        <v>29</v>
      </c>
      <c r="H359" t="s">
        <v>28</v>
      </c>
      <c r="I359" t="s">
        <v>173</v>
      </c>
      <c r="J359" t="s">
        <v>173</v>
      </c>
      <c r="K359" t="s">
        <v>292</v>
      </c>
      <c r="L359" t="s">
        <v>46</v>
      </c>
      <c r="N359" t="s">
        <v>2010</v>
      </c>
      <c r="O359" t="s">
        <v>48</v>
      </c>
      <c r="P359" t="s">
        <v>48</v>
      </c>
      <c r="Q359" t="s">
        <v>40</v>
      </c>
      <c r="R359" t="s">
        <v>1885</v>
      </c>
      <c r="S359" t="s">
        <v>38</v>
      </c>
      <c r="T359" t="s">
        <v>2011</v>
      </c>
      <c r="U359" t="s">
        <v>1887</v>
      </c>
      <c r="V359" t="s">
        <v>65</v>
      </c>
      <c r="W359" t="s">
        <v>2012</v>
      </c>
      <c r="X359" t="s">
        <v>1889</v>
      </c>
      <c r="Y359" t="s">
        <v>2013</v>
      </c>
      <c r="Z359" t="s">
        <v>91</v>
      </c>
    </row>
    <row r="360" spans="1:26" ht="12.75" customHeight="1" x14ac:dyDescent="0.35">
      <c r="A360">
        <v>359</v>
      </c>
      <c r="B360">
        <v>45886.66774420139</v>
      </c>
      <c r="D360" t="s">
        <v>2014</v>
      </c>
      <c r="E360" t="s">
        <v>2015</v>
      </c>
      <c r="F360" t="s">
        <v>28</v>
      </c>
      <c r="G360" t="s">
        <v>60</v>
      </c>
      <c r="H360" t="s">
        <v>60</v>
      </c>
      <c r="I360" t="s">
        <v>173</v>
      </c>
      <c r="J360" t="s">
        <v>103</v>
      </c>
      <c r="K360" t="s">
        <v>28</v>
      </c>
      <c r="L360" t="s">
        <v>46</v>
      </c>
      <c r="N360" t="s">
        <v>1945</v>
      </c>
      <c r="O360" t="s">
        <v>38</v>
      </c>
      <c r="P360" t="s">
        <v>48</v>
      </c>
      <c r="Q360" t="s">
        <v>49</v>
      </c>
      <c r="S360" t="s">
        <v>38</v>
      </c>
      <c r="V360" t="s">
        <v>53</v>
      </c>
      <c r="W360" t="s">
        <v>2016</v>
      </c>
      <c r="X360" t="s">
        <v>81</v>
      </c>
      <c r="Y360" t="s">
        <v>2017</v>
      </c>
      <c r="Z360" t="s">
        <v>91</v>
      </c>
    </row>
    <row r="361" spans="1:26" ht="12.75" customHeight="1" x14ac:dyDescent="0.35">
      <c r="A361">
        <v>360</v>
      </c>
      <c r="B361">
        <v>45886.6738562963</v>
      </c>
      <c r="D361" t="s">
        <v>2018</v>
      </c>
      <c r="E361" t="s">
        <v>2019</v>
      </c>
      <c r="F361" t="s">
        <v>28</v>
      </c>
      <c r="G361" t="s">
        <v>28</v>
      </c>
      <c r="H361" t="s">
        <v>157</v>
      </c>
      <c r="I361" t="s">
        <v>197</v>
      </c>
      <c r="J361" t="s">
        <v>94</v>
      </c>
      <c r="K361" t="s">
        <v>368</v>
      </c>
      <c r="L361" t="s">
        <v>36</v>
      </c>
      <c r="N361" t="s">
        <v>1945</v>
      </c>
      <c r="O361" t="s">
        <v>40</v>
      </c>
      <c r="P361" t="s">
        <v>38</v>
      </c>
      <c r="Q361" t="s">
        <v>38</v>
      </c>
      <c r="R361" t="s">
        <v>1941</v>
      </c>
      <c r="T361" t="s">
        <v>2020</v>
      </c>
      <c r="U361" t="s">
        <v>2021</v>
      </c>
      <c r="V361" t="s">
        <v>53</v>
      </c>
      <c r="W361" t="s">
        <v>2022</v>
      </c>
      <c r="X361" t="s">
        <v>81</v>
      </c>
      <c r="Y361" t="s">
        <v>2023</v>
      </c>
      <c r="Z361" t="s">
        <v>91</v>
      </c>
    </row>
    <row r="362" spans="1:26" ht="12.75" customHeight="1" x14ac:dyDescent="0.35">
      <c r="A362">
        <v>361</v>
      </c>
      <c r="B362">
        <v>45886.674289710645</v>
      </c>
      <c r="D362" t="s">
        <v>2024</v>
      </c>
      <c r="E362" t="s">
        <v>1929</v>
      </c>
      <c r="F362" t="s">
        <v>28</v>
      </c>
      <c r="G362" t="s">
        <v>60</v>
      </c>
      <c r="H362" t="s">
        <v>284</v>
      </c>
      <c r="I362" t="s">
        <v>28</v>
      </c>
      <c r="J362" t="s">
        <v>368</v>
      </c>
      <c r="K362" t="s">
        <v>292</v>
      </c>
      <c r="L362" t="s">
        <v>46</v>
      </c>
      <c r="N362" t="s">
        <v>1971</v>
      </c>
      <c r="O362" t="s">
        <v>48</v>
      </c>
      <c r="P362" t="s">
        <v>48</v>
      </c>
      <c r="Q362" t="s">
        <v>48</v>
      </c>
      <c r="R362" t="s">
        <v>1951</v>
      </c>
      <c r="S362" t="s">
        <v>48</v>
      </c>
      <c r="T362" t="s">
        <v>1952</v>
      </c>
      <c r="U362" t="s">
        <v>1976</v>
      </c>
      <c r="V362" t="s">
        <v>53</v>
      </c>
      <c r="W362" t="s">
        <v>2025</v>
      </c>
      <c r="X362" t="s">
        <v>81</v>
      </c>
      <c r="Y362" t="s">
        <v>2026</v>
      </c>
      <c r="Z362" t="s">
        <v>91</v>
      </c>
    </row>
    <row r="363" spans="1:26" ht="12.75" customHeight="1" x14ac:dyDescent="0.35">
      <c r="A363">
        <v>362</v>
      </c>
      <c r="B363">
        <v>45886.675353483792</v>
      </c>
      <c r="D363" t="s">
        <v>2027</v>
      </c>
      <c r="E363" t="s">
        <v>1899</v>
      </c>
      <c r="F363" t="s">
        <v>44</v>
      </c>
      <c r="G363" t="s">
        <v>44</v>
      </c>
      <c r="H363" t="s">
        <v>28</v>
      </c>
      <c r="I363" t="s">
        <v>28</v>
      </c>
      <c r="J363" t="s">
        <v>28</v>
      </c>
      <c r="K363" t="s">
        <v>28</v>
      </c>
      <c r="L363" t="s">
        <v>36</v>
      </c>
      <c r="N363" t="s">
        <v>2028</v>
      </c>
      <c r="O363" t="s">
        <v>49</v>
      </c>
      <c r="P363" t="s">
        <v>49</v>
      </c>
      <c r="Q363" t="s">
        <v>49</v>
      </c>
      <c r="R363" t="s">
        <v>1923</v>
      </c>
      <c r="S363" t="s">
        <v>49</v>
      </c>
      <c r="T363" t="s">
        <v>1924</v>
      </c>
      <c r="U363" t="s">
        <v>1925</v>
      </c>
      <c r="V363" t="s">
        <v>53</v>
      </c>
      <c r="W363" t="s">
        <v>2029</v>
      </c>
      <c r="X363" t="s">
        <v>2030</v>
      </c>
      <c r="Y363" t="s">
        <v>2031</v>
      </c>
      <c r="Z363" t="s">
        <v>129</v>
      </c>
    </row>
    <row r="364" spans="1:26" ht="12.75" customHeight="1" x14ac:dyDescent="0.35">
      <c r="A364">
        <v>363</v>
      </c>
      <c r="B364">
        <v>45886.676074421295</v>
      </c>
      <c r="D364" t="s">
        <v>2032</v>
      </c>
      <c r="E364" t="s">
        <v>2033</v>
      </c>
      <c r="F364" t="s">
        <v>28</v>
      </c>
      <c r="G364" t="s">
        <v>60</v>
      </c>
      <c r="H364" t="s">
        <v>284</v>
      </c>
      <c r="I364" t="s">
        <v>30</v>
      </c>
      <c r="J364" t="s">
        <v>45</v>
      </c>
      <c r="K364" t="s">
        <v>61</v>
      </c>
      <c r="L364" t="s">
        <v>46</v>
      </c>
      <c r="N364" t="s">
        <v>1945</v>
      </c>
      <c r="O364" t="s">
        <v>49</v>
      </c>
      <c r="P364" t="s">
        <v>48</v>
      </c>
      <c r="Q364" t="s">
        <v>49</v>
      </c>
      <c r="R364" t="s">
        <v>2034</v>
      </c>
      <c r="S364" t="s">
        <v>48</v>
      </c>
      <c r="T364" t="s">
        <v>2035</v>
      </c>
      <c r="U364" t="s">
        <v>2036</v>
      </c>
      <c r="V364" t="s">
        <v>53</v>
      </c>
      <c r="W364" t="s">
        <v>2037</v>
      </c>
      <c r="X364" t="s">
        <v>1984</v>
      </c>
      <c r="Y364" t="s">
        <v>2038</v>
      </c>
      <c r="Z364" t="s">
        <v>91</v>
      </c>
    </row>
    <row r="365" spans="1:26" ht="12.75" customHeight="1" x14ac:dyDescent="0.35">
      <c r="A365">
        <v>364</v>
      </c>
      <c r="B365">
        <v>45886.680854212958</v>
      </c>
      <c r="D365" t="s">
        <v>2039</v>
      </c>
      <c r="E365" t="s">
        <v>1929</v>
      </c>
      <c r="F365" t="s">
        <v>60</v>
      </c>
      <c r="G365" t="s">
        <v>28</v>
      </c>
      <c r="H365" t="s">
        <v>284</v>
      </c>
      <c r="I365" t="s">
        <v>28</v>
      </c>
      <c r="J365" t="s">
        <v>45</v>
      </c>
      <c r="K365" t="s">
        <v>292</v>
      </c>
      <c r="L365" t="s">
        <v>36</v>
      </c>
      <c r="N365" t="s">
        <v>2040</v>
      </c>
      <c r="O365" t="s">
        <v>48</v>
      </c>
      <c r="P365" t="s">
        <v>48</v>
      </c>
      <c r="Q365" t="s">
        <v>48</v>
      </c>
      <c r="R365" t="s">
        <v>1951</v>
      </c>
      <c r="S365" t="s">
        <v>48</v>
      </c>
      <c r="T365" t="s">
        <v>1952</v>
      </c>
      <c r="U365" t="s">
        <v>1976</v>
      </c>
      <c r="V365" t="s">
        <v>53</v>
      </c>
      <c r="W365" t="s">
        <v>2041</v>
      </c>
      <c r="X365" t="s">
        <v>2042</v>
      </c>
      <c r="Y365" t="s">
        <v>2043</v>
      </c>
      <c r="Z365" t="s">
        <v>91</v>
      </c>
    </row>
    <row r="366" spans="1:26" ht="12.75" customHeight="1" x14ac:dyDescent="0.35">
      <c r="A366">
        <v>365</v>
      </c>
      <c r="B366">
        <v>45886.681181990745</v>
      </c>
      <c r="D366" t="s">
        <v>2044</v>
      </c>
      <c r="E366" t="s">
        <v>2045</v>
      </c>
      <c r="F366" t="s">
        <v>33</v>
      </c>
      <c r="G366" t="s">
        <v>33</v>
      </c>
      <c r="H366" t="s">
        <v>33</v>
      </c>
      <c r="I366" t="s">
        <v>30</v>
      </c>
      <c r="J366" t="s">
        <v>45</v>
      </c>
      <c r="K366" t="s">
        <v>74</v>
      </c>
      <c r="L366" t="s">
        <v>46</v>
      </c>
      <c r="N366" t="s">
        <v>1971</v>
      </c>
      <c r="O366" t="s">
        <v>38</v>
      </c>
      <c r="P366" t="s">
        <v>49</v>
      </c>
      <c r="Q366" t="s">
        <v>38</v>
      </c>
      <c r="R366" t="s">
        <v>2046</v>
      </c>
      <c r="S366" t="s">
        <v>39</v>
      </c>
      <c r="T366" t="s">
        <v>2047</v>
      </c>
      <c r="U366" t="s">
        <v>2048</v>
      </c>
      <c r="V366" t="s">
        <v>53</v>
      </c>
      <c r="W366" t="s">
        <v>2049</v>
      </c>
      <c r="X366" t="s">
        <v>81</v>
      </c>
      <c r="Y366" t="s">
        <v>2050</v>
      </c>
      <c r="Z366" t="s">
        <v>91</v>
      </c>
    </row>
    <row r="367" spans="1:26" ht="12.75" customHeight="1" x14ac:dyDescent="0.35">
      <c r="A367">
        <v>366</v>
      </c>
      <c r="B367">
        <v>45886.681411111116</v>
      </c>
      <c r="D367" t="s">
        <v>2051</v>
      </c>
      <c r="E367" t="s">
        <v>1899</v>
      </c>
      <c r="F367" t="s">
        <v>29</v>
      </c>
      <c r="G367" t="s">
        <v>158</v>
      </c>
      <c r="H367" t="s">
        <v>284</v>
      </c>
      <c r="I367" t="s">
        <v>158</v>
      </c>
      <c r="J367" t="s">
        <v>28</v>
      </c>
      <c r="K367" t="s">
        <v>368</v>
      </c>
      <c r="L367" t="s">
        <v>46</v>
      </c>
      <c r="N367" t="s">
        <v>2028</v>
      </c>
      <c r="O367" t="s">
        <v>49</v>
      </c>
      <c r="P367" t="s">
        <v>49</v>
      </c>
      <c r="Q367" t="s">
        <v>49</v>
      </c>
      <c r="R367" t="s">
        <v>1923</v>
      </c>
      <c r="S367" t="s">
        <v>49</v>
      </c>
      <c r="T367" t="s">
        <v>1924</v>
      </c>
      <c r="U367" t="s">
        <v>1925</v>
      </c>
      <c r="V367" t="s">
        <v>53</v>
      </c>
      <c r="W367" t="s">
        <v>2052</v>
      </c>
      <c r="X367" t="s">
        <v>2030</v>
      </c>
      <c r="Y367" t="s">
        <v>2053</v>
      </c>
      <c r="Z367" t="s">
        <v>91</v>
      </c>
    </row>
    <row r="368" spans="1:26" ht="12.75" customHeight="1" x14ac:dyDescent="0.35">
      <c r="A368">
        <v>367</v>
      </c>
      <c r="B368">
        <v>45886.681853055554</v>
      </c>
      <c r="D368" t="s">
        <v>2054</v>
      </c>
      <c r="E368" t="s">
        <v>2055</v>
      </c>
      <c r="F368" t="s">
        <v>29</v>
      </c>
      <c r="G368" t="s">
        <v>60</v>
      </c>
      <c r="H368" t="s">
        <v>44</v>
      </c>
      <c r="I368" t="s">
        <v>173</v>
      </c>
      <c r="J368" t="s">
        <v>28</v>
      </c>
      <c r="K368" t="s">
        <v>368</v>
      </c>
      <c r="L368" t="s">
        <v>46</v>
      </c>
      <c r="N368" t="s">
        <v>2056</v>
      </c>
      <c r="O368" t="s">
        <v>48</v>
      </c>
      <c r="P368" t="s">
        <v>48</v>
      </c>
      <c r="Q368" t="s">
        <v>49</v>
      </c>
      <c r="R368" t="s">
        <v>1916</v>
      </c>
      <c r="S368" t="s">
        <v>49</v>
      </c>
      <c r="T368" t="s">
        <v>1962</v>
      </c>
      <c r="U368" t="s">
        <v>1918</v>
      </c>
      <c r="V368" t="s">
        <v>53</v>
      </c>
      <c r="W368" t="s">
        <v>2057</v>
      </c>
      <c r="X368" t="s">
        <v>1947</v>
      </c>
      <c r="Y368" t="s">
        <v>2013</v>
      </c>
      <c r="Z368" t="s">
        <v>91</v>
      </c>
    </row>
    <row r="369" spans="1:26" ht="12.75" customHeight="1" x14ac:dyDescent="0.35">
      <c r="A369">
        <v>368</v>
      </c>
      <c r="B369">
        <v>45886.682138680553</v>
      </c>
      <c r="D369" t="s">
        <v>2058</v>
      </c>
      <c r="E369" t="s">
        <v>2059</v>
      </c>
      <c r="F369" t="s">
        <v>28</v>
      </c>
      <c r="G369" t="s">
        <v>28</v>
      </c>
      <c r="H369" t="s">
        <v>28</v>
      </c>
      <c r="I369" t="s">
        <v>28</v>
      </c>
      <c r="J369" t="s">
        <v>28</v>
      </c>
      <c r="K369" t="s">
        <v>28</v>
      </c>
      <c r="L369" t="s">
        <v>46</v>
      </c>
      <c r="N369" t="s">
        <v>1966</v>
      </c>
      <c r="O369" t="s">
        <v>49</v>
      </c>
      <c r="P369" t="s">
        <v>49</v>
      </c>
      <c r="Q369" t="s">
        <v>49</v>
      </c>
      <c r="S369" t="s">
        <v>49</v>
      </c>
      <c r="T369" t="s">
        <v>1998</v>
      </c>
      <c r="U369" t="s">
        <v>2060</v>
      </c>
      <c r="V369" t="s">
        <v>53</v>
      </c>
      <c r="W369" t="s">
        <v>1991</v>
      </c>
      <c r="X369" t="s">
        <v>81</v>
      </c>
      <c r="Y369" t="s">
        <v>2061</v>
      </c>
      <c r="Z369" t="s">
        <v>91</v>
      </c>
    </row>
    <row r="370" spans="1:26" ht="12.75" customHeight="1" x14ac:dyDescent="0.35">
      <c r="A370">
        <v>369</v>
      </c>
      <c r="B370">
        <v>45886.685150659723</v>
      </c>
      <c r="D370" t="s">
        <v>2062</v>
      </c>
      <c r="E370" t="s">
        <v>1899</v>
      </c>
      <c r="F370" t="s">
        <v>44</v>
      </c>
      <c r="G370" t="s">
        <v>158</v>
      </c>
      <c r="H370" t="s">
        <v>284</v>
      </c>
      <c r="I370" t="s">
        <v>173</v>
      </c>
      <c r="J370" t="s">
        <v>103</v>
      </c>
      <c r="K370" t="s">
        <v>28</v>
      </c>
      <c r="L370" t="s">
        <v>46</v>
      </c>
      <c r="N370" t="s">
        <v>2063</v>
      </c>
      <c r="O370" t="s">
        <v>49</v>
      </c>
      <c r="P370" t="s">
        <v>49</v>
      </c>
      <c r="Q370" t="s">
        <v>49</v>
      </c>
      <c r="R370" t="s">
        <v>1923</v>
      </c>
      <c r="S370" t="s">
        <v>49</v>
      </c>
      <c r="T370" t="s">
        <v>1924</v>
      </c>
      <c r="U370" t="s">
        <v>1925</v>
      </c>
      <c r="V370" t="s">
        <v>53</v>
      </c>
      <c r="W370" t="s">
        <v>2064</v>
      </c>
      <c r="X370" t="s">
        <v>2065</v>
      </c>
      <c r="Y370" t="s">
        <v>2066</v>
      </c>
      <c r="Z370" t="s">
        <v>91</v>
      </c>
    </row>
    <row r="371" spans="1:26" ht="12.75" customHeight="1" x14ac:dyDescent="0.35">
      <c r="A371">
        <v>370</v>
      </c>
      <c r="B371">
        <v>45886.685840787039</v>
      </c>
      <c r="D371" t="s">
        <v>2067</v>
      </c>
      <c r="E371" t="s">
        <v>1929</v>
      </c>
      <c r="F371" t="s">
        <v>29</v>
      </c>
      <c r="G371" t="s">
        <v>60</v>
      </c>
      <c r="H371" t="s">
        <v>206</v>
      </c>
      <c r="I371" t="s">
        <v>28</v>
      </c>
      <c r="J371" t="s">
        <v>173</v>
      </c>
      <c r="K371" t="s">
        <v>368</v>
      </c>
      <c r="L371" t="s">
        <v>36</v>
      </c>
      <c r="N371" t="s">
        <v>2068</v>
      </c>
      <c r="O371" t="s">
        <v>48</v>
      </c>
      <c r="P371" t="s">
        <v>48</v>
      </c>
      <c r="Q371" t="s">
        <v>48</v>
      </c>
      <c r="R371" t="s">
        <v>1951</v>
      </c>
      <c r="S371" t="s">
        <v>48</v>
      </c>
      <c r="T371" t="s">
        <v>1952</v>
      </c>
      <c r="U371" t="s">
        <v>1976</v>
      </c>
      <c r="V371" t="s">
        <v>53</v>
      </c>
      <c r="W371" t="s">
        <v>2069</v>
      </c>
      <c r="X371" t="s">
        <v>2042</v>
      </c>
      <c r="Y371" t="s">
        <v>193</v>
      </c>
      <c r="Z371" t="s">
        <v>91</v>
      </c>
    </row>
    <row r="372" spans="1:26" ht="12.75" customHeight="1" x14ac:dyDescent="0.35">
      <c r="A372">
        <v>371</v>
      </c>
      <c r="B372">
        <v>45886.689831805561</v>
      </c>
      <c r="D372" t="s">
        <v>2070</v>
      </c>
      <c r="E372" t="s">
        <v>1899</v>
      </c>
      <c r="F372" t="s">
        <v>60</v>
      </c>
      <c r="G372" t="s">
        <v>28</v>
      </c>
      <c r="H372" t="s">
        <v>284</v>
      </c>
      <c r="I372" t="s">
        <v>103</v>
      </c>
      <c r="J372" t="s">
        <v>28</v>
      </c>
      <c r="K372" t="s">
        <v>28</v>
      </c>
      <c r="L372" t="s">
        <v>36</v>
      </c>
      <c r="N372" t="s">
        <v>2071</v>
      </c>
      <c r="O372" t="s">
        <v>49</v>
      </c>
      <c r="P372" t="s">
        <v>48</v>
      </c>
      <c r="Q372" t="s">
        <v>48</v>
      </c>
      <c r="R372" t="s">
        <v>1967</v>
      </c>
      <c r="S372" t="s">
        <v>48</v>
      </c>
      <c r="T372" t="s">
        <v>1924</v>
      </c>
      <c r="U372" t="s">
        <v>2072</v>
      </c>
      <c r="V372" t="s">
        <v>53</v>
      </c>
      <c r="W372" t="s">
        <v>2073</v>
      </c>
      <c r="X372" t="s">
        <v>2065</v>
      </c>
      <c r="Y372" t="s">
        <v>2074</v>
      </c>
      <c r="Z372" t="s">
        <v>91</v>
      </c>
    </row>
    <row r="373" spans="1:26" ht="12.75" customHeight="1" x14ac:dyDescent="0.35">
      <c r="A373">
        <v>372</v>
      </c>
      <c r="B373">
        <v>45886.689936168987</v>
      </c>
      <c r="D373" t="s">
        <v>2075</v>
      </c>
      <c r="E373" t="s">
        <v>1929</v>
      </c>
      <c r="F373" t="s">
        <v>29</v>
      </c>
      <c r="G373" t="s">
        <v>60</v>
      </c>
      <c r="H373" t="s">
        <v>206</v>
      </c>
      <c r="I373" t="s">
        <v>28</v>
      </c>
      <c r="J373" t="s">
        <v>368</v>
      </c>
      <c r="K373" t="s">
        <v>292</v>
      </c>
      <c r="L373" t="s">
        <v>46</v>
      </c>
      <c r="N373" t="s">
        <v>2063</v>
      </c>
      <c r="O373" t="s">
        <v>48</v>
      </c>
      <c r="P373" t="s">
        <v>48</v>
      </c>
      <c r="Q373" t="s">
        <v>48</v>
      </c>
      <c r="R373" t="s">
        <v>1951</v>
      </c>
      <c r="S373" t="s">
        <v>48</v>
      </c>
      <c r="T373" t="s">
        <v>1952</v>
      </c>
      <c r="U373" t="s">
        <v>1976</v>
      </c>
      <c r="V373" t="s">
        <v>53</v>
      </c>
      <c r="W373" t="s">
        <v>2076</v>
      </c>
      <c r="X373" t="s">
        <v>2077</v>
      </c>
      <c r="Y373" t="s">
        <v>2078</v>
      </c>
      <c r="Z373" t="s">
        <v>91</v>
      </c>
    </row>
    <row r="374" spans="1:26" ht="12.75" customHeight="1" x14ac:dyDescent="0.35">
      <c r="A374">
        <v>373</v>
      </c>
      <c r="B374">
        <v>45886.692376898151</v>
      </c>
      <c r="D374" t="s">
        <v>2079</v>
      </c>
      <c r="E374" t="s">
        <v>1960</v>
      </c>
      <c r="F374" t="s">
        <v>29</v>
      </c>
      <c r="G374" t="s">
        <v>44</v>
      </c>
      <c r="H374" t="s">
        <v>60</v>
      </c>
      <c r="I374" t="s">
        <v>103</v>
      </c>
      <c r="J374" t="s">
        <v>28</v>
      </c>
      <c r="K374" t="s">
        <v>368</v>
      </c>
      <c r="L374" t="s">
        <v>36</v>
      </c>
      <c r="N374" t="s">
        <v>2080</v>
      </c>
      <c r="O374" t="s">
        <v>48</v>
      </c>
      <c r="P374" t="s">
        <v>48</v>
      </c>
      <c r="Q374" t="s">
        <v>38</v>
      </c>
      <c r="R374" t="s">
        <v>1885</v>
      </c>
      <c r="S374" t="s">
        <v>38</v>
      </c>
      <c r="T374" t="s">
        <v>2081</v>
      </c>
      <c r="U374" t="s">
        <v>1887</v>
      </c>
      <c r="V374" t="s">
        <v>53</v>
      </c>
      <c r="W374" t="s">
        <v>2082</v>
      </c>
      <c r="X374" t="s">
        <v>2083</v>
      </c>
      <c r="Y374" t="s">
        <v>2013</v>
      </c>
      <c r="Z374" t="s">
        <v>91</v>
      </c>
    </row>
    <row r="375" spans="1:26" ht="12.75" customHeight="1" x14ac:dyDescent="0.35">
      <c r="A375">
        <v>374</v>
      </c>
      <c r="B375">
        <v>45886.692586018515</v>
      </c>
      <c r="D375" t="s">
        <v>1970</v>
      </c>
      <c r="E375" t="s">
        <v>2033</v>
      </c>
      <c r="F375" t="s">
        <v>44</v>
      </c>
      <c r="G375" t="s">
        <v>28</v>
      </c>
      <c r="H375" t="s">
        <v>157</v>
      </c>
      <c r="I375" t="s">
        <v>173</v>
      </c>
      <c r="J375" t="s">
        <v>45</v>
      </c>
      <c r="K375" t="s">
        <v>368</v>
      </c>
      <c r="L375" t="s">
        <v>46</v>
      </c>
      <c r="N375" t="s">
        <v>1971</v>
      </c>
      <c r="O375" t="s">
        <v>48</v>
      </c>
      <c r="P375" t="s">
        <v>48</v>
      </c>
      <c r="Q375" t="s">
        <v>48</v>
      </c>
      <c r="R375" t="s">
        <v>2084</v>
      </c>
      <c r="S375" t="s">
        <v>48</v>
      </c>
      <c r="T375" t="s">
        <v>2085</v>
      </c>
      <c r="U375" t="s">
        <v>2086</v>
      </c>
      <c r="V375" t="s">
        <v>53</v>
      </c>
      <c r="W375" t="s">
        <v>1972</v>
      </c>
      <c r="X375" t="s">
        <v>1984</v>
      </c>
      <c r="Y375" t="s">
        <v>1973</v>
      </c>
      <c r="Z375" t="s">
        <v>91</v>
      </c>
    </row>
    <row r="376" spans="1:26" ht="12.75" customHeight="1" x14ac:dyDescent="0.35">
      <c r="A376">
        <v>375</v>
      </c>
      <c r="B376">
        <v>45886.69432333333</v>
      </c>
      <c r="D376" t="s">
        <v>2087</v>
      </c>
      <c r="E376" t="s">
        <v>1899</v>
      </c>
      <c r="F376" t="s">
        <v>60</v>
      </c>
      <c r="G376" t="s">
        <v>28</v>
      </c>
      <c r="H376" t="s">
        <v>28</v>
      </c>
      <c r="I376" t="s">
        <v>28</v>
      </c>
      <c r="J376" t="s">
        <v>28</v>
      </c>
      <c r="K376" t="s">
        <v>28</v>
      </c>
      <c r="L376" t="s">
        <v>36</v>
      </c>
      <c r="N376" t="s">
        <v>2088</v>
      </c>
      <c r="O376" t="s">
        <v>49</v>
      </c>
      <c r="P376" t="s">
        <v>49</v>
      </c>
      <c r="Q376" t="s">
        <v>49</v>
      </c>
      <c r="R376" t="s">
        <v>1923</v>
      </c>
      <c r="S376" t="s">
        <v>48</v>
      </c>
      <c r="T376" t="s">
        <v>2089</v>
      </c>
      <c r="U376" t="s">
        <v>2072</v>
      </c>
      <c r="V376" t="s">
        <v>53</v>
      </c>
      <c r="W376" t="s">
        <v>2090</v>
      </c>
      <c r="X376" t="s">
        <v>2065</v>
      </c>
      <c r="Y376" t="s">
        <v>2091</v>
      </c>
      <c r="Z376" t="s">
        <v>129</v>
      </c>
    </row>
    <row r="377" spans="1:26" ht="12.75" customHeight="1" x14ac:dyDescent="0.35">
      <c r="A377">
        <v>376</v>
      </c>
      <c r="B377">
        <v>45886.696940671296</v>
      </c>
      <c r="D377" t="s">
        <v>2092</v>
      </c>
      <c r="E377" t="s">
        <v>2055</v>
      </c>
      <c r="F377" t="s">
        <v>44</v>
      </c>
      <c r="G377" t="s">
        <v>60</v>
      </c>
      <c r="H377" t="s">
        <v>29</v>
      </c>
      <c r="I377" t="s">
        <v>103</v>
      </c>
      <c r="J377" t="s">
        <v>103</v>
      </c>
      <c r="K377" t="s">
        <v>45</v>
      </c>
      <c r="L377" t="s">
        <v>36</v>
      </c>
      <c r="N377" t="s">
        <v>2093</v>
      </c>
      <c r="O377" t="s">
        <v>48</v>
      </c>
      <c r="P377" t="s">
        <v>48</v>
      </c>
      <c r="Q377" t="s">
        <v>38</v>
      </c>
      <c r="R377" t="s">
        <v>2094</v>
      </c>
      <c r="S377" t="s">
        <v>38</v>
      </c>
      <c r="T377" t="s">
        <v>2095</v>
      </c>
      <c r="U377" t="s">
        <v>2096</v>
      </c>
      <c r="V377" t="s">
        <v>53</v>
      </c>
      <c r="W377" t="s">
        <v>2097</v>
      </c>
      <c r="X377" t="s">
        <v>2042</v>
      </c>
      <c r="Y377" t="s">
        <v>759</v>
      </c>
      <c r="Z377" t="s">
        <v>91</v>
      </c>
    </row>
    <row r="378" spans="1:26" ht="12.75" customHeight="1" x14ac:dyDescent="0.35">
      <c r="A378">
        <v>377</v>
      </c>
      <c r="B378">
        <v>45886.697430960645</v>
      </c>
      <c r="D378" t="s">
        <v>2006</v>
      </c>
      <c r="E378" t="s">
        <v>2098</v>
      </c>
      <c r="F378" t="s">
        <v>449</v>
      </c>
      <c r="G378" t="s">
        <v>28</v>
      </c>
      <c r="H378" t="s">
        <v>29</v>
      </c>
      <c r="I378" t="s">
        <v>28</v>
      </c>
      <c r="J378" t="s">
        <v>103</v>
      </c>
      <c r="K378" t="s">
        <v>28</v>
      </c>
      <c r="L378" t="s">
        <v>36</v>
      </c>
      <c r="N378" t="s">
        <v>1971</v>
      </c>
      <c r="O378" t="s">
        <v>38</v>
      </c>
      <c r="P378" t="s">
        <v>38</v>
      </c>
      <c r="Q378" t="s">
        <v>38</v>
      </c>
      <c r="R378" t="s">
        <v>2099</v>
      </c>
      <c r="S378" t="s">
        <v>38</v>
      </c>
      <c r="T378" t="s">
        <v>2100</v>
      </c>
      <c r="U378" t="s">
        <v>1999</v>
      </c>
      <c r="V378" t="s">
        <v>53</v>
      </c>
      <c r="W378" t="s">
        <v>2007</v>
      </c>
      <c r="X378" t="s">
        <v>81</v>
      </c>
      <c r="Y378" t="s">
        <v>2008</v>
      </c>
      <c r="Z378" t="s">
        <v>91</v>
      </c>
    </row>
    <row r="379" spans="1:26" ht="12.75" customHeight="1" x14ac:dyDescent="0.35">
      <c r="A379">
        <v>378</v>
      </c>
      <c r="B379">
        <v>45886.698880497686</v>
      </c>
      <c r="D379" t="s">
        <v>2101</v>
      </c>
      <c r="E379" t="s">
        <v>1899</v>
      </c>
      <c r="F379" t="s">
        <v>344</v>
      </c>
      <c r="G379" t="s">
        <v>28</v>
      </c>
      <c r="H379" t="s">
        <v>44</v>
      </c>
      <c r="I379" t="s">
        <v>158</v>
      </c>
      <c r="J379" t="s">
        <v>173</v>
      </c>
      <c r="K379" t="s">
        <v>368</v>
      </c>
      <c r="L379" t="s">
        <v>46</v>
      </c>
      <c r="N379" t="s">
        <v>2088</v>
      </c>
      <c r="O379" t="s">
        <v>49</v>
      </c>
      <c r="P379" t="s">
        <v>48</v>
      </c>
      <c r="Q379" t="s">
        <v>48</v>
      </c>
      <c r="R379" t="s">
        <v>1923</v>
      </c>
      <c r="S379" t="s">
        <v>48</v>
      </c>
      <c r="T379" t="s">
        <v>2089</v>
      </c>
      <c r="U379" t="s">
        <v>2072</v>
      </c>
      <c r="V379" t="s">
        <v>53</v>
      </c>
      <c r="W379" t="s">
        <v>2102</v>
      </c>
      <c r="X379" t="s">
        <v>2065</v>
      </c>
      <c r="Y379" t="s">
        <v>2103</v>
      </c>
      <c r="Z379" t="s">
        <v>91</v>
      </c>
    </row>
    <row r="380" spans="1:26" ht="12.75" customHeight="1" x14ac:dyDescent="0.35">
      <c r="A380">
        <v>379</v>
      </c>
      <c r="B380">
        <v>45886.700474942132</v>
      </c>
      <c r="D380" t="s">
        <v>2104</v>
      </c>
      <c r="E380" t="s">
        <v>2105</v>
      </c>
      <c r="F380" t="s">
        <v>60</v>
      </c>
      <c r="G380" t="s">
        <v>44</v>
      </c>
      <c r="H380" t="s">
        <v>28</v>
      </c>
      <c r="I380" t="s">
        <v>173</v>
      </c>
      <c r="J380" t="s">
        <v>94</v>
      </c>
      <c r="K380" t="s">
        <v>368</v>
      </c>
      <c r="L380" t="s">
        <v>46</v>
      </c>
      <c r="N380" t="s">
        <v>2071</v>
      </c>
      <c r="O380" t="s">
        <v>48</v>
      </c>
      <c r="P380" t="s">
        <v>48</v>
      </c>
      <c r="Q380" t="s">
        <v>48</v>
      </c>
      <c r="R380" t="s">
        <v>1951</v>
      </c>
      <c r="S380" t="s">
        <v>48</v>
      </c>
      <c r="T380" t="s">
        <v>1952</v>
      </c>
      <c r="U380" t="s">
        <v>1976</v>
      </c>
      <c r="V380" t="s">
        <v>53</v>
      </c>
      <c r="W380" t="s">
        <v>2106</v>
      </c>
      <c r="X380" t="s">
        <v>2107</v>
      </c>
      <c r="Y380" t="s">
        <v>2108</v>
      </c>
      <c r="Z380" t="s">
        <v>91</v>
      </c>
    </row>
    <row r="381" spans="1:26" ht="12.75" customHeight="1" x14ac:dyDescent="0.35">
      <c r="A381">
        <v>380</v>
      </c>
      <c r="B381">
        <v>45886.703901250003</v>
      </c>
      <c r="D381" t="s">
        <v>2109</v>
      </c>
      <c r="E381" t="s">
        <v>1899</v>
      </c>
      <c r="F381" t="s">
        <v>44</v>
      </c>
      <c r="G381" t="s">
        <v>28</v>
      </c>
      <c r="H381" t="s">
        <v>157</v>
      </c>
      <c r="I381" t="s">
        <v>28</v>
      </c>
      <c r="J381" t="s">
        <v>103</v>
      </c>
      <c r="K381" t="s">
        <v>45</v>
      </c>
      <c r="L381" t="s">
        <v>46</v>
      </c>
      <c r="N381" t="s">
        <v>2110</v>
      </c>
      <c r="O381" t="s">
        <v>48</v>
      </c>
      <c r="P381" t="s">
        <v>48</v>
      </c>
      <c r="Q381" t="s">
        <v>48</v>
      </c>
      <c r="R381" t="s">
        <v>1923</v>
      </c>
      <c r="S381" t="s">
        <v>48</v>
      </c>
      <c r="T381" t="s">
        <v>2089</v>
      </c>
      <c r="U381" t="s">
        <v>2072</v>
      </c>
      <c r="V381" t="s">
        <v>53</v>
      </c>
      <c r="W381" t="s">
        <v>2111</v>
      </c>
      <c r="X381" t="s">
        <v>2065</v>
      </c>
      <c r="Y381" t="s">
        <v>2112</v>
      </c>
      <c r="Z381" t="s">
        <v>91</v>
      </c>
    </row>
    <row r="382" spans="1:26" ht="12.75" customHeight="1" x14ac:dyDescent="0.35">
      <c r="A382">
        <v>381</v>
      </c>
      <c r="B382">
        <v>45886.705092523145</v>
      </c>
      <c r="D382" t="s">
        <v>1993</v>
      </c>
      <c r="E382" t="s">
        <v>2033</v>
      </c>
      <c r="F382" t="s">
        <v>377</v>
      </c>
      <c r="G382" t="s">
        <v>60</v>
      </c>
      <c r="H382" t="s">
        <v>28</v>
      </c>
      <c r="I382" t="s">
        <v>197</v>
      </c>
      <c r="J382" t="s">
        <v>173</v>
      </c>
      <c r="K382" t="s">
        <v>45</v>
      </c>
      <c r="L382" t="s">
        <v>46</v>
      </c>
      <c r="N382" t="s">
        <v>1971</v>
      </c>
      <c r="O382" t="s">
        <v>49</v>
      </c>
      <c r="P382" t="s">
        <v>49</v>
      </c>
      <c r="Q382" t="s">
        <v>49</v>
      </c>
      <c r="R382" t="s">
        <v>2113</v>
      </c>
      <c r="S382" t="s">
        <v>49</v>
      </c>
      <c r="T382" t="s">
        <v>2114</v>
      </c>
      <c r="U382" t="s">
        <v>2115</v>
      </c>
      <c r="V382" t="s">
        <v>53</v>
      </c>
      <c r="W382" t="s">
        <v>1994</v>
      </c>
      <c r="X382" t="s">
        <v>1889</v>
      </c>
      <c r="Y382" t="s">
        <v>1995</v>
      </c>
      <c r="Z382" t="s">
        <v>91</v>
      </c>
    </row>
    <row r="383" spans="1:26" ht="12.75" customHeight="1" x14ac:dyDescent="0.35">
      <c r="A383">
        <v>382</v>
      </c>
      <c r="B383">
        <v>45886.706079756943</v>
      </c>
      <c r="D383" t="s">
        <v>2116</v>
      </c>
      <c r="E383" t="s">
        <v>2105</v>
      </c>
      <c r="F383" t="s">
        <v>29</v>
      </c>
      <c r="G383" t="s">
        <v>60</v>
      </c>
      <c r="H383" t="s">
        <v>28</v>
      </c>
      <c r="I383" t="s">
        <v>158</v>
      </c>
      <c r="J383" t="s">
        <v>94</v>
      </c>
      <c r="K383" t="s">
        <v>28</v>
      </c>
      <c r="L383" t="s">
        <v>46</v>
      </c>
      <c r="N383" t="s">
        <v>2088</v>
      </c>
      <c r="O383" t="s">
        <v>48</v>
      </c>
      <c r="P383" t="s">
        <v>48</v>
      </c>
      <c r="Q383" t="s">
        <v>48</v>
      </c>
      <c r="R383" t="s">
        <v>1951</v>
      </c>
      <c r="S383" t="s">
        <v>48</v>
      </c>
      <c r="T383" t="s">
        <v>1952</v>
      </c>
      <c r="U383" t="s">
        <v>1976</v>
      </c>
      <c r="V383" t="s">
        <v>53</v>
      </c>
      <c r="W383" t="s">
        <v>2117</v>
      </c>
      <c r="X383" t="s">
        <v>2077</v>
      </c>
      <c r="Y383" t="s">
        <v>193</v>
      </c>
      <c r="Z383" t="s">
        <v>91</v>
      </c>
    </row>
    <row r="384" spans="1:26" ht="12.75" customHeight="1" x14ac:dyDescent="0.35">
      <c r="A384">
        <v>383</v>
      </c>
      <c r="B384">
        <v>45886.755674108797</v>
      </c>
      <c r="D384" t="s">
        <v>2118</v>
      </c>
      <c r="E384" t="s">
        <v>2119</v>
      </c>
      <c r="F384" t="s">
        <v>29</v>
      </c>
      <c r="G384" t="s">
        <v>28</v>
      </c>
      <c r="H384" t="s">
        <v>33</v>
      </c>
      <c r="I384" t="s">
        <v>34</v>
      </c>
      <c r="J384" t="s">
        <v>34</v>
      </c>
      <c r="K384" t="s">
        <v>45</v>
      </c>
      <c r="L384" t="s">
        <v>46</v>
      </c>
      <c r="N384" t="s">
        <v>2040</v>
      </c>
      <c r="O384" t="s">
        <v>49</v>
      </c>
      <c r="P384" t="s">
        <v>49</v>
      </c>
      <c r="Q384" t="s">
        <v>48</v>
      </c>
      <c r="R384" t="s">
        <v>2120</v>
      </c>
      <c r="S384" t="s">
        <v>49</v>
      </c>
      <c r="T384" t="s">
        <v>2120</v>
      </c>
      <c r="U384" t="s">
        <v>2121</v>
      </c>
      <c r="V384" t="s">
        <v>53</v>
      </c>
      <c r="W384" t="s">
        <v>2122</v>
      </c>
      <c r="X384" t="s">
        <v>2042</v>
      </c>
      <c r="Y384" t="s">
        <v>2123</v>
      </c>
      <c r="Z384" t="s">
        <v>91</v>
      </c>
    </row>
    <row r="385" spans="1:26" ht="12.75" customHeight="1" x14ac:dyDescent="0.35">
      <c r="A385">
        <v>384</v>
      </c>
      <c r="B385">
        <v>45886.760826979167</v>
      </c>
      <c r="D385" t="s">
        <v>2124</v>
      </c>
      <c r="E385" t="s">
        <v>2119</v>
      </c>
      <c r="F385" t="s">
        <v>33</v>
      </c>
      <c r="G385" t="s">
        <v>44</v>
      </c>
      <c r="H385" t="s">
        <v>28</v>
      </c>
      <c r="I385" t="s">
        <v>28</v>
      </c>
      <c r="J385" t="s">
        <v>103</v>
      </c>
      <c r="K385" t="s">
        <v>45</v>
      </c>
      <c r="L385" t="s">
        <v>46</v>
      </c>
      <c r="N385" t="s">
        <v>2028</v>
      </c>
      <c r="O385" t="s">
        <v>39</v>
      </c>
      <c r="P385" t="s">
        <v>48</v>
      </c>
      <c r="Q385" t="s">
        <v>38</v>
      </c>
      <c r="R385" t="s">
        <v>2125</v>
      </c>
      <c r="S385" t="s">
        <v>48</v>
      </c>
      <c r="T385" t="s">
        <v>2126</v>
      </c>
      <c r="U385" t="s">
        <v>2127</v>
      </c>
      <c r="V385" t="s">
        <v>53</v>
      </c>
      <c r="W385" t="s">
        <v>2128</v>
      </c>
      <c r="X385" t="s">
        <v>2042</v>
      </c>
      <c r="Y385" t="s">
        <v>2129</v>
      </c>
      <c r="Z385" t="s">
        <v>129</v>
      </c>
    </row>
    <row r="386" spans="1:26" ht="12.75" customHeight="1" x14ac:dyDescent="0.35">
      <c r="A386">
        <v>385</v>
      </c>
      <c r="B386">
        <v>45886.763458067129</v>
      </c>
      <c r="D386" t="s">
        <v>2130</v>
      </c>
      <c r="E386" t="s">
        <v>1960</v>
      </c>
      <c r="F386" t="s">
        <v>44</v>
      </c>
      <c r="G386" t="s">
        <v>60</v>
      </c>
      <c r="H386" t="s">
        <v>60</v>
      </c>
      <c r="I386" t="s">
        <v>103</v>
      </c>
      <c r="J386" t="s">
        <v>28</v>
      </c>
      <c r="K386" t="s">
        <v>45</v>
      </c>
      <c r="L386" t="s">
        <v>36</v>
      </c>
      <c r="N386" t="s">
        <v>2063</v>
      </c>
      <c r="O386" t="s">
        <v>48</v>
      </c>
      <c r="P386" t="s">
        <v>48</v>
      </c>
      <c r="Q386" t="s">
        <v>38</v>
      </c>
      <c r="R386" t="s">
        <v>1885</v>
      </c>
      <c r="S386" t="s">
        <v>38</v>
      </c>
      <c r="T386" t="s">
        <v>2011</v>
      </c>
      <c r="U386" t="s">
        <v>1887</v>
      </c>
      <c r="V386" t="s">
        <v>53</v>
      </c>
      <c r="W386" t="s">
        <v>2131</v>
      </c>
      <c r="X386" t="s">
        <v>2132</v>
      </c>
      <c r="Y386" t="s">
        <v>2133</v>
      </c>
      <c r="Z386" t="s">
        <v>91</v>
      </c>
    </row>
    <row r="387" spans="1:26" ht="12.75" customHeight="1" x14ac:dyDescent="0.35">
      <c r="A387">
        <v>386</v>
      </c>
      <c r="B387">
        <v>45886.766545798615</v>
      </c>
      <c r="D387" t="s">
        <v>2134</v>
      </c>
      <c r="E387" t="s">
        <v>32</v>
      </c>
      <c r="F387" t="s">
        <v>33</v>
      </c>
      <c r="G387" t="s">
        <v>60</v>
      </c>
      <c r="H387" t="s">
        <v>33</v>
      </c>
      <c r="I387" t="s">
        <v>30</v>
      </c>
      <c r="J387" t="s">
        <v>34</v>
      </c>
      <c r="K387" t="s">
        <v>61</v>
      </c>
      <c r="L387" t="s">
        <v>46</v>
      </c>
      <c r="N387" t="s">
        <v>2063</v>
      </c>
      <c r="O387" t="s">
        <v>39</v>
      </c>
      <c r="P387" t="s">
        <v>38</v>
      </c>
      <c r="Q387" t="s">
        <v>49</v>
      </c>
      <c r="R387" t="s">
        <v>2135</v>
      </c>
      <c r="S387" t="s">
        <v>48</v>
      </c>
      <c r="U387" t="s">
        <v>134</v>
      </c>
      <c r="V387" t="s">
        <v>53</v>
      </c>
      <c r="W387" t="s">
        <v>2136</v>
      </c>
      <c r="X387" t="s">
        <v>2077</v>
      </c>
      <c r="Y387" t="s">
        <v>2137</v>
      </c>
      <c r="Z387" t="s">
        <v>129</v>
      </c>
    </row>
    <row r="388" spans="1:26" ht="12.75" customHeight="1" x14ac:dyDescent="0.35">
      <c r="A388">
        <v>387</v>
      </c>
      <c r="B388">
        <v>45886.778066238425</v>
      </c>
      <c r="D388" t="s">
        <v>2138</v>
      </c>
      <c r="E388" t="s">
        <v>2033</v>
      </c>
      <c r="F388" t="s">
        <v>377</v>
      </c>
      <c r="G388" t="s">
        <v>196</v>
      </c>
      <c r="H388" t="s">
        <v>60</v>
      </c>
      <c r="I388" t="s">
        <v>173</v>
      </c>
      <c r="J388" t="s">
        <v>45</v>
      </c>
      <c r="K388" t="s">
        <v>368</v>
      </c>
      <c r="L388" t="s">
        <v>46</v>
      </c>
      <c r="N388" t="s">
        <v>2139</v>
      </c>
      <c r="O388" t="s">
        <v>49</v>
      </c>
      <c r="P388" t="s">
        <v>48</v>
      </c>
      <c r="Q388" t="s">
        <v>40</v>
      </c>
      <c r="R388" t="s">
        <v>2140</v>
      </c>
      <c r="S388" t="s">
        <v>38</v>
      </c>
      <c r="T388" t="s">
        <v>2141</v>
      </c>
      <c r="U388" t="s">
        <v>2142</v>
      </c>
      <c r="V388" t="s">
        <v>53</v>
      </c>
      <c r="W388" t="s">
        <v>2143</v>
      </c>
      <c r="X388" t="s">
        <v>374</v>
      </c>
      <c r="Y388" t="s">
        <v>2144</v>
      </c>
      <c r="Z388" t="s">
        <v>91</v>
      </c>
    </row>
    <row r="389" spans="1:26" ht="12.75" customHeight="1" x14ac:dyDescent="0.35">
      <c r="A389">
        <v>388</v>
      </c>
      <c r="B389">
        <v>45886.83813956019</v>
      </c>
      <c r="D389" t="s">
        <v>2145</v>
      </c>
      <c r="E389" t="s">
        <v>2033</v>
      </c>
      <c r="F389" t="s">
        <v>44</v>
      </c>
      <c r="G389" t="s">
        <v>197</v>
      </c>
      <c r="H389" t="s">
        <v>60</v>
      </c>
      <c r="I389" t="s">
        <v>197</v>
      </c>
      <c r="J389" t="s">
        <v>173</v>
      </c>
      <c r="K389" t="s">
        <v>45</v>
      </c>
      <c r="L389" t="s">
        <v>36</v>
      </c>
      <c r="N389" t="s">
        <v>2028</v>
      </c>
      <c r="O389" t="s">
        <v>49</v>
      </c>
      <c r="P389" t="s">
        <v>48</v>
      </c>
      <c r="Q389" t="s">
        <v>38</v>
      </c>
      <c r="R389" t="s">
        <v>2146</v>
      </c>
      <c r="S389" t="s">
        <v>49</v>
      </c>
      <c r="T389" t="s">
        <v>2147</v>
      </c>
      <c r="U389" t="s">
        <v>2148</v>
      </c>
      <c r="V389" t="s">
        <v>53</v>
      </c>
      <c r="W389" t="s">
        <v>2149</v>
      </c>
      <c r="X389" t="s">
        <v>2150</v>
      </c>
      <c r="Y389" t="s">
        <v>2151</v>
      </c>
      <c r="Z389" t="s">
        <v>91</v>
      </c>
    </row>
    <row r="390" spans="1:26" ht="12.75" customHeight="1" x14ac:dyDescent="0.35">
      <c r="A390">
        <v>389</v>
      </c>
      <c r="B390">
        <v>45886.843040486114</v>
      </c>
      <c r="D390" t="s">
        <v>1956</v>
      </c>
      <c r="E390" t="s">
        <v>1899</v>
      </c>
      <c r="F390" t="s">
        <v>28</v>
      </c>
      <c r="G390" t="s">
        <v>28</v>
      </c>
      <c r="H390" t="s">
        <v>28</v>
      </c>
      <c r="I390" t="s">
        <v>28</v>
      </c>
      <c r="J390" t="s">
        <v>28</v>
      </c>
      <c r="K390" t="s">
        <v>28</v>
      </c>
      <c r="L390" t="s">
        <v>46</v>
      </c>
      <c r="N390" t="s">
        <v>1971</v>
      </c>
      <c r="O390" t="s">
        <v>38</v>
      </c>
      <c r="P390" t="s">
        <v>38</v>
      </c>
      <c r="Q390" t="s">
        <v>38</v>
      </c>
      <c r="R390" t="s">
        <v>2152</v>
      </c>
      <c r="S390" t="s">
        <v>38</v>
      </c>
      <c r="T390" t="s">
        <v>2153</v>
      </c>
      <c r="U390" t="s">
        <v>2154</v>
      </c>
      <c r="V390" t="s">
        <v>53</v>
      </c>
      <c r="W390" t="s">
        <v>1957</v>
      </c>
      <c r="X390" t="s">
        <v>81</v>
      </c>
      <c r="Y390" t="s">
        <v>1958</v>
      </c>
      <c r="Z390" t="s">
        <v>91</v>
      </c>
    </row>
    <row r="391" spans="1:26" ht="12.75" customHeight="1" x14ac:dyDescent="0.35">
      <c r="A391">
        <v>390</v>
      </c>
      <c r="B391">
        <v>45886.84873474537</v>
      </c>
      <c r="D391" t="s">
        <v>1956</v>
      </c>
      <c r="E391" t="s">
        <v>2155</v>
      </c>
      <c r="F391" t="s">
        <v>28</v>
      </c>
      <c r="G391" t="s">
        <v>28</v>
      </c>
      <c r="H391" t="s">
        <v>60</v>
      </c>
      <c r="I391" t="s">
        <v>28</v>
      </c>
      <c r="J391" t="s">
        <v>45</v>
      </c>
      <c r="K391" t="s">
        <v>28</v>
      </c>
      <c r="L391" t="s">
        <v>46</v>
      </c>
      <c r="N391" t="s">
        <v>1945</v>
      </c>
      <c r="O391" t="s">
        <v>38</v>
      </c>
      <c r="P391" t="s">
        <v>49</v>
      </c>
      <c r="Q391" t="s">
        <v>38</v>
      </c>
      <c r="R391" t="s">
        <v>2156</v>
      </c>
      <c r="S391" t="s">
        <v>38</v>
      </c>
      <c r="T391" t="s">
        <v>2157</v>
      </c>
      <c r="U391" t="s">
        <v>2158</v>
      </c>
      <c r="V391" t="s">
        <v>53</v>
      </c>
      <c r="W391" t="s">
        <v>1957</v>
      </c>
      <c r="X391" t="s">
        <v>81</v>
      </c>
      <c r="Y391" t="s">
        <v>1958</v>
      </c>
      <c r="Z391" t="s">
        <v>91</v>
      </c>
    </row>
    <row r="392" spans="1:26" ht="12.75" customHeight="1" x14ac:dyDescent="0.35">
      <c r="A392">
        <v>391</v>
      </c>
      <c r="B392">
        <v>45886.858004444446</v>
      </c>
      <c r="D392" t="s">
        <v>2159</v>
      </c>
      <c r="E392" t="s">
        <v>2155</v>
      </c>
      <c r="F392" t="s">
        <v>28</v>
      </c>
      <c r="G392" t="s">
        <v>28</v>
      </c>
      <c r="H392" t="s">
        <v>28</v>
      </c>
      <c r="I392" t="s">
        <v>28</v>
      </c>
      <c r="J392" t="s">
        <v>28</v>
      </c>
      <c r="K392" t="s">
        <v>35</v>
      </c>
      <c r="L392" t="s">
        <v>46</v>
      </c>
      <c r="N392" t="s">
        <v>1971</v>
      </c>
      <c r="O392" t="s">
        <v>38</v>
      </c>
      <c r="P392" t="s">
        <v>38</v>
      </c>
      <c r="Q392" t="s">
        <v>38</v>
      </c>
      <c r="R392" t="s">
        <v>2160</v>
      </c>
      <c r="S392" t="s">
        <v>38</v>
      </c>
      <c r="T392" t="s">
        <v>2161</v>
      </c>
      <c r="U392" t="s">
        <v>2162</v>
      </c>
      <c r="V392" t="s">
        <v>53</v>
      </c>
      <c r="W392" t="s">
        <v>2163</v>
      </c>
      <c r="X392" t="s">
        <v>81</v>
      </c>
      <c r="Y392" t="s">
        <v>2164</v>
      </c>
      <c r="Z392" t="s">
        <v>91</v>
      </c>
    </row>
    <row r="393" spans="1:26" ht="12.75" customHeight="1" x14ac:dyDescent="0.35">
      <c r="A393">
        <v>392</v>
      </c>
      <c r="B393">
        <v>45886.867294918979</v>
      </c>
      <c r="D393" t="s">
        <v>2165</v>
      </c>
      <c r="E393" t="s">
        <v>1875</v>
      </c>
      <c r="F393" t="s">
        <v>60</v>
      </c>
      <c r="G393" t="s">
        <v>197</v>
      </c>
      <c r="H393" t="s">
        <v>60</v>
      </c>
      <c r="I393" t="s">
        <v>197</v>
      </c>
      <c r="J393" t="s">
        <v>103</v>
      </c>
      <c r="K393" t="s">
        <v>45</v>
      </c>
      <c r="L393" t="s">
        <v>36</v>
      </c>
      <c r="N393" t="s">
        <v>2166</v>
      </c>
      <c r="O393" t="s">
        <v>49</v>
      </c>
      <c r="P393" t="s">
        <v>38</v>
      </c>
      <c r="Q393" t="s">
        <v>48</v>
      </c>
      <c r="R393" t="s">
        <v>2167</v>
      </c>
      <c r="S393" t="s">
        <v>49</v>
      </c>
      <c r="T393" t="s">
        <v>2168</v>
      </c>
      <c r="U393" t="s">
        <v>2169</v>
      </c>
      <c r="V393" t="s">
        <v>53</v>
      </c>
      <c r="W393" t="s">
        <v>2170</v>
      </c>
      <c r="X393" t="s">
        <v>2042</v>
      </c>
      <c r="Y393" t="s">
        <v>2171</v>
      </c>
      <c r="Z393" t="s">
        <v>91</v>
      </c>
    </row>
    <row r="394" spans="1:26" ht="12.75" customHeight="1" x14ac:dyDescent="0.35">
      <c r="A394">
        <v>393</v>
      </c>
      <c r="B394">
        <v>45886.867958726856</v>
      </c>
      <c r="D394" t="s">
        <v>2172</v>
      </c>
      <c r="E394" t="s">
        <v>1883</v>
      </c>
      <c r="F394" t="s">
        <v>28</v>
      </c>
      <c r="G394" t="s">
        <v>28</v>
      </c>
      <c r="H394" t="s">
        <v>28</v>
      </c>
      <c r="I394" t="s">
        <v>28</v>
      </c>
      <c r="J394" t="s">
        <v>28</v>
      </c>
      <c r="K394" t="s">
        <v>28</v>
      </c>
      <c r="L394" t="s">
        <v>46</v>
      </c>
      <c r="N394" t="s">
        <v>2028</v>
      </c>
      <c r="O394" t="s">
        <v>38</v>
      </c>
      <c r="P394" t="s">
        <v>38</v>
      </c>
      <c r="Q394" t="s">
        <v>38</v>
      </c>
      <c r="R394" t="s">
        <v>2173</v>
      </c>
      <c r="S394" t="s">
        <v>38</v>
      </c>
      <c r="T394" t="s">
        <v>2174</v>
      </c>
      <c r="U394" t="s">
        <v>2175</v>
      </c>
      <c r="V394" t="s">
        <v>53</v>
      </c>
      <c r="W394" t="s">
        <v>2176</v>
      </c>
      <c r="X394" t="s">
        <v>2042</v>
      </c>
      <c r="Y394" t="s">
        <v>2177</v>
      </c>
      <c r="Z394" t="s">
        <v>91</v>
      </c>
    </row>
    <row r="395" spans="1:26" ht="12.75" customHeight="1" x14ac:dyDescent="0.35">
      <c r="A395">
        <v>394</v>
      </c>
      <c r="B395">
        <v>45886.871257986109</v>
      </c>
      <c r="D395" t="s">
        <v>2178</v>
      </c>
      <c r="E395" t="s">
        <v>1875</v>
      </c>
      <c r="F395" t="s">
        <v>449</v>
      </c>
      <c r="G395" t="s">
        <v>60</v>
      </c>
      <c r="H395" t="s">
        <v>206</v>
      </c>
      <c r="I395" t="s">
        <v>30</v>
      </c>
      <c r="J395" t="s">
        <v>173</v>
      </c>
      <c r="K395" t="s">
        <v>368</v>
      </c>
      <c r="L395" t="s">
        <v>36</v>
      </c>
      <c r="N395" t="s">
        <v>2063</v>
      </c>
      <c r="O395" t="s">
        <v>49</v>
      </c>
      <c r="P395" t="s">
        <v>48</v>
      </c>
      <c r="Q395" t="s">
        <v>49</v>
      </c>
      <c r="R395" t="s">
        <v>2179</v>
      </c>
      <c r="S395" t="s">
        <v>48</v>
      </c>
      <c r="T395" t="s">
        <v>2180</v>
      </c>
      <c r="U395" t="s">
        <v>2181</v>
      </c>
      <c r="V395" t="s">
        <v>53</v>
      </c>
      <c r="W395" t="s">
        <v>2182</v>
      </c>
      <c r="X395" t="s">
        <v>2077</v>
      </c>
      <c r="Y395" t="s">
        <v>2183</v>
      </c>
      <c r="Z395" t="s">
        <v>91</v>
      </c>
    </row>
    <row r="396" spans="1:26" ht="12.75" customHeight="1" x14ac:dyDescent="0.35">
      <c r="A396">
        <v>395</v>
      </c>
      <c r="B396">
        <v>45886.873798599539</v>
      </c>
      <c r="D396" t="s">
        <v>2184</v>
      </c>
      <c r="E396" t="s">
        <v>2155</v>
      </c>
      <c r="F396" t="s">
        <v>33</v>
      </c>
      <c r="G396" t="s">
        <v>33</v>
      </c>
      <c r="H396" t="s">
        <v>28</v>
      </c>
      <c r="I396" t="s">
        <v>28</v>
      </c>
      <c r="J396" t="s">
        <v>28</v>
      </c>
      <c r="K396" t="s">
        <v>28</v>
      </c>
      <c r="L396" t="s">
        <v>46</v>
      </c>
      <c r="N396" t="s">
        <v>2028</v>
      </c>
      <c r="O396" t="s">
        <v>38</v>
      </c>
      <c r="P396" t="s">
        <v>38</v>
      </c>
      <c r="Q396" t="s">
        <v>38</v>
      </c>
      <c r="R396" t="s">
        <v>2185</v>
      </c>
      <c r="S396" t="s">
        <v>38</v>
      </c>
      <c r="T396" t="s">
        <v>2186</v>
      </c>
      <c r="U396" t="s">
        <v>2162</v>
      </c>
      <c r="V396" t="s">
        <v>53</v>
      </c>
      <c r="W396" t="s">
        <v>2187</v>
      </c>
      <c r="X396" t="s">
        <v>2042</v>
      </c>
      <c r="Y396" t="s">
        <v>2188</v>
      </c>
      <c r="Z396" t="s">
        <v>91</v>
      </c>
    </row>
    <row r="397" spans="1:26" ht="12.75" customHeight="1" x14ac:dyDescent="0.35">
      <c r="A397">
        <v>396</v>
      </c>
      <c r="B397">
        <v>45886.879118113429</v>
      </c>
      <c r="D397" t="s">
        <v>2189</v>
      </c>
      <c r="E397" t="s">
        <v>2190</v>
      </c>
      <c r="F397" t="s">
        <v>28</v>
      </c>
      <c r="G397" t="s">
        <v>28</v>
      </c>
      <c r="H397" t="s">
        <v>28</v>
      </c>
      <c r="I397" t="s">
        <v>28</v>
      </c>
      <c r="J397" t="s">
        <v>28</v>
      </c>
      <c r="K397" t="s">
        <v>28</v>
      </c>
      <c r="L397" t="s">
        <v>46</v>
      </c>
      <c r="N397" t="s">
        <v>2063</v>
      </c>
      <c r="O397" t="s">
        <v>38</v>
      </c>
      <c r="P397" t="s">
        <v>38</v>
      </c>
      <c r="Q397" t="s">
        <v>38</v>
      </c>
      <c r="R397" t="s">
        <v>2191</v>
      </c>
      <c r="S397" t="s">
        <v>38</v>
      </c>
      <c r="T397" t="s">
        <v>2192</v>
      </c>
      <c r="U397" t="s">
        <v>2175</v>
      </c>
      <c r="V397" t="s">
        <v>53</v>
      </c>
      <c r="W397" t="s">
        <v>2193</v>
      </c>
      <c r="X397" t="s">
        <v>2077</v>
      </c>
      <c r="Y397" t="s">
        <v>2190</v>
      </c>
      <c r="Z397" t="s">
        <v>91</v>
      </c>
    </row>
    <row r="398" spans="1:26" ht="12.75" customHeight="1" x14ac:dyDescent="0.35">
      <c r="A398">
        <v>397</v>
      </c>
      <c r="B398">
        <v>45886.884054548616</v>
      </c>
      <c r="D398" t="s">
        <v>2194</v>
      </c>
      <c r="E398" t="s">
        <v>2155</v>
      </c>
      <c r="F398" t="s">
        <v>28</v>
      </c>
      <c r="G398" t="s">
        <v>28</v>
      </c>
      <c r="H398" t="s">
        <v>28</v>
      </c>
      <c r="I398" t="s">
        <v>28</v>
      </c>
      <c r="J398" t="s">
        <v>28</v>
      </c>
      <c r="K398" t="s">
        <v>28</v>
      </c>
      <c r="L398" t="s">
        <v>46</v>
      </c>
      <c r="N398" t="s">
        <v>2071</v>
      </c>
      <c r="O398" t="s">
        <v>38</v>
      </c>
      <c r="P398" t="s">
        <v>38</v>
      </c>
      <c r="Q398" t="s">
        <v>38</v>
      </c>
      <c r="R398" t="s">
        <v>2195</v>
      </c>
      <c r="S398" t="s">
        <v>38</v>
      </c>
      <c r="T398" t="s">
        <v>2186</v>
      </c>
      <c r="U398" t="s">
        <v>2175</v>
      </c>
      <c r="V398" t="s">
        <v>53</v>
      </c>
      <c r="W398" t="s">
        <v>2196</v>
      </c>
      <c r="X398" t="s">
        <v>2077</v>
      </c>
      <c r="Y398" t="s">
        <v>2197</v>
      </c>
      <c r="Z398" t="s">
        <v>91</v>
      </c>
    </row>
    <row r="399" spans="1:26" ht="12.75" customHeight="1" x14ac:dyDescent="0.35">
      <c r="A399">
        <v>398</v>
      </c>
      <c r="B399">
        <v>45886.892118414355</v>
      </c>
      <c r="D399" t="s">
        <v>2198</v>
      </c>
      <c r="E399" t="s">
        <v>2155</v>
      </c>
      <c r="F399" t="s">
        <v>28</v>
      </c>
      <c r="G399" t="s">
        <v>28</v>
      </c>
      <c r="H399" t="s">
        <v>28</v>
      </c>
      <c r="I399" t="s">
        <v>28</v>
      </c>
      <c r="J399" t="s">
        <v>28</v>
      </c>
      <c r="K399" t="s">
        <v>28</v>
      </c>
      <c r="L399" t="s">
        <v>46</v>
      </c>
      <c r="N399" t="s">
        <v>2088</v>
      </c>
      <c r="O399" t="s">
        <v>38</v>
      </c>
      <c r="P399" t="s">
        <v>38</v>
      </c>
      <c r="Q399" t="s">
        <v>48</v>
      </c>
      <c r="R399" t="s">
        <v>2199</v>
      </c>
      <c r="S399" t="s">
        <v>49</v>
      </c>
      <c r="T399" t="s">
        <v>2200</v>
      </c>
      <c r="U399" t="s">
        <v>2175</v>
      </c>
      <c r="V399" t="s">
        <v>53</v>
      </c>
      <c r="W399" t="s">
        <v>2201</v>
      </c>
      <c r="X399" t="s">
        <v>2077</v>
      </c>
      <c r="Y399" t="s">
        <v>251</v>
      </c>
      <c r="Z399" t="s">
        <v>91</v>
      </c>
    </row>
    <row r="400" spans="1:26" ht="12.75" customHeight="1" x14ac:dyDescent="0.35">
      <c r="A400">
        <v>399</v>
      </c>
      <c r="B400">
        <v>45886.908477326389</v>
      </c>
      <c r="D400" t="s">
        <v>2202</v>
      </c>
      <c r="E400" t="s">
        <v>2155</v>
      </c>
      <c r="F400" t="s">
        <v>28</v>
      </c>
      <c r="G400" t="s">
        <v>28</v>
      </c>
      <c r="H400" t="s">
        <v>28</v>
      </c>
      <c r="I400" t="s">
        <v>28</v>
      </c>
      <c r="J400" t="s">
        <v>28</v>
      </c>
      <c r="K400" t="s">
        <v>28</v>
      </c>
      <c r="L400" t="s">
        <v>36</v>
      </c>
      <c r="N400" t="s">
        <v>2088</v>
      </c>
      <c r="O400" t="s">
        <v>38</v>
      </c>
      <c r="P400" t="s">
        <v>49</v>
      </c>
      <c r="Q400" t="s">
        <v>38</v>
      </c>
      <c r="R400" t="s">
        <v>2195</v>
      </c>
      <c r="S400" t="s">
        <v>49</v>
      </c>
      <c r="T400" t="s">
        <v>2186</v>
      </c>
      <c r="U400" t="s">
        <v>2175</v>
      </c>
      <c r="V400" t="s">
        <v>53</v>
      </c>
      <c r="W400" t="s">
        <v>2203</v>
      </c>
      <c r="X400" t="s">
        <v>2077</v>
      </c>
      <c r="Y400" t="s">
        <v>2204</v>
      </c>
      <c r="Z400" t="s">
        <v>91</v>
      </c>
    </row>
    <row r="401" spans="1:26" ht="12.75" customHeight="1" x14ac:dyDescent="0.35">
      <c r="A401">
        <v>400</v>
      </c>
      <c r="B401">
        <v>45886.913331400458</v>
      </c>
      <c r="D401" t="s">
        <v>2205</v>
      </c>
      <c r="E401" t="s">
        <v>1899</v>
      </c>
      <c r="F401" t="s">
        <v>44</v>
      </c>
      <c r="G401" t="s">
        <v>28</v>
      </c>
      <c r="H401" t="s">
        <v>44</v>
      </c>
      <c r="I401" t="s">
        <v>158</v>
      </c>
      <c r="J401" t="s">
        <v>28</v>
      </c>
      <c r="K401" t="s">
        <v>28</v>
      </c>
      <c r="L401" t="s">
        <v>46</v>
      </c>
      <c r="N401" t="s">
        <v>2110</v>
      </c>
      <c r="O401" t="s">
        <v>49</v>
      </c>
      <c r="P401" t="s">
        <v>49</v>
      </c>
      <c r="Q401" t="s">
        <v>49</v>
      </c>
      <c r="R401" t="s">
        <v>2206</v>
      </c>
      <c r="S401" t="s">
        <v>48</v>
      </c>
      <c r="T401" t="s">
        <v>2207</v>
      </c>
      <c r="U401" t="s">
        <v>2208</v>
      </c>
      <c r="V401" t="s">
        <v>53</v>
      </c>
      <c r="W401" t="s">
        <v>2209</v>
      </c>
      <c r="X401" t="s">
        <v>2065</v>
      </c>
      <c r="Y401" t="s">
        <v>2210</v>
      </c>
      <c r="Z401" t="s">
        <v>91</v>
      </c>
    </row>
    <row r="402" spans="1:26" ht="12.75" customHeight="1" x14ac:dyDescent="0.35">
      <c r="A402">
        <v>401</v>
      </c>
      <c r="B402">
        <v>45886.917276296299</v>
      </c>
      <c r="D402" t="s">
        <v>2211</v>
      </c>
      <c r="E402" t="s">
        <v>1899</v>
      </c>
      <c r="F402" t="s">
        <v>28</v>
      </c>
      <c r="G402" t="s">
        <v>28</v>
      </c>
      <c r="H402" t="s">
        <v>28</v>
      </c>
      <c r="I402" t="s">
        <v>28</v>
      </c>
      <c r="J402" t="s">
        <v>28</v>
      </c>
      <c r="K402" t="s">
        <v>35</v>
      </c>
      <c r="L402" t="s">
        <v>46</v>
      </c>
      <c r="N402" t="s">
        <v>2212</v>
      </c>
      <c r="O402" t="s">
        <v>49</v>
      </c>
      <c r="P402" t="s">
        <v>48</v>
      </c>
      <c r="Q402" t="s">
        <v>48</v>
      </c>
      <c r="R402" t="s">
        <v>2206</v>
      </c>
      <c r="S402" t="s">
        <v>48</v>
      </c>
      <c r="T402" t="s">
        <v>2213</v>
      </c>
      <c r="U402" t="s">
        <v>2208</v>
      </c>
      <c r="V402" t="s">
        <v>53</v>
      </c>
      <c r="W402" t="s">
        <v>2214</v>
      </c>
      <c r="X402" t="s">
        <v>2215</v>
      </c>
      <c r="Y402" t="s">
        <v>2216</v>
      </c>
      <c r="Z402" t="s">
        <v>91</v>
      </c>
    </row>
    <row r="403" spans="1:26" ht="12.75" customHeight="1" x14ac:dyDescent="0.35">
      <c r="A403">
        <v>402</v>
      </c>
      <c r="B403">
        <v>45886.923538275463</v>
      </c>
      <c r="D403" t="s">
        <v>2217</v>
      </c>
      <c r="E403" t="s">
        <v>1899</v>
      </c>
      <c r="F403" t="s">
        <v>28</v>
      </c>
      <c r="G403" t="s">
        <v>28</v>
      </c>
      <c r="H403" t="s">
        <v>28</v>
      </c>
      <c r="I403" t="s">
        <v>28</v>
      </c>
      <c r="J403" t="s">
        <v>28</v>
      </c>
      <c r="K403" t="s">
        <v>28</v>
      </c>
      <c r="L403" t="s">
        <v>36</v>
      </c>
      <c r="N403" t="s">
        <v>2212</v>
      </c>
      <c r="O403" t="s">
        <v>48</v>
      </c>
      <c r="P403" t="s">
        <v>48</v>
      </c>
      <c r="Q403" t="s">
        <v>48</v>
      </c>
      <c r="R403" t="s">
        <v>2218</v>
      </c>
      <c r="S403" t="s">
        <v>48</v>
      </c>
      <c r="T403" t="s">
        <v>2219</v>
      </c>
      <c r="U403" t="s">
        <v>2220</v>
      </c>
      <c r="V403" t="s">
        <v>53</v>
      </c>
      <c r="W403" t="s">
        <v>2221</v>
      </c>
      <c r="X403" t="s">
        <v>2215</v>
      </c>
      <c r="Y403" t="s">
        <v>2222</v>
      </c>
      <c r="Z403" t="s">
        <v>170</v>
      </c>
    </row>
    <row r="404" spans="1:26" ht="12.75" customHeight="1" x14ac:dyDescent="0.35">
      <c r="A404">
        <v>403</v>
      </c>
      <c r="B404">
        <v>45886.926224166666</v>
      </c>
      <c r="D404" t="s">
        <v>2223</v>
      </c>
      <c r="E404" t="s">
        <v>2155</v>
      </c>
      <c r="F404" t="s">
        <v>377</v>
      </c>
      <c r="G404" t="s">
        <v>28</v>
      </c>
      <c r="H404" t="s">
        <v>29</v>
      </c>
      <c r="I404" t="s">
        <v>28</v>
      </c>
      <c r="J404" t="s">
        <v>28</v>
      </c>
      <c r="K404" t="s">
        <v>28</v>
      </c>
      <c r="L404" t="s">
        <v>46</v>
      </c>
      <c r="N404" t="s">
        <v>2110</v>
      </c>
      <c r="O404" t="s">
        <v>38</v>
      </c>
      <c r="P404" t="s">
        <v>38</v>
      </c>
      <c r="Q404" t="s">
        <v>38</v>
      </c>
      <c r="R404" t="s">
        <v>2224</v>
      </c>
      <c r="S404" t="s">
        <v>49</v>
      </c>
      <c r="T404" t="s">
        <v>2225</v>
      </c>
      <c r="U404" t="s">
        <v>2175</v>
      </c>
      <c r="V404" t="s">
        <v>53</v>
      </c>
      <c r="W404" t="s">
        <v>2226</v>
      </c>
      <c r="X404" t="s">
        <v>2077</v>
      </c>
      <c r="Y404" t="s">
        <v>2227</v>
      </c>
      <c r="Z404" t="s">
        <v>91</v>
      </c>
    </row>
    <row r="405" spans="1:26" ht="12.75" customHeight="1" x14ac:dyDescent="0.35">
      <c r="A405">
        <v>404</v>
      </c>
      <c r="B405">
        <v>45886.927857118055</v>
      </c>
      <c r="D405" t="s">
        <v>2228</v>
      </c>
      <c r="E405" t="s">
        <v>1899</v>
      </c>
      <c r="F405" t="s">
        <v>28</v>
      </c>
      <c r="G405" t="s">
        <v>28</v>
      </c>
      <c r="H405" t="s">
        <v>28</v>
      </c>
      <c r="I405" t="s">
        <v>28</v>
      </c>
      <c r="J405" t="s">
        <v>28</v>
      </c>
      <c r="K405" t="s">
        <v>28</v>
      </c>
      <c r="L405" t="s">
        <v>46</v>
      </c>
      <c r="N405" t="s">
        <v>2212</v>
      </c>
      <c r="O405" t="s">
        <v>48</v>
      </c>
      <c r="P405" t="s">
        <v>48</v>
      </c>
      <c r="Q405" t="s">
        <v>48</v>
      </c>
      <c r="R405" t="s">
        <v>2218</v>
      </c>
      <c r="S405" t="s">
        <v>48</v>
      </c>
      <c r="T405" t="s">
        <v>2219</v>
      </c>
      <c r="U405" t="s">
        <v>2220</v>
      </c>
      <c r="V405" t="s">
        <v>53</v>
      </c>
      <c r="W405" t="s">
        <v>2229</v>
      </c>
      <c r="X405" t="s">
        <v>2215</v>
      </c>
      <c r="Y405" t="s">
        <v>2230</v>
      </c>
      <c r="Z405" t="s">
        <v>91</v>
      </c>
    </row>
    <row r="406" spans="1:26" ht="12.75" customHeight="1" x14ac:dyDescent="0.35">
      <c r="A406">
        <v>405</v>
      </c>
      <c r="B406">
        <v>45886.931088506943</v>
      </c>
      <c r="D406" t="s">
        <v>2231</v>
      </c>
      <c r="E406" t="s">
        <v>2155</v>
      </c>
      <c r="F406" t="s">
        <v>28</v>
      </c>
      <c r="G406" t="s">
        <v>60</v>
      </c>
      <c r="H406" t="s">
        <v>28</v>
      </c>
      <c r="I406" t="s">
        <v>103</v>
      </c>
      <c r="J406" t="s">
        <v>28</v>
      </c>
      <c r="K406" t="s">
        <v>28</v>
      </c>
      <c r="L406" t="s">
        <v>36</v>
      </c>
      <c r="N406" t="s">
        <v>2110</v>
      </c>
      <c r="O406" t="s">
        <v>49</v>
      </c>
      <c r="P406" t="s">
        <v>49</v>
      </c>
      <c r="Q406" t="s">
        <v>48</v>
      </c>
      <c r="R406" t="s">
        <v>2195</v>
      </c>
      <c r="S406" t="s">
        <v>48</v>
      </c>
      <c r="T406" t="s">
        <v>2186</v>
      </c>
      <c r="U406" t="s">
        <v>2175</v>
      </c>
      <c r="V406" t="s">
        <v>53</v>
      </c>
      <c r="W406" t="s">
        <v>2232</v>
      </c>
      <c r="X406" t="s">
        <v>2077</v>
      </c>
      <c r="Y406" t="s">
        <v>2233</v>
      </c>
      <c r="Z406" t="s">
        <v>91</v>
      </c>
    </row>
    <row r="407" spans="1:26" ht="12.75" customHeight="1" x14ac:dyDescent="0.35">
      <c r="A407">
        <v>406</v>
      </c>
      <c r="B407">
        <v>45886.932530231483</v>
      </c>
      <c r="D407" t="s">
        <v>2234</v>
      </c>
      <c r="E407" t="s">
        <v>1899</v>
      </c>
      <c r="F407" t="s">
        <v>449</v>
      </c>
      <c r="G407" t="s">
        <v>44</v>
      </c>
      <c r="H407" t="s">
        <v>28</v>
      </c>
      <c r="I407" t="s">
        <v>158</v>
      </c>
      <c r="J407" t="s">
        <v>28</v>
      </c>
      <c r="K407" t="s">
        <v>28</v>
      </c>
      <c r="L407" t="s">
        <v>46</v>
      </c>
      <c r="N407" t="s">
        <v>2235</v>
      </c>
      <c r="O407" t="s">
        <v>48</v>
      </c>
      <c r="P407" t="s">
        <v>48</v>
      </c>
      <c r="Q407" t="s">
        <v>48</v>
      </c>
      <c r="R407" t="s">
        <v>2236</v>
      </c>
      <c r="S407" t="s">
        <v>48</v>
      </c>
      <c r="T407" t="s">
        <v>2237</v>
      </c>
      <c r="U407" t="s">
        <v>2238</v>
      </c>
      <c r="V407" t="s">
        <v>53</v>
      </c>
      <c r="W407" t="s">
        <v>2239</v>
      </c>
      <c r="X407" t="s">
        <v>2240</v>
      </c>
      <c r="Y407" t="s">
        <v>2241</v>
      </c>
      <c r="Z407" t="s">
        <v>91</v>
      </c>
    </row>
    <row r="408" spans="1:26" ht="12.75" customHeight="1" x14ac:dyDescent="0.35">
      <c r="A408">
        <v>407</v>
      </c>
      <c r="B408">
        <v>45886.936126261571</v>
      </c>
      <c r="D408" t="s">
        <v>2242</v>
      </c>
      <c r="E408" t="s">
        <v>2155</v>
      </c>
      <c r="F408" t="s">
        <v>60</v>
      </c>
      <c r="G408" t="s">
        <v>28</v>
      </c>
      <c r="H408" t="s">
        <v>60</v>
      </c>
      <c r="I408" t="s">
        <v>28</v>
      </c>
      <c r="J408" t="s">
        <v>28</v>
      </c>
      <c r="K408" t="s">
        <v>28</v>
      </c>
      <c r="L408" t="s">
        <v>46</v>
      </c>
      <c r="N408" t="s">
        <v>2212</v>
      </c>
      <c r="O408" t="s">
        <v>49</v>
      </c>
      <c r="P408" t="s">
        <v>49</v>
      </c>
      <c r="Q408" t="s">
        <v>49</v>
      </c>
      <c r="R408" t="s">
        <v>2243</v>
      </c>
      <c r="S408" t="s">
        <v>49</v>
      </c>
      <c r="T408" t="s">
        <v>2244</v>
      </c>
      <c r="U408" t="s">
        <v>2175</v>
      </c>
      <c r="V408" t="s">
        <v>53</v>
      </c>
      <c r="W408" t="s">
        <v>2245</v>
      </c>
      <c r="X408" t="s">
        <v>2246</v>
      </c>
      <c r="Y408" t="s">
        <v>2247</v>
      </c>
      <c r="Z408" t="s">
        <v>91</v>
      </c>
    </row>
    <row r="409" spans="1:26" ht="12.75" customHeight="1" x14ac:dyDescent="0.35">
      <c r="A409">
        <v>408</v>
      </c>
      <c r="B409">
        <v>45886.938334664352</v>
      </c>
      <c r="D409" t="s">
        <v>2248</v>
      </c>
      <c r="E409" t="s">
        <v>1899</v>
      </c>
      <c r="F409" t="s">
        <v>28</v>
      </c>
      <c r="G409" t="s">
        <v>28</v>
      </c>
      <c r="H409" t="s">
        <v>28</v>
      </c>
      <c r="I409" t="s">
        <v>173</v>
      </c>
      <c r="J409" t="s">
        <v>28</v>
      </c>
      <c r="K409" t="s">
        <v>28</v>
      </c>
      <c r="L409" t="s">
        <v>46</v>
      </c>
      <c r="N409" t="s">
        <v>2235</v>
      </c>
      <c r="O409" t="s">
        <v>48</v>
      </c>
      <c r="P409" t="s">
        <v>48</v>
      </c>
      <c r="Q409" t="s">
        <v>48</v>
      </c>
      <c r="R409" t="s">
        <v>2206</v>
      </c>
      <c r="S409" t="s">
        <v>48</v>
      </c>
      <c r="T409" t="s">
        <v>2213</v>
      </c>
      <c r="U409" t="s">
        <v>2249</v>
      </c>
      <c r="V409" t="s">
        <v>53</v>
      </c>
      <c r="W409" t="s">
        <v>2250</v>
      </c>
      <c r="X409" t="s">
        <v>2240</v>
      </c>
      <c r="Y409" t="s">
        <v>2251</v>
      </c>
      <c r="Z409" t="s">
        <v>91</v>
      </c>
    </row>
    <row r="410" spans="1:26" ht="12.75" customHeight="1" x14ac:dyDescent="0.35">
      <c r="A410">
        <v>409</v>
      </c>
      <c r="B410">
        <v>45886.940500578705</v>
      </c>
      <c r="D410" t="s">
        <v>2252</v>
      </c>
      <c r="E410" t="s">
        <v>2155</v>
      </c>
      <c r="F410" t="s">
        <v>28</v>
      </c>
      <c r="G410" t="s">
        <v>60</v>
      </c>
      <c r="H410" t="s">
        <v>29</v>
      </c>
      <c r="I410" t="s">
        <v>30</v>
      </c>
      <c r="J410" t="s">
        <v>103</v>
      </c>
      <c r="K410" t="s">
        <v>28</v>
      </c>
      <c r="L410" t="s">
        <v>46</v>
      </c>
      <c r="N410" t="s">
        <v>2212</v>
      </c>
      <c r="P410" t="s">
        <v>38</v>
      </c>
      <c r="Q410" t="s">
        <v>48</v>
      </c>
      <c r="R410" t="s">
        <v>2253</v>
      </c>
      <c r="T410" t="s">
        <v>2186</v>
      </c>
      <c r="U410" t="s">
        <v>2175</v>
      </c>
      <c r="V410" t="s">
        <v>53</v>
      </c>
      <c r="W410" t="s">
        <v>2254</v>
      </c>
      <c r="X410" t="s">
        <v>2246</v>
      </c>
      <c r="Y410" t="s">
        <v>2255</v>
      </c>
      <c r="Z410" t="s">
        <v>91</v>
      </c>
    </row>
    <row r="411" spans="1:26" ht="12.75" customHeight="1" x14ac:dyDescent="0.35">
      <c r="A411">
        <v>410</v>
      </c>
      <c r="B411">
        <v>45886.943748969905</v>
      </c>
      <c r="D411" t="s">
        <v>2256</v>
      </c>
      <c r="E411" t="s">
        <v>1899</v>
      </c>
      <c r="F411" t="s">
        <v>28</v>
      </c>
      <c r="G411" t="s">
        <v>28</v>
      </c>
      <c r="H411" t="s">
        <v>28</v>
      </c>
      <c r="I411" t="s">
        <v>28</v>
      </c>
      <c r="J411" t="s">
        <v>28</v>
      </c>
      <c r="K411" t="s">
        <v>28</v>
      </c>
      <c r="L411" t="s">
        <v>46</v>
      </c>
      <c r="N411" t="s">
        <v>2235</v>
      </c>
      <c r="O411" t="s">
        <v>48</v>
      </c>
      <c r="P411" t="s">
        <v>48</v>
      </c>
      <c r="Q411" t="s">
        <v>48</v>
      </c>
      <c r="R411" t="s">
        <v>2218</v>
      </c>
      <c r="S411" t="s">
        <v>48</v>
      </c>
      <c r="T411" t="s">
        <v>2257</v>
      </c>
      <c r="U411" t="s">
        <v>2220</v>
      </c>
      <c r="V411" t="s">
        <v>53</v>
      </c>
      <c r="W411" t="s">
        <v>2258</v>
      </c>
      <c r="X411" t="s">
        <v>2240</v>
      </c>
      <c r="Y411" t="s">
        <v>2259</v>
      </c>
      <c r="Z411" t="s">
        <v>129</v>
      </c>
    </row>
    <row r="412" spans="1:26" ht="12.75" customHeight="1" x14ac:dyDescent="0.35">
      <c r="A412">
        <v>411</v>
      </c>
      <c r="B412">
        <v>45886.945713449073</v>
      </c>
      <c r="D412" t="s">
        <v>2260</v>
      </c>
      <c r="E412" t="s">
        <v>2155</v>
      </c>
      <c r="F412" t="s">
        <v>28</v>
      </c>
      <c r="G412" t="s">
        <v>196</v>
      </c>
      <c r="H412" t="s">
        <v>157</v>
      </c>
      <c r="I412" t="s">
        <v>103</v>
      </c>
      <c r="J412" t="s">
        <v>28</v>
      </c>
      <c r="K412" t="s">
        <v>28</v>
      </c>
      <c r="L412" t="s">
        <v>46</v>
      </c>
      <c r="N412" t="s">
        <v>2212</v>
      </c>
      <c r="O412" t="s">
        <v>38</v>
      </c>
      <c r="P412" t="s">
        <v>49</v>
      </c>
      <c r="Q412" t="s">
        <v>49</v>
      </c>
      <c r="R412" t="s">
        <v>2195</v>
      </c>
      <c r="S412" t="s">
        <v>49</v>
      </c>
      <c r="T412" t="s">
        <v>2186</v>
      </c>
      <c r="U412" t="s">
        <v>2175</v>
      </c>
      <c r="V412" t="s">
        <v>53</v>
      </c>
      <c r="W412" t="s">
        <v>2261</v>
      </c>
      <c r="X412" t="s">
        <v>2246</v>
      </c>
      <c r="Y412" t="s">
        <v>2262</v>
      </c>
      <c r="Z412" t="s">
        <v>91</v>
      </c>
    </row>
    <row r="413" spans="1:26" ht="12.75" customHeight="1" x14ac:dyDescent="0.35">
      <c r="A413">
        <v>412</v>
      </c>
      <c r="B413">
        <v>45886.948241631944</v>
      </c>
      <c r="D413" t="s">
        <v>2263</v>
      </c>
      <c r="E413" t="s">
        <v>1899</v>
      </c>
      <c r="F413" t="s">
        <v>28</v>
      </c>
      <c r="G413" t="s">
        <v>28</v>
      </c>
      <c r="H413" t="s">
        <v>28</v>
      </c>
      <c r="I413" t="s">
        <v>28</v>
      </c>
      <c r="J413" t="s">
        <v>28</v>
      </c>
      <c r="K413" t="s">
        <v>28</v>
      </c>
      <c r="L413" t="s">
        <v>36</v>
      </c>
      <c r="N413" t="s">
        <v>2264</v>
      </c>
      <c r="O413" t="s">
        <v>48</v>
      </c>
      <c r="P413" t="s">
        <v>48</v>
      </c>
      <c r="Q413" t="s">
        <v>48</v>
      </c>
      <c r="R413" t="s">
        <v>2265</v>
      </c>
      <c r="S413" t="s">
        <v>48</v>
      </c>
      <c r="T413" t="s">
        <v>2266</v>
      </c>
      <c r="U413" t="s">
        <v>2238</v>
      </c>
      <c r="V413" t="s">
        <v>53</v>
      </c>
      <c r="W413" t="s">
        <v>2267</v>
      </c>
      <c r="X413" t="s">
        <v>834</v>
      </c>
      <c r="Y413" t="s">
        <v>2268</v>
      </c>
      <c r="Z413" t="s">
        <v>91</v>
      </c>
    </row>
    <row r="414" spans="1:26" ht="12.75" customHeight="1" x14ac:dyDescent="0.35">
      <c r="A414">
        <v>413</v>
      </c>
      <c r="B414">
        <v>45886.94942034722</v>
      </c>
      <c r="D414" t="s">
        <v>2269</v>
      </c>
      <c r="E414" t="s">
        <v>1960</v>
      </c>
      <c r="F414" t="s">
        <v>44</v>
      </c>
      <c r="G414" t="s">
        <v>44</v>
      </c>
      <c r="H414" t="s">
        <v>60</v>
      </c>
      <c r="I414" t="s">
        <v>173</v>
      </c>
      <c r="J414" t="s">
        <v>368</v>
      </c>
      <c r="K414" t="s">
        <v>45</v>
      </c>
      <c r="L414" t="s">
        <v>36</v>
      </c>
      <c r="N414" t="s">
        <v>2063</v>
      </c>
      <c r="O414" t="s">
        <v>48</v>
      </c>
      <c r="P414" t="s">
        <v>38</v>
      </c>
      <c r="Q414" t="s">
        <v>38</v>
      </c>
      <c r="R414" t="s">
        <v>1885</v>
      </c>
      <c r="S414" t="s">
        <v>38</v>
      </c>
      <c r="T414" t="s">
        <v>1962</v>
      </c>
      <c r="U414" t="s">
        <v>1887</v>
      </c>
      <c r="V414" t="s">
        <v>65</v>
      </c>
      <c r="W414" t="s">
        <v>2270</v>
      </c>
      <c r="X414" t="s">
        <v>2065</v>
      </c>
      <c r="Y414" t="s">
        <v>2271</v>
      </c>
      <c r="Z414" t="s">
        <v>91</v>
      </c>
    </row>
    <row r="415" spans="1:26" ht="12.75" customHeight="1" x14ac:dyDescent="0.35">
      <c r="A415">
        <v>414</v>
      </c>
      <c r="B415">
        <v>45886.949988506945</v>
      </c>
      <c r="D415" t="s">
        <v>2272</v>
      </c>
      <c r="E415" t="s">
        <v>2155</v>
      </c>
      <c r="F415" t="s">
        <v>28</v>
      </c>
      <c r="G415" t="s">
        <v>196</v>
      </c>
      <c r="H415" t="s">
        <v>28</v>
      </c>
      <c r="I415" t="s">
        <v>197</v>
      </c>
      <c r="J415" t="s">
        <v>28</v>
      </c>
      <c r="K415" t="s">
        <v>28</v>
      </c>
      <c r="L415" t="s">
        <v>46</v>
      </c>
      <c r="N415" t="s">
        <v>2235</v>
      </c>
      <c r="O415" t="s">
        <v>38</v>
      </c>
      <c r="P415" t="s">
        <v>49</v>
      </c>
      <c r="Q415" t="s">
        <v>38</v>
      </c>
      <c r="R415" t="s">
        <v>2195</v>
      </c>
      <c r="S415" t="s">
        <v>38</v>
      </c>
      <c r="T415" t="s">
        <v>2225</v>
      </c>
      <c r="U415" t="s">
        <v>2175</v>
      </c>
      <c r="V415" t="s">
        <v>53</v>
      </c>
      <c r="W415" t="s">
        <v>2273</v>
      </c>
      <c r="X415" t="s">
        <v>2246</v>
      </c>
      <c r="Y415" t="s">
        <v>2274</v>
      </c>
      <c r="Z415" t="s">
        <v>91</v>
      </c>
    </row>
    <row r="416" spans="1:26" ht="12.75" customHeight="1" x14ac:dyDescent="0.35">
      <c r="A416">
        <v>415</v>
      </c>
      <c r="B416">
        <v>45886.952400856477</v>
      </c>
      <c r="D416" t="s">
        <v>2275</v>
      </c>
      <c r="E416" t="s">
        <v>1899</v>
      </c>
      <c r="F416" t="s">
        <v>28</v>
      </c>
      <c r="G416" t="s">
        <v>44</v>
      </c>
      <c r="H416" t="s">
        <v>157</v>
      </c>
      <c r="I416" t="s">
        <v>28</v>
      </c>
      <c r="J416" t="s">
        <v>173</v>
      </c>
      <c r="K416" t="s">
        <v>28</v>
      </c>
      <c r="L416" t="s">
        <v>46</v>
      </c>
      <c r="N416" t="s">
        <v>2276</v>
      </c>
      <c r="O416" t="s">
        <v>48</v>
      </c>
      <c r="P416" t="s">
        <v>48</v>
      </c>
      <c r="Q416" t="s">
        <v>48</v>
      </c>
      <c r="R416" t="s">
        <v>2277</v>
      </c>
      <c r="S416" t="s">
        <v>48</v>
      </c>
      <c r="T416" t="s">
        <v>2266</v>
      </c>
      <c r="U416" t="s">
        <v>2238</v>
      </c>
      <c r="V416" t="s">
        <v>53</v>
      </c>
      <c r="W416" t="s">
        <v>2278</v>
      </c>
      <c r="X416" t="s">
        <v>118</v>
      </c>
      <c r="Y416" t="s">
        <v>2279</v>
      </c>
      <c r="Z416" t="s">
        <v>91</v>
      </c>
    </row>
    <row r="417" spans="1:26" ht="12.75" customHeight="1" x14ac:dyDescent="0.35">
      <c r="A417">
        <v>416</v>
      </c>
      <c r="B417">
        <v>45886.952420891204</v>
      </c>
      <c r="D417" t="s">
        <v>2280</v>
      </c>
      <c r="E417" t="s">
        <v>2055</v>
      </c>
      <c r="F417" t="s">
        <v>29</v>
      </c>
      <c r="G417" t="s">
        <v>33</v>
      </c>
      <c r="H417" t="s">
        <v>29</v>
      </c>
      <c r="I417" t="s">
        <v>30</v>
      </c>
      <c r="J417" t="s">
        <v>30</v>
      </c>
      <c r="K417" t="s">
        <v>61</v>
      </c>
      <c r="L417" t="s">
        <v>46</v>
      </c>
      <c r="N417" t="s">
        <v>2281</v>
      </c>
      <c r="O417" t="s">
        <v>48</v>
      </c>
      <c r="P417" t="s">
        <v>49</v>
      </c>
      <c r="Q417" t="s">
        <v>49</v>
      </c>
      <c r="R417" t="s">
        <v>2094</v>
      </c>
      <c r="S417" t="s">
        <v>38</v>
      </c>
      <c r="T417" t="s">
        <v>2095</v>
      </c>
      <c r="U417" t="s">
        <v>2282</v>
      </c>
      <c r="V417" t="s">
        <v>53</v>
      </c>
      <c r="W417" t="s">
        <v>2283</v>
      </c>
      <c r="X417" t="s">
        <v>2077</v>
      </c>
      <c r="Y417" t="s">
        <v>2284</v>
      </c>
      <c r="Z417" t="s">
        <v>91</v>
      </c>
    </row>
    <row r="418" spans="1:26" ht="12.75" customHeight="1" x14ac:dyDescent="0.35">
      <c r="A418">
        <v>417</v>
      </c>
      <c r="B418">
        <v>45886.956506597227</v>
      </c>
      <c r="D418" t="s">
        <v>2285</v>
      </c>
      <c r="E418" t="s">
        <v>1899</v>
      </c>
      <c r="F418" t="s">
        <v>28</v>
      </c>
      <c r="G418" t="s">
        <v>44</v>
      </c>
      <c r="H418" t="s">
        <v>157</v>
      </c>
      <c r="I418" t="s">
        <v>103</v>
      </c>
      <c r="J418" t="s">
        <v>103</v>
      </c>
      <c r="K418" t="s">
        <v>28</v>
      </c>
      <c r="L418" t="s">
        <v>46</v>
      </c>
      <c r="N418" t="s">
        <v>2276</v>
      </c>
      <c r="O418" t="s">
        <v>48</v>
      </c>
      <c r="P418" t="s">
        <v>48</v>
      </c>
      <c r="Q418" t="s">
        <v>48</v>
      </c>
      <c r="R418" t="s">
        <v>2286</v>
      </c>
      <c r="S418" t="s">
        <v>48</v>
      </c>
      <c r="T418" t="s">
        <v>2287</v>
      </c>
      <c r="U418" t="s">
        <v>2288</v>
      </c>
      <c r="V418" t="s">
        <v>53</v>
      </c>
      <c r="W418" t="s">
        <v>2289</v>
      </c>
      <c r="X418" t="s">
        <v>118</v>
      </c>
      <c r="Y418" t="s">
        <v>2290</v>
      </c>
      <c r="Z418" t="s">
        <v>170</v>
      </c>
    </row>
    <row r="419" spans="1:26" ht="12.75" customHeight="1" x14ac:dyDescent="0.35">
      <c r="A419">
        <v>418</v>
      </c>
      <c r="B419">
        <v>45886.956537615741</v>
      </c>
      <c r="D419" t="s">
        <v>2291</v>
      </c>
      <c r="E419" t="s">
        <v>2155</v>
      </c>
      <c r="F419" t="s">
        <v>28</v>
      </c>
      <c r="G419" t="s">
        <v>197</v>
      </c>
      <c r="H419" t="s">
        <v>28</v>
      </c>
      <c r="I419" t="s">
        <v>28</v>
      </c>
      <c r="J419" t="s">
        <v>28</v>
      </c>
      <c r="K419" t="s">
        <v>28</v>
      </c>
      <c r="L419" t="s">
        <v>46</v>
      </c>
      <c r="N419" t="s">
        <v>2235</v>
      </c>
      <c r="O419" t="s">
        <v>38</v>
      </c>
      <c r="P419" t="s">
        <v>49</v>
      </c>
      <c r="R419" t="s">
        <v>2191</v>
      </c>
      <c r="S419" t="s">
        <v>49</v>
      </c>
      <c r="T419" t="s">
        <v>2186</v>
      </c>
      <c r="U419" t="s">
        <v>2175</v>
      </c>
      <c r="V419" t="s">
        <v>53</v>
      </c>
      <c r="W419" t="s">
        <v>2292</v>
      </c>
      <c r="X419" t="s">
        <v>2246</v>
      </c>
      <c r="Y419" t="s">
        <v>2293</v>
      </c>
      <c r="Z419" t="s">
        <v>91</v>
      </c>
    </row>
    <row r="420" spans="1:26" ht="12.75" customHeight="1" x14ac:dyDescent="0.35">
      <c r="A420">
        <v>419</v>
      </c>
      <c r="B420">
        <v>45886.959997916667</v>
      </c>
      <c r="D420" t="s">
        <v>2294</v>
      </c>
      <c r="E420" t="s">
        <v>1899</v>
      </c>
      <c r="F420" t="s">
        <v>28</v>
      </c>
      <c r="G420" t="s">
        <v>28</v>
      </c>
      <c r="H420" t="s">
        <v>28</v>
      </c>
      <c r="I420" t="s">
        <v>28</v>
      </c>
      <c r="J420" t="s">
        <v>28</v>
      </c>
      <c r="K420" t="s">
        <v>28</v>
      </c>
      <c r="L420" t="s">
        <v>46</v>
      </c>
      <c r="N420" t="s">
        <v>2276</v>
      </c>
      <c r="O420" t="s">
        <v>48</v>
      </c>
      <c r="P420" t="s">
        <v>48</v>
      </c>
      <c r="Q420" t="s">
        <v>48</v>
      </c>
      <c r="R420" t="s">
        <v>2277</v>
      </c>
      <c r="T420" t="s">
        <v>2266</v>
      </c>
      <c r="U420" t="s">
        <v>2238</v>
      </c>
      <c r="V420" t="s">
        <v>53</v>
      </c>
      <c r="W420" t="s">
        <v>2295</v>
      </c>
      <c r="X420" t="s">
        <v>118</v>
      </c>
      <c r="Y420" t="s">
        <v>2296</v>
      </c>
      <c r="Z420" t="s">
        <v>129</v>
      </c>
    </row>
    <row r="421" spans="1:26" ht="12.75" customHeight="1" x14ac:dyDescent="0.35">
      <c r="A421">
        <v>420</v>
      </c>
      <c r="B421">
        <v>45886.961883518517</v>
      </c>
      <c r="D421" t="s">
        <v>2297</v>
      </c>
      <c r="E421" t="s">
        <v>1875</v>
      </c>
      <c r="F421" t="s">
        <v>44</v>
      </c>
      <c r="G421" t="s">
        <v>60</v>
      </c>
      <c r="H421" t="s">
        <v>28</v>
      </c>
      <c r="I421" t="s">
        <v>30</v>
      </c>
      <c r="J421" t="s">
        <v>368</v>
      </c>
      <c r="K421" t="s">
        <v>94</v>
      </c>
      <c r="L421" t="s">
        <v>36</v>
      </c>
      <c r="N421" t="s">
        <v>2071</v>
      </c>
      <c r="O421" t="s">
        <v>49</v>
      </c>
      <c r="P421" t="s">
        <v>48</v>
      </c>
      <c r="Q421" t="s">
        <v>38</v>
      </c>
      <c r="R421" t="s">
        <v>2298</v>
      </c>
      <c r="S421" t="s">
        <v>49</v>
      </c>
      <c r="T421" t="s">
        <v>2299</v>
      </c>
      <c r="U421" t="s">
        <v>2300</v>
      </c>
      <c r="V421" t="s">
        <v>53</v>
      </c>
      <c r="W421" t="s">
        <v>2301</v>
      </c>
      <c r="X421" t="s">
        <v>2077</v>
      </c>
      <c r="Y421" t="s">
        <v>2302</v>
      </c>
      <c r="Z421" t="s">
        <v>91</v>
      </c>
    </row>
    <row r="422" spans="1:26" ht="12.75" customHeight="1" x14ac:dyDescent="0.35">
      <c r="A422">
        <v>421</v>
      </c>
      <c r="B422">
        <v>45886.962291608797</v>
      </c>
      <c r="D422" t="s">
        <v>2303</v>
      </c>
      <c r="E422" t="s">
        <v>2155</v>
      </c>
      <c r="F422" t="s">
        <v>28</v>
      </c>
      <c r="G422" t="s">
        <v>28</v>
      </c>
      <c r="H422" t="s">
        <v>28</v>
      </c>
      <c r="I422" t="s">
        <v>28</v>
      </c>
      <c r="J422" t="s">
        <v>173</v>
      </c>
      <c r="K422" t="s">
        <v>292</v>
      </c>
      <c r="L422" t="s">
        <v>46</v>
      </c>
      <c r="N422" t="s">
        <v>2235</v>
      </c>
      <c r="O422" t="s">
        <v>38</v>
      </c>
      <c r="P422" t="s">
        <v>49</v>
      </c>
      <c r="Q422" t="s">
        <v>49</v>
      </c>
      <c r="R422" t="s">
        <v>2195</v>
      </c>
      <c r="S422" t="s">
        <v>38</v>
      </c>
      <c r="T422" t="s">
        <v>2304</v>
      </c>
      <c r="U422" t="s">
        <v>2175</v>
      </c>
      <c r="V422" t="s">
        <v>53</v>
      </c>
      <c r="W422" t="s">
        <v>2305</v>
      </c>
      <c r="X422" t="s">
        <v>2246</v>
      </c>
      <c r="Y422" t="s">
        <v>2306</v>
      </c>
      <c r="Z422" t="s">
        <v>91</v>
      </c>
    </row>
    <row r="423" spans="1:26" ht="12.75" customHeight="1" x14ac:dyDescent="0.35">
      <c r="A423">
        <v>422</v>
      </c>
      <c r="B423">
        <v>45886.964299085652</v>
      </c>
      <c r="D423" t="s">
        <v>2307</v>
      </c>
      <c r="E423" t="s">
        <v>1960</v>
      </c>
      <c r="F423" t="s">
        <v>60</v>
      </c>
      <c r="G423" t="s">
        <v>60</v>
      </c>
      <c r="H423" t="s">
        <v>44</v>
      </c>
      <c r="I423" t="s">
        <v>103</v>
      </c>
      <c r="J423" t="s">
        <v>28</v>
      </c>
      <c r="K423" t="s">
        <v>28</v>
      </c>
      <c r="L423" t="s">
        <v>46</v>
      </c>
      <c r="N423" t="s">
        <v>2308</v>
      </c>
      <c r="O423" t="s">
        <v>48</v>
      </c>
      <c r="P423" t="s">
        <v>48</v>
      </c>
      <c r="Q423" t="s">
        <v>38</v>
      </c>
      <c r="R423" t="s">
        <v>1885</v>
      </c>
      <c r="S423" t="s">
        <v>38</v>
      </c>
      <c r="T423" t="s">
        <v>2011</v>
      </c>
      <c r="U423" t="s">
        <v>1887</v>
      </c>
      <c r="V423" t="s">
        <v>53</v>
      </c>
      <c r="W423" t="s">
        <v>2309</v>
      </c>
      <c r="X423" t="s">
        <v>2132</v>
      </c>
      <c r="Y423" t="s">
        <v>2310</v>
      </c>
      <c r="Z423" t="s">
        <v>91</v>
      </c>
    </row>
    <row r="424" spans="1:26" ht="12.75" customHeight="1" x14ac:dyDescent="0.35">
      <c r="A424">
        <v>423</v>
      </c>
      <c r="B424">
        <v>45886.964416331015</v>
      </c>
      <c r="D424" t="s">
        <v>2311</v>
      </c>
      <c r="E424" t="s">
        <v>2055</v>
      </c>
      <c r="F424" t="s">
        <v>44</v>
      </c>
      <c r="G424" t="s">
        <v>60</v>
      </c>
      <c r="H424" t="s">
        <v>44</v>
      </c>
      <c r="I424" t="s">
        <v>173</v>
      </c>
      <c r="J424" t="s">
        <v>28</v>
      </c>
      <c r="K424" t="s">
        <v>28</v>
      </c>
      <c r="L424" t="s">
        <v>46</v>
      </c>
      <c r="N424" t="s">
        <v>2312</v>
      </c>
      <c r="O424" t="s">
        <v>49</v>
      </c>
      <c r="P424" t="s">
        <v>49</v>
      </c>
      <c r="Q424" t="s">
        <v>48</v>
      </c>
      <c r="R424" t="s">
        <v>2313</v>
      </c>
      <c r="S424" t="s">
        <v>49</v>
      </c>
      <c r="T424" t="s">
        <v>2095</v>
      </c>
      <c r="U424" t="s">
        <v>2282</v>
      </c>
      <c r="V424" t="s">
        <v>53</v>
      </c>
      <c r="W424" t="s">
        <v>2314</v>
      </c>
      <c r="X424" t="s">
        <v>2077</v>
      </c>
      <c r="Y424" t="s">
        <v>2315</v>
      </c>
      <c r="Z424" t="s">
        <v>91</v>
      </c>
    </row>
    <row r="425" spans="1:26" ht="12.75" customHeight="1" x14ac:dyDescent="0.35">
      <c r="A425">
        <v>424</v>
      </c>
      <c r="B425">
        <v>45886.968509768514</v>
      </c>
      <c r="D425" t="s">
        <v>2316</v>
      </c>
      <c r="E425" t="s">
        <v>1899</v>
      </c>
      <c r="F425" t="s">
        <v>28</v>
      </c>
      <c r="G425" t="s">
        <v>28</v>
      </c>
      <c r="H425" t="s">
        <v>28</v>
      </c>
      <c r="I425" t="s">
        <v>28</v>
      </c>
      <c r="J425" t="s">
        <v>28</v>
      </c>
      <c r="K425" t="s">
        <v>28</v>
      </c>
      <c r="L425" t="s">
        <v>46</v>
      </c>
      <c r="N425" t="s">
        <v>2317</v>
      </c>
      <c r="O425" t="s">
        <v>48</v>
      </c>
      <c r="P425" t="s">
        <v>48</v>
      </c>
      <c r="Q425" t="s">
        <v>48</v>
      </c>
      <c r="R425" t="s">
        <v>2318</v>
      </c>
      <c r="S425" t="s">
        <v>48</v>
      </c>
      <c r="T425" t="s">
        <v>2319</v>
      </c>
      <c r="U425" t="s">
        <v>2238</v>
      </c>
      <c r="V425" t="s">
        <v>53</v>
      </c>
      <c r="W425" t="s">
        <v>2320</v>
      </c>
      <c r="X425" t="s">
        <v>118</v>
      </c>
      <c r="Y425" t="s">
        <v>2321</v>
      </c>
      <c r="Z425" t="s">
        <v>91</v>
      </c>
    </row>
    <row r="426" spans="1:26" ht="12.75" customHeight="1" x14ac:dyDescent="0.35">
      <c r="A426">
        <v>425</v>
      </c>
      <c r="B426">
        <v>45886.970207349535</v>
      </c>
      <c r="D426" t="s">
        <v>2322</v>
      </c>
      <c r="E426" t="s">
        <v>1875</v>
      </c>
      <c r="F426" t="s">
        <v>60</v>
      </c>
      <c r="G426" t="s">
        <v>29</v>
      </c>
      <c r="H426" t="s">
        <v>28</v>
      </c>
      <c r="I426" t="s">
        <v>30</v>
      </c>
      <c r="J426" t="s">
        <v>28</v>
      </c>
      <c r="K426" t="s">
        <v>368</v>
      </c>
      <c r="L426" t="s">
        <v>46</v>
      </c>
      <c r="N426" t="s">
        <v>2088</v>
      </c>
      <c r="O426" t="s">
        <v>49</v>
      </c>
      <c r="P426" t="s">
        <v>38</v>
      </c>
      <c r="Q426" t="s">
        <v>48</v>
      </c>
      <c r="R426" t="s">
        <v>2323</v>
      </c>
      <c r="S426" t="s">
        <v>49</v>
      </c>
      <c r="T426" t="s">
        <v>2324</v>
      </c>
      <c r="U426" t="s">
        <v>2325</v>
      </c>
      <c r="V426" t="s">
        <v>53</v>
      </c>
      <c r="W426" t="s">
        <v>2326</v>
      </c>
      <c r="X426" t="s">
        <v>2077</v>
      </c>
      <c r="Y426" t="s">
        <v>2327</v>
      </c>
      <c r="Z426" t="s">
        <v>91</v>
      </c>
    </row>
    <row r="427" spans="1:26" ht="12.75" customHeight="1" x14ac:dyDescent="0.35">
      <c r="A427">
        <v>426</v>
      </c>
      <c r="B427">
        <v>45886.972328229167</v>
      </c>
      <c r="D427" t="s">
        <v>2328</v>
      </c>
      <c r="E427" t="s">
        <v>1899</v>
      </c>
      <c r="F427" t="s">
        <v>28</v>
      </c>
      <c r="G427" t="s">
        <v>28</v>
      </c>
      <c r="H427" t="s">
        <v>28</v>
      </c>
      <c r="I427" t="s">
        <v>28</v>
      </c>
      <c r="J427" t="s">
        <v>28</v>
      </c>
      <c r="K427" t="s">
        <v>28</v>
      </c>
      <c r="L427" t="s">
        <v>46</v>
      </c>
      <c r="N427" t="s">
        <v>2317</v>
      </c>
      <c r="O427" t="s">
        <v>48</v>
      </c>
      <c r="P427" t="s">
        <v>48</v>
      </c>
      <c r="Q427" t="s">
        <v>48</v>
      </c>
      <c r="R427" t="s">
        <v>2286</v>
      </c>
      <c r="S427" t="s">
        <v>48</v>
      </c>
      <c r="T427" t="s">
        <v>2287</v>
      </c>
      <c r="U427" t="s">
        <v>2288</v>
      </c>
      <c r="V427" t="s">
        <v>53</v>
      </c>
      <c r="W427" t="s">
        <v>2329</v>
      </c>
      <c r="X427" t="s">
        <v>118</v>
      </c>
      <c r="Y427" t="s">
        <v>2330</v>
      </c>
      <c r="Z427" t="s">
        <v>91</v>
      </c>
    </row>
    <row r="428" spans="1:26" ht="12.75" customHeight="1" x14ac:dyDescent="0.35">
      <c r="A428">
        <v>427</v>
      </c>
      <c r="B428">
        <v>45886.974572962965</v>
      </c>
      <c r="D428" t="s">
        <v>2331</v>
      </c>
      <c r="E428" t="s">
        <v>1875</v>
      </c>
      <c r="F428" t="s">
        <v>60</v>
      </c>
      <c r="G428" t="s">
        <v>60</v>
      </c>
      <c r="H428" t="s">
        <v>28</v>
      </c>
      <c r="I428" t="s">
        <v>173</v>
      </c>
      <c r="J428" t="s">
        <v>368</v>
      </c>
      <c r="K428" t="s">
        <v>94</v>
      </c>
      <c r="L428" t="s">
        <v>46</v>
      </c>
      <c r="N428" t="s">
        <v>2088</v>
      </c>
      <c r="O428" t="s">
        <v>49</v>
      </c>
      <c r="P428" t="s">
        <v>38</v>
      </c>
      <c r="Q428" t="s">
        <v>48</v>
      </c>
      <c r="R428" t="s">
        <v>2332</v>
      </c>
      <c r="S428" t="s">
        <v>49</v>
      </c>
      <c r="T428" t="s">
        <v>2333</v>
      </c>
      <c r="U428" t="s">
        <v>2334</v>
      </c>
      <c r="V428" t="s">
        <v>53</v>
      </c>
      <c r="W428" t="s">
        <v>2335</v>
      </c>
      <c r="X428" t="s">
        <v>2077</v>
      </c>
      <c r="Y428" t="s">
        <v>2336</v>
      </c>
      <c r="Z428" t="s">
        <v>91</v>
      </c>
    </row>
    <row r="429" spans="1:26" ht="12.75" customHeight="1" x14ac:dyDescent="0.35">
      <c r="A429">
        <v>428</v>
      </c>
      <c r="B429">
        <v>45886.977797835643</v>
      </c>
      <c r="D429" t="s">
        <v>2337</v>
      </c>
      <c r="E429" t="s">
        <v>1899</v>
      </c>
      <c r="F429" t="s">
        <v>28</v>
      </c>
      <c r="G429" t="s">
        <v>28</v>
      </c>
      <c r="H429" t="s">
        <v>28</v>
      </c>
      <c r="I429" t="s">
        <v>28</v>
      </c>
      <c r="J429" t="s">
        <v>28</v>
      </c>
      <c r="K429" t="s">
        <v>28</v>
      </c>
      <c r="L429" t="s">
        <v>46</v>
      </c>
      <c r="N429" t="s">
        <v>2338</v>
      </c>
      <c r="O429" t="s">
        <v>49</v>
      </c>
      <c r="P429" t="s">
        <v>48</v>
      </c>
      <c r="Q429" t="s">
        <v>49</v>
      </c>
      <c r="R429" t="s">
        <v>2339</v>
      </c>
      <c r="S429" t="s">
        <v>48</v>
      </c>
      <c r="T429" t="s">
        <v>2319</v>
      </c>
      <c r="U429" t="s">
        <v>2340</v>
      </c>
      <c r="V429" t="s">
        <v>53</v>
      </c>
      <c r="W429" t="s">
        <v>2341</v>
      </c>
      <c r="X429" t="s">
        <v>118</v>
      </c>
      <c r="Y429" t="s">
        <v>2342</v>
      </c>
      <c r="Z429" t="s">
        <v>170</v>
      </c>
    </row>
    <row r="430" spans="1:26" ht="12.75" customHeight="1" x14ac:dyDescent="0.35">
      <c r="A430">
        <v>429</v>
      </c>
      <c r="B430">
        <v>45886.981331238421</v>
      </c>
      <c r="D430" t="s">
        <v>2343</v>
      </c>
      <c r="E430" t="s">
        <v>1899</v>
      </c>
      <c r="F430" t="s">
        <v>28</v>
      </c>
      <c r="G430" t="s">
        <v>44</v>
      </c>
      <c r="H430" t="s">
        <v>157</v>
      </c>
      <c r="I430" t="s">
        <v>103</v>
      </c>
      <c r="J430" t="s">
        <v>103</v>
      </c>
      <c r="K430" t="s">
        <v>28</v>
      </c>
      <c r="L430" t="s">
        <v>46</v>
      </c>
      <c r="N430" t="s">
        <v>2338</v>
      </c>
      <c r="O430" t="s">
        <v>48</v>
      </c>
      <c r="P430" t="s">
        <v>49</v>
      </c>
      <c r="Q430" t="s">
        <v>49</v>
      </c>
      <c r="R430" t="s">
        <v>2265</v>
      </c>
      <c r="S430" t="s">
        <v>48</v>
      </c>
      <c r="T430" t="s">
        <v>2237</v>
      </c>
      <c r="U430" t="s">
        <v>2238</v>
      </c>
      <c r="V430" t="s">
        <v>53</v>
      </c>
      <c r="W430" t="s">
        <v>2344</v>
      </c>
      <c r="X430" t="s">
        <v>118</v>
      </c>
      <c r="Y430" t="s">
        <v>2345</v>
      </c>
      <c r="Z430" t="s">
        <v>91</v>
      </c>
    </row>
    <row r="431" spans="1:26" ht="12.75" customHeight="1" x14ac:dyDescent="0.35">
      <c r="A431">
        <v>430</v>
      </c>
      <c r="B431">
        <v>45886.983764710647</v>
      </c>
      <c r="D431" t="s">
        <v>2346</v>
      </c>
      <c r="E431" t="s">
        <v>1875</v>
      </c>
      <c r="F431" t="s">
        <v>28</v>
      </c>
      <c r="G431" t="s">
        <v>33</v>
      </c>
      <c r="H431" t="s">
        <v>157</v>
      </c>
      <c r="I431" t="s">
        <v>30</v>
      </c>
      <c r="J431" t="s">
        <v>28</v>
      </c>
      <c r="K431" t="s">
        <v>368</v>
      </c>
      <c r="L431" t="s">
        <v>36</v>
      </c>
      <c r="N431" t="s">
        <v>2110</v>
      </c>
      <c r="O431" t="s">
        <v>49</v>
      </c>
      <c r="P431" t="s">
        <v>38</v>
      </c>
      <c r="Q431" t="s">
        <v>49</v>
      </c>
      <c r="R431" t="s">
        <v>2347</v>
      </c>
      <c r="S431" t="s">
        <v>48</v>
      </c>
      <c r="T431" t="s">
        <v>2348</v>
      </c>
      <c r="U431" t="s">
        <v>2349</v>
      </c>
      <c r="V431" t="s">
        <v>53</v>
      </c>
      <c r="W431" t="s">
        <v>2350</v>
      </c>
      <c r="X431" t="s">
        <v>2077</v>
      </c>
      <c r="Y431" t="s">
        <v>2351</v>
      </c>
      <c r="Z431" t="s">
        <v>91</v>
      </c>
    </row>
    <row r="432" spans="1:26" ht="12.75" customHeight="1" x14ac:dyDescent="0.35">
      <c r="A432">
        <v>431</v>
      </c>
      <c r="B432">
        <v>45886.987911886579</v>
      </c>
      <c r="D432" t="s">
        <v>2352</v>
      </c>
      <c r="E432" t="s">
        <v>1899</v>
      </c>
      <c r="F432" t="s">
        <v>28</v>
      </c>
      <c r="G432" t="s">
        <v>44</v>
      </c>
      <c r="H432" t="s">
        <v>28</v>
      </c>
      <c r="I432" t="s">
        <v>173</v>
      </c>
      <c r="J432" t="s">
        <v>103</v>
      </c>
      <c r="K432" t="s">
        <v>35</v>
      </c>
      <c r="L432" t="s">
        <v>46</v>
      </c>
      <c r="N432" t="s">
        <v>2338</v>
      </c>
      <c r="O432" t="s">
        <v>48</v>
      </c>
      <c r="P432" t="s">
        <v>48</v>
      </c>
      <c r="Q432" t="s">
        <v>48</v>
      </c>
      <c r="R432" t="s">
        <v>2277</v>
      </c>
      <c r="S432" t="s">
        <v>48</v>
      </c>
      <c r="T432" t="s">
        <v>2237</v>
      </c>
      <c r="U432" t="s">
        <v>2238</v>
      </c>
      <c r="V432" t="s">
        <v>53</v>
      </c>
      <c r="W432" t="s">
        <v>2353</v>
      </c>
      <c r="X432" t="s">
        <v>118</v>
      </c>
      <c r="Y432" t="s">
        <v>2354</v>
      </c>
      <c r="Z432" t="s">
        <v>91</v>
      </c>
    </row>
    <row r="433" spans="1:26" ht="12.75" customHeight="1" x14ac:dyDescent="0.35">
      <c r="A433">
        <v>432</v>
      </c>
      <c r="B433">
        <v>45887.079689687496</v>
      </c>
      <c r="D433" t="s">
        <v>2355</v>
      </c>
      <c r="E433" t="s">
        <v>32</v>
      </c>
      <c r="F433" t="s">
        <v>28</v>
      </c>
      <c r="G433" t="s">
        <v>33</v>
      </c>
      <c r="H433" t="s">
        <v>60</v>
      </c>
      <c r="I433" t="s">
        <v>158</v>
      </c>
      <c r="J433" t="s">
        <v>103</v>
      </c>
      <c r="K433" t="s">
        <v>368</v>
      </c>
      <c r="L433" t="s">
        <v>46</v>
      </c>
      <c r="N433" t="s">
        <v>2356</v>
      </c>
      <c r="O433" t="s">
        <v>39</v>
      </c>
      <c r="P433" t="s">
        <v>49</v>
      </c>
      <c r="Q433" t="s">
        <v>48</v>
      </c>
      <c r="R433" t="s">
        <v>2357</v>
      </c>
      <c r="S433" t="s">
        <v>40</v>
      </c>
      <c r="T433" t="s">
        <v>2358</v>
      </c>
      <c r="U433" t="s">
        <v>134</v>
      </c>
      <c r="V433" t="s">
        <v>53</v>
      </c>
      <c r="W433" t="s">
        <v>2359</v>
      </c>
      <c r="X433" t="s">
        <v>1030</v>
      </c>
      <c r="Y433" t="s">
        <v>2360</v>
      </c>
      <c r="Z433" t="s">
        <v>91</v>
      </c>
    </row>
    <row r="434" spans="1:26" ht="12.75" customHeight="1" x14ac:dyDescent="0.35">
      <c r="A434">
        <v>433</v>
      </c>
      <c r="B434">
        <v>45887.088403159723</v>
      </c>
      <c r="D434" t="s">
        <v>2361</v>
      </c>
      <c r="E434" t="s">
        <v>32</v>
      </c>
      <c r="F434" t="s">
        <v>29</v>
      </c>
      <c r="G434" t="s">
        <v>158</v>
      </c>
      <c r="H434" t="s">
        <v>73</v>
      </c>
      <c r="I434" t="s">
        <v>72</v>
      </c>
      <c r="J434" t="s">
        <v>73</v>
      </c>
      <c r="K434" t="s">
        <v>74</v>
      </c>
      <c r="L434" t="s">
        <v>36</v>
      </c>
      <c r="N434" t="s">
        <v>2362</v>
      </c>
      <c r="O434" t="s">
        <v>38</v>
      </c>
      <c r="P434" t="s">
        <v>48</v>
      </c>
      <c r="Q434" t="s">
        <v>48</v>
      </c>
      <c r="R434" t="s">
        <v>2363</v>
      </c>
      <c r="S434" t="s">
        <v>48</v>
      </c>
      <c r="T434" t="s">
        <v>2364</v>
      </c>
      <c r="U434" t="s">
        <v>2365</v>
      </c>
      <c r="V434" t="s">
        <v>53</v>
      </c>
      <c r="W434" t="s">
        <v>2366</v>
      </c>
      <c r="X434" t="s">
        <v>1030</v>
      </c>
      <c r="Y434" t="s">
        <v>2367</v>
      </c>
      <c r="Z434" t="s">
        <v>129</v>
      </c>
    </row>
    <row r="435" spans="1:26" ht="12.75" customHeight="1" x14ac:dyDescent="0.35">
      <c r="A435">
        <v>434</v>
      </c>
      <c r="B435">
        <v>45887.094210555559</v>
      </c>
      <c r="D435" t="s">
        <v>2368</v>
      </c>
      <c r="E435" t="s">
        <v>493</v>
      </c>
      <c r="F435" t="s">
        <v>60</v>
      </c>
      <c r="G435" t="s">
        <v>196</v>
      </c>
      <c r="H435" t="s">
        <v>206</v>
      </c>
      <c r="I435" t="s">
        <v>196</v>
      </c>
      <c r="J435" t="s">
        <v>73</v>
      </c>
      <c r="K435" t="s">
        <v>28</v>
      </c>
      <c r="L435" t="s">
        <v>36</v>
      </c>
      <c r="N435" t="s">
        <v>2369</v>
      </c>
      <c r="O435" t="s">
        <v>38</v>
      </c>
      <c r="P435" t="s">
        <v>48</v>
      </c>
      <c r="Q435" t="s">
        <v>48</v>
      </c>
      <c r="R435" t="s">
        <v>2370</v>
      </c>
      <c r="S435" t="s">
        <v>48</v>
      </c>
      <c r="T435" t="s">
        <v>2371</v>
      </c>
      <c r="U435" t="s">
        <v>134</v>
      </c>
      <c r="V435" t="s">
        <v>53</v>
      </c>
      <c r="W435" t="s">
        <v>2372</v>
      </c>
      <c r="X435" t="s">
        <v>1030</v>
      </c>
      <c r="Y435" t="s">
        <v>2373</v>
      </c>
      <c r="Z435" t="s">
        <v>91</v>
      </c>
    </row>
    <row r="436" spans="1:26" ht="12.75" customHeight="1" x14ac:dyDescent="0.35">
      <c r="A436">
        <v>435</v>
      </c>
      <c r="B436">
        <v>45887.101748275461</v>
      </c>
      <c r="D436" t="s">
        <v>2374</v>
      </c>
      <c r="E436" t="s">
        <v>493</v>
      </c>
      <c r="F436" t="s">
        <v>29</v>
      </c>
      <c r="G436" t="s">
        <v>60</v>
      </c>
      <c r="H436" t="s">
        <v>206</v>
      </c>
      <c r="I436" t="s">
        <v>72</v>
      </c>
      <c r="J436" t="s">
        <v>173</v>
      </c>
      <c r="K436" t="s">
        <v>73</v>
      </c>
      <c r="L436" t="s">
        <v>46</v>
      </c>
      <c r="N436" t="s">
        <v>2369</v>
      </c>
      <c r="O436" t="s">
        <v>38</v>
      </c>
      <c r="P436" t="s">
        <v>38</v>
      </c>
      <c r="Q436" t="s">
        <v>49</v>
      </c>
      <c r="R436" t="s">
        <v>2375</v>
      </c>
      <c r="S436" t="s">
        <v>49</v>
      </c>
      <c r="T436" t="s">
        <v>134</v>
      </c>
      <c r="U436" t="s">
        <v>134</v>
      </c>
      <c r="V436" t="s">
        <v>53</v>
      </c>
      <c r="W436" t="s">
        <v>2376</v>
      </c>
      <c r="X436" t="s">
        <v>1030</v>
      </c>
      <c r="Y436" t="s">
        <v>2377</v>
      </c>
      <c r="Z436" t="s">
        <v>91</v>
      </c>
    </row>
    <row r="437" spans="1:26" ht="12.75" customHeight="1" x14ac:dyDescent="0.35">
      <c r="A437">
        <v>436</v>
      </c>
      <c r="B437">
        <v>45887.110280173612</v>
      </c>
      <c r="D437" t="s">
        <v>2378</v>
      </c>
      <c r="E437" t="s">
        <v>493</v>
      </c>
      <c r="F437" t="s">
        <v>71</v>
      </c>
      <c r="G437" t="s">
        <v>197</v>
      </c>
      <c r="H437" t="s">
        <v>44</v>
      </c>
      <c r="I437" t="s">
        <v>158</v>
      </c>
      <c r="J437" t="s">
        <v>28</v>
      </c>
      <c r="K437" t="s">
        <v>45</v>
      </c>
      <c r="L437" t="s">
        <v>46</v>
      </c>
      <c r="N437" t="s">
        <v>2379</v>
      </c>
      <c r="O437" t="s">
        <v>40</v>
      </c>
      <c r="P437" t="s">
        <v>48</v>
      </c>
      <c r="Q437" t="s">
        <v>48</v>
      </c>
      <c r="R437" t="s">
        <v>2380</v>
      </c>
      <c r="S437" t="s">
        <v>48</v>
      </c>
      <c r="U437" t="s">
        <v>2381</v>
      </c>
      <c r="V437" t="s">
        <v>53</v>
      </c>
      <c r="W437" t="s">
        <v>2382</v>
      </c>
      <c r="X437" t="s">
        <v>1030</v>
      </c>
      <c r="Y437" t="s">
        <v>2383</v>
      </c>
      <c r="Z437" t="s">
        <v>129</v>
      </c>
    </row>
    <row r="438" spans="1:26" ht="12.75" customHeight="1" x14ac:dyDescent="0.35">
      <c r="A438">
        <v>437</v>
      </c>
      <c r="B438">
        <v>45887.117225219903</v>
      </c>
      <c r="D438" t="s">
        <v>2384</v>
      </c>
      <c r="E438" t="s">
        <v>2119</v>
      </c>
      <c r="F438" t="s">
        <v>60</v>
      </c>
      <c r="G438" t="s">
        <v>72</v>
      </c>
      <c r="H438" t="s">
        <v>29</v>
      </c>
      <c r="I438" t="s">
        <v>196</v>
      </c>
      <c r="J438" t="s">
        <v>34</v>
      </c>
      <c r="K438" t="s">
        <v>94</v>
      </c>
      <c r="L438" t="s">
        <v>46</v>
      </c>
      <c r="N438" t="s">
        <v>2385</v>
      </c>
      <c r="O438" t="s">
        <v>40</v>
      </c>
      <c r="P438" t="s">
        <v>38</v>
      </c>
      <c r="Q438" t="s">
        <v>48</v>
      </c>
      <c r="R438" t="s">
        <v>2386</v>
      </c>
      <c r="S438" t="s">
        <v>48</v>
      </c>
      <c r="T438" t="s">
        <v>2387</v>
      </c>
      <c r="U438" t="s">
        <v>134</v>
      </c>
      <c r="V438" t="s">
        <v>53</v>
      </c>
      <c r="W438" t="s">
        <v>2388</v>
      </c>
      <c r="X438" t="s">
        <v>1030</v>
      </c>
      <c r="Y438" t="s">
        <v>2389</v>
      </c>
      <c r="Z438" t="s">
        <v>170</v>
      </c>
    </row>
    <row r="439" spans="1:26" ht="12.75" customHeight="1" x14ac:dyDescent="0.35">
      <c r="A439">
        <v>438</v>
      </c>
      <c r="B439">
        <v>45887.125240358801</v>
      </c>
      <c r="D439" t="s">
        <v>2390</v>
      </c>
      <c r="E439" t="s">
        <v>493</v>
      </c>
      <c r="F439" t="s">
        <v>28</v>
      </c>
      <c r="G439" t="s">
        <v>33</v>
      </c>
      <c r="H439" t="s">
        <v>29</v>
      </c>
      <c r="I439" t="s">
        <v>30</v>
      </c>
      <c r="J439" t="s">
        <v>103</v>
      </c>
      <c r="K439" t="s">
        <v>74</v>
      </c>
      <c r="L439" t="s">
        <v>46</v>
      </c>
      <c r="N439" t="s">
        <v>2391</v>
      </c>
      <c r="O439" t="s">
        <v>38</v>
      </c>
      <c r="P439" t="s">
        <v>49</v>
      </c>
      <c r="Q439" t="s">
        <v>49</v>
      </c>
      <c r="R439" t="s">
        <v>2392</v>
      </c>
      <c r="S439" t="s">
        <v>48</v>
      </c>
      <c r="T439" t="s">
        <v>134</v>
      </c>
      <c r="U439" t="s">
        <v>134</v>
      </c>
      <c r="V439" t="s">
        <v>53</v>
      </c>
      <c r="W439" t="s">
        <v>2393</v>
      </c>
      <c r="X439" t="s">
        <v>1030</v>
      </c>
      <c r="Y439" t="s">
        <v>2394</v>
      </c>
      <c r="Z439" t="s">
        <v>170</v>
      </c>
    </row>
    <row r="440" spans="1:26" ht="12.75" customHeight="1" x14ac:dyDescent="0.35">
      <c r="A440">
        <v>439</v>
      </c>
      <c r="B440">
        <v>45887.129653773147</v>
      </c>
      <c r="D440" t="s">
        <v>2395</v>
      </c>
      <c r="E440" t="s">
        <v>32</v>
      </c>
      <c r="F440" t="s">
        <v>344</v>
      </c>
      <c r="G440" t="s">
        <v>196</v>
      </c>
      <c r="H440" t="s">
        <v>206</v>
      </c>
      <c r="I440" t="s">
        <v>196</v>
      </c>
      <c r="J440" t="s">
        <v>28</v>
      </c>
      <c r="K440" t="s">
        <v>94</v>
      </c>
      <c r="L440" t="s">
        <v>46</v>
      </c>
      <c r="N440" t="s">
        <v>2391</v>
      </c>
      <c r="O440" t="s">
        <v>49</v>
      </c>
      <c r="P440" t="s">
        <v>48</v>
      </c>
      <c r="Q440" t="s">
        <v>48</v>
      </c>
      <c r="R440" t="s">
        <v>2396</v>
      </c>
      <c r="S440" t="s">
        <v>48</v>
      </c>
      <c r="T440" t="s">
        <v>134</v>
      </c>
      <c r="U440" t="s">
        <v>134</v>
      </c>
      <c r="V440" t="s">
        <v>53</v>
      </c>
      <c r="W440" t="s">
        <v>2397</v>
      </c>
      <c r="X440" t="s">
        <v>1030</v>
      </c>
      <c r="Y440" t="s">
        <v>2398</v>
      </c>
      <c r="Z440" t="s">
        <v>129</v>
      </c>
    </row>
    <row r="441" spans="1:26" ht="12.75" customHeight="1" x14ac:dyDescent="0.35">
      <c r="A441">
        <v>440</v>
      </c>
      <c r="B441">
        <v>45887.205899594905</v>
      </c>
      <c r="D441" t="s">
        <v>2399</v>
      </c>
      <c r="E441" t="s">
        <v>2400</v>
      </c>
      <c r="F441" t="s">
        <v>60</v>
      </c>
      <c r="G441" t="s">
        <v>29</v>
      </c>
      <c r="H441" t="s">
        <v>28</v>
      </c>
      <c r="I441" t="s">
        <v>196</v>
      </c>
      <c r="J441" t="s">
        <v>45</v>
      </c>
      <c r="K441" t="s">
        <v>28</v>
      </c>
      <c r="L441" t="s">
        <v>46</v>
      </c>
      <c r="N441" t="s">
        <v>2088</v>
      </c>
      <c r="O441" t="s">
        <v>48</v>
      </c>
      <c r="P441" t="s">
        <v>48</v>
      </c>
      <c r="Q441" t="s">
        <v>48</v>
      </c>
      <c r="R441" t="s">
        <v>1951</v>
      </c>
      <c r="S441" t="s">
        <v>48</v>
      </c>
      <c r="T441" t="s">
        <v>1952</v>
      </c>
      <c r="U441" t="s">
        <v>1976</v>
      </c>
      <c r="V441" t="s">
        <v>53</v>
      </c>
      <c r="W441" t="s">
        <v>2401</v>
      </c>
      <c r="X441" t="s">
        <v>2077</v>
      </c>
      <c r="Y441" t="s">
        <v>193</v>
      </c>
      <c r="Z441" t="s">
        <v>91</v>
      </c>
    </row>
    <row r="442" spans="1:26" ht="12.75" customHeight="1" x14ac:dyDescent="0.35">
      <c r="A442">
        <v>441</v>
      </c>
      <c r="B442">
        <v>45887.210973252309</v>
      </c>
      <c r="D442" t="s">
        <v>2402</v>
      </c>
      <c r="E442" t="s">
        <v>1929</v>
      </c>
      <c r="F442" t="s">
        <v>60</v>
      </c>
      <c r="G442" t="s">
        <v>28</v>
      </c>
      <c r="H442" t="s">
        <v>29</v>
      </c>
      <c r="I442" t="s">
        <v>197</v>
      </c>
      <c r="J442" t="s">
        <v>368</v>
      </c>
      <c r="K442" t="s">
        <v>35</v>
      </c>
      <c r="L442" t="s">
        <v>46</v>
      </c>
      <c r="N442" t="s">
        <v>2110</v>
      </c>
      <c r="O442" t="s">
        <v>48</v>
      </c>
      <c r="P442" t="s">
        <v>48</v>
      </c>
      <c r="Q442" t="s">
        <v>48</v>
      </c>
      <c r="R442" t="s">
        <v>1951</v>
      </c>
      <c r="S442" t="s">
        <v>48</v>
      </c>
      <c r="T442" t="s">
        <v>1952</v>
      </c>
      <c r="U442" t="s">
        <v>1976</v>
      </c>
      <c r="V442" t="s">
        <v>53</v>
      </c>
      <c r="W442" t="s">
        <v>2403</v>
      </c>
      <c r="X442" t="s">
        <v>2077</v>
      </c>
      <c r="Y442" t="s">
        <v>193</v>
      </c>
      <c r="Z442" t="s">
        <v>91</v>
      </c>
    </row>
    <row r="443" spans="1:26" ht="12.75" customHeight="1" x14ac:dyDescent="0.35">
      <c r="A443">
        <v>442</v>
      </c>
      <c r="B443">
        <v>45887.215298958334</v>
      </c>
      <c r="D443" t="s">
        <v>2404</v>
      </c>
      <c r="E443" t="s">
        <v>2405</v>
      </c>
      <c r="F443" t="s">
        <v>60</v>
      </c>
      <c r="G443" t="s">
        <v>29</v>
      </c>
      <c r="H443" t="s">
        <v>28</v>
      </c>
      <c r="I443" t="s">
        <v>72</v>
      </c>
      <c r="J443" t="s">
        <v>368</v>
      </c>
      <c r="K443" t="s">
        <v>28</v>
      </c>
      <c r="L443" t="s">
        <v>46</v>
      </c>
      <c r="N443" t="s">
        <v>2110</v>
      </c>
      <c r="O443" t="s">
        <v>48</v>
      </c>
      <c r="P443" t="s">
        <v>48</v>
      </c>
      <c r="Q443" t="s">
        <v>48</v>
      </c>
      <c r="R443" t="s">
        <v>1951</v>
      </c>
      <c r="S443" t="s">
        <v>48</v>
      </c>
      <c r="T443" t="s">
        <v>1952</v>
      </c>
      <c r="U443" t="s">
        <v>1976</v>
      </c>
      <c r="V443" t="s">
        <v>53</v>
      </c>
      <c r="W443" t="s">
        <v>2406</v>
      </c>
      <c r="X443" t="s">
        <v>2077</v>
      </c>
      <c r="Y443" t="s">
        <v>193</v>
      </c>
      <c r="Z443" t="s">
        <v>91</v>
      </c>
    </row>
    <row r="444" spans="1:26" ht="12.75" customHeight="1" x14ac:dyDescent="0.35">
      <c r="A444">
        <v>443</v>
      </c>
      <c r="B444">
        <v>45887.222440324069</v>
      </c>
      <c r="D444" t="s">
        <v>2407</v>
      </c>
      <c r="E444" t="s">
        <v>2405</v>
      </c>
      <c r="F444" t="s">
        <v>29</v>
      </c>
      <c r="G444" t="s">
        <v>60</v>
      </c>
      <c r="H444" t="s">
        <v>60</v>
      </c>
      <c r="I444" t="s">
        <v>28</v>
      </c>
      <c r="J444" t="s">
        <v>368</v>
      </c>
      <c r="K444" t="s">
        <v>94</v>
      </c>
      <c r="L444" t="s">
        <v>36</v>
      </c>
      <c r="N444" t="s">
        <v>2212</v>
      </c>
      <c r="O444" t="s">
        <v>48</v>
      </c>
      <c r="P444" t="s">
        <v>48</v>
      </c>
      <c r="Q444" t="s">
        <v>48</v>
      </c>
      <c r="R444" t="s">
        <v>1951</v>
      </c>
      <c r="S444" t="s">
        <v>48</v>
      </c>
      <c r="T444" t="s">
        <v>1952</v>
      </c>
      <c r="U444" t="s">
        <v>1976</v>
      </c>
      <c r="V444" t="s">
        <v>53</v>
      </c>
      <c r="W444" t="s">
        <v>2408</v>
      </c>
      <c r="X444" t="s">
        <v>2246</v>
      </c>
      <c r="Y444" t="s">
        <v>258</v>
      </c>
      <c r="Z444" t="s">
        <v>91</v>
      </c>
    </row>
    <row r="445" spans="1:26" ht="12.75" customHeight="1" x14ac:dyDescent="0.35">
      <c r="A445">
        <v>444</v>
      </c>
      <c r="B445">
        <v>45887.284665196756</v>
      </c>
      <c r="D445" t="s">
        <v>2263</v>
      </c>
      <c r="E445" t="s">
        <v>2155</v>
      </c>
      <c r="F445" t="s">
        <v>28</v>
      </c>
      <c r="G445" t="s">
        <v>196</v>
      </c>
      <c r="H445" t="s">
        <v>28</v>
      </c>
      <c r="I445" t="s">
        <v>196</v>
      </c>
      <c r="J445" t="s">
        <v>28</v>
      </c>
      <c r="K445" t="s">
        <v>35</v>
      </c>
      <c r="L445" t="s">
        <v>36</v>
      </c>
      <c r="N445" t="s">
        <v>2264</v>
      </c>
      <c r="O445" t="s">
        <v>38</v>
      </c>
      <c r="P445" t="s">
        <v>38</v>
      </c>
      <c r="R445" t="s">
        <v>2195</v>
      </c>
      <c r="S445" t="s">
        <v>38</v>
      </c>
      <c r="T445" t="s">
        <v>2186</v>
      </c>
      <c r="U445" t="s">
        <v>2162</v>
      </c>
      <c r="V445" t="s">
        <v>53</v>
      </c>
      <c r="W445" t="s">
        <v>2267</v>
      </c>
      <c r="X445" t="s">
        <v>834</v>
      </c>
      <c r="Y445" t="s">
        <v>2409</v>
      </c>
      <c r="Z445" t="s">
        <v>91</v>
      </c>
    </row>
    <row r="446" spans="1:26" ht="12.75" customHeight="1" x14ac:dyDescent="0.35">
      <c r="A446">
        <v>445</v>
      </c>
      <c r="B446">
        <v>45887.29636685185</v>
      </c>
      <c r="D446" t="s">
        <v>2410</v>
      </c>
      <c r="E446" t="s">
        <v>2155</v>
      </c>
      <c r="F446" t="s">
        <v>28</v>
      </c>
      <c r="G446" t="s">
        <v>28</v>
      </c>
      <c r="H446" t="s">
        <v>28</v>
      </c>
      <c r="I446" t="s">
        <v>28</v>
      </c>
      <c r="J446" t="s">
        <v>28</v>
      </c>
      <c r="K446" t="s">
        <v>28</v>
      </c>
      <c r="L446" t="s">
        <v>46</v>
      </c>
      <c r="N446" t="s">
        <v>2276</v>
      </c>
      <c r="O446" t="s">
        <v>38</v>
      </c>
      <c r="P446" t="s">
        <v>38</v>
      </c>
      <c r="R446" t="s">
        <v>2195</v>
      </c>
      <c r="S446" t="s">
        <v>38</v>
      </c>
      <c r="T446" t="s">
        <v>2411</v>
      </c>
      <c r="U446" t="s">
        <v>2195</v>
      </c>
      <c r="V446" t="s">
        <v>53</v>
      </c>
      <c r="W446" t="s">
        <v>2412</v>
      </c>
      <c r="X446" t="s">
        <v>118</v>
      </c>
      <c r="Y446" t="s">
        <v>2413</v>
      </c>
      <c r="Z446" t="s">
        <v>91</v>
      </c>
    </row>
    <row r="447" spans="1:26" ht="12.75" customHeight="1" x14ac:dyDescent="0.35">
      <c r="A447">
        <v>446</v>
      </c>
      <c r="B447">
        <v>45887.318917511569</v>
      </c>
      <c r="D447" t="s">
        <v>2414</v>
      </c>
      <c r="E447" t="s">
        <v>2405</v>
      </c>
      <c r="F447" t="s">
        <v>60</v>
      </c>
      <c r="G447" t="s">
        <v>28</v>
      </c>
      <c r="H447" t="s">
        <v>284</v>
      </c>
      <c r="I447" t="s">
        <v>196</v>
      </c>
      <c r="J447" t="s">
        <v>173</v>
      </c>
      <c r="K447" t="s">
        <v>28</v>
      </c>
      <c r="L447" t="s">
        <v>46</v>
      </c>
      <c r="N447" t="s">
        <v>2212</v>
      </c>
      <c r="O447" t="s">
        <v>48</v>
      </c>
      <c r="P447" t="s">
        <v>48</v>
      </c>
      <c r="Q447" t="s">
        <v>48</v>
      </c>
      <c r="R447" t="s">
        <v>1951</v>
      </c>
      <c r="S447" t="s">
        <v>48</v>
      </c>
      <c r="T447" t="s">
        <v>1952</v>
      </c>
      <c r="U447" t="s">
        <v>1976</v>
      </c>
      <c r="V447" t="s">
        <v>53</v>
      </c>
      <c r="W447" t="s">
        <v>2415</v>
      </c>
      <c r="X447" t="s">
        <v>2246</v>
      </c>
      <c r="Y447" t="s">
        <v>2377</v>
      </c>
      <c r="Z447" t="s">
        <v>91</v>
      </c>
    </row>
    <row r="448" spans="1:26" ht="12.75" customHeight="1" x14ac:dyDescent="0.35">
      <c r="A448">
        <v>447</v>
      </c>
      <c r="B448">
        <v>45887.329136666667</v>
      </c>
      <c r="D448" t="s">
        <v>2416</v>
      </c>
      <c r="E448" t="s">
        <v>1960</v>
      </c>
      <c r="F448" t="s">
        <v>44</v>
      </c>
      <c r="G448" t="s">
        <v>44</v>
      </c>
      <c r="H448" t="s">
        <v>44</v>
      </c>
      <c r="I448" t="s">
        <v>103</v>
      </c>
      <c r="J448" t="s">
        <v>103</v>
      </c>
      <c r="K448" t="s">
        <v>28</v>
      </c>
      <c r="L448" t="s">
        <v>36</v>
      </c>
      <c r="N448" t="s">
        <v>2132</v>
      </c>
      <c r="O448" t="s">
        <v>48</v>
      </c>
      <c r="P448" t="s">
        <v>48</v>
      </c>
      <c r="Q448" t="s">
        <v>38</v>
      </c>
      <c r="R448" t="s">
        <v>1885</v>
      </c>
      <c r="S448" t="s">
        <v>38</v>
      </c>
      <c r="T448" t="s">
        <v>1962</v>
      </c>
      <c r="U448" t="s">
        <v>1887</v>
      </c>
      <c r="V448" t="s">
        <v>79</v>
      </c>
      <c r="W448" t="s">
        <v>2417</v>
      </c>
      <c r="X448" t="s">
        <v>2132</v>
      </c>
      <c r="Y448" t="s">
        <v>2227</v>
      </c>
      <c r="Z448" t="s">
        <v>91</v>
      </c>
    </row>
    <row r="449" spans="1:26" ht="12.75" customHeight="1" x14ac:dyDescent="0.35">
      <c r="A449">
        <v>448</v>
      </c>
      <c r="B449">
        <v>45887.33424167824</v>
      </c>
      <c r="D449" t="s">
        <v>2418</v>
      </c>
      <c r="E449" t="s">
        <v>2405</v>
      </c>
      <c r="F449" t="s">
        <v>60</v>
      </c>
      <c r="G449" t="s">
        <v>28</v>
      </c>
      <c r="H449" t="s">
        <v>60</v>
      </c>
      <c r="I449" t="s">
        <v>158</v>
      </c>
      <c r="J449" t="s">
        <v>368</v>
      </c>
      <c r="K449" t="s">
        <v>28</v>
      </c>
      <c r="L449" t="s">
        <v>46</v>
      </c>
      <c r="N449" t="s">
        <v>2212</v>
      </c>
      <c r="O449" t="s">
        <v>48</v>
      </c>
      <c r="P449" t="s">
        <v>48</v>
      </c>
      <c r="Q449" t="s">
        <v>48</v>
      </c>
      <c r="R449" t="s">
        <v>1951</v>
      </c>
      <c r="S449" t="s">
        <v>48</v>
      </c>
      <c r="T449" t="s">
        <v>1952</v>
      </c>
      <c r="U449" t="s">
        <v>1976</v>
      </c>
      <c r="V449" t="s">
        <v>53</v>
      </c>
      <c r="W449" t="s">
        <v>2419</v>
      </c>
      <c r="X449" t="s">
        <v>2246</v>
      </c>
      <c r="Y449" t="s">
        <v>2420</v>
      </c>
      <c r="Z449" t="s">
        <v>91</v>
      </c>
    </row>
    <row r="450" spans="1:26" ht="12.75" customHeight="1" x14ac:dyDescent="0.35">
      <c r="A450">
        <v>449</v>
      </c>
      <c r="B450">
        <v>45887.336652372687</v>
      </c>
      <c r="D450" t="s">
        <v>2421</v>
      </c>
      <c r="E450" t="s">
        <v>1960</v>
      </c>
      <c r="F450" t="s">
        <v>44</v>
      </c>
      <c r="G450" t="s">
        <v>60</v>
      </c>
      <c r="H450" t="s">
        <v>60</v>
      </c>
      <c r="I450" t="s">
        <v>103</v>
      </c>
      <c r="J450" t="s">
        <v>28</v>
      </c>
      <c r="K450" t="s">
        <v>45</v>
      </c>
      <c r="L450" t="s">
        <v>46</v>
      </c>
      <c r="N450" t="s">
        <v>2132</v>
      </c>
      <c r="O450" t="s">
        <v>48</v>
      </c>
      <c r="P450" t="s">
        <v>48</v>
      </c>
      <c r="Q450" t="s">
        <v>38</v>
      </c>
      <c r="R450" t="s">
        <v>1885</v>
      </c>
      <c r="S450" t="s">
        <v>38</v>
      </c>
      <c r="T450" t="s">
        <v>1962</v>
      </c>
      <c r="U450" t="s">
        <v>1887</v>
      </c>
      <c r="V450" t="s">
        <v>53</v>
      </c>
      <c r="W450" t="s">
        <v>2422</v>
      </c>
      <c r="X450" t="s">
        <v>2132</v>
      </c>
      <c r="Y450" t="s">
        <v>2013</v>
      </c>
      <c r="Z450" t="s">
        <v>91</v>
      </c>
    </row>
    <row r="451" spans="1:26" ht="12.75" customHeight="1" x14ac:dyDescent="0.35">
      <c r="A451">
        <v>450</v>
      </c>
      <c r="B451">
        <v>45887.337699814816</v>
      </c>
      <c r="D451" t="s">
        <v>2423</v>
      </c>
      <c r="E451" t="s">
        <v>2405</v>
      </c>
      <c r="F451" t="s">
        <v>60</v>
      </c>
      <c r="G451" t="s">
        <v>28</v>
      </c>
      <c r="H451" t="s">
        <v>284</v>
      </c>
      <c r="I451" t="s">
        <v>197</v>
      </c>
      <c r="J451" t="s">
        <v>28</v>
      </c>
      <c r="K451" t="s">
        <v>292</v>
      </c>
      <c r="L451" t="s">
        <v>36</v>
      </c>
      <c r="N451" t="s">
        <v>2235</v>
      </c>
      <c r="O451" t="s">
        <v>48</v>
      </c>
      <c r="P451" t="s">
        <v>48</v>
      </c>
      <c r="Q451" t="s">
        <v>48</v>
      </c>
      <c r="R451" t="s">
        <v>1951</v>
      </c>
      <c r="S451" t="s">
        <v>48</v>
      </c>
      <c r="T451" t="s">
        <v>1952</v>
      </c>
      <c r="U451" t="s">
        <v>1976</v>
      </c>
      <c r="V451" t="s">
        <v>53</v>
      </c>
      <c r="W451" t="s">
        <v>2424</v>
      </c>
      <c r="X451" t="s">
        <v>2246</v>
      </c>
      <c r="Y451" t="s">
        <v>2425</v>
      </c>
      <c r="Z451" t="s">
        <v>91</v>
      </c>
    </row>
    <row r="452" spans="1:26" ht="12.75" customHeight="1" x14ac:dyDescent="0.35">
      <c r="A452">
        <v>451</v>
      </c>
      <c r="B452">
        <v>45887.338441435189</v>
      </c>
      <c r="D452" t="s">
        <v>2426</v>
      </c>
      <c r="E452" t="s">
        <v>1929</v>
      </c>
      <c r="F452" t="s">
        <v>28</v>
      </c>
      <c r="G452" t="s">
        <v>28</v>
      </c>
      <c r="H452" t="s">
        <v>28</v>
      </c>
      <c r="I452" t="s">
        <v>28</v>
      </c>
      <c r="J452" t="s">
        <v>28</v>
      </c>
      <c r="K452" t="s">
        <v>28</v>
      </c>
      <c r="L452" t="s">
        <v>46</v>
      </c>
      <c r="N452" t="s">
        <v>2427</v>
      </c>
      <c r="O452" t="s">
        <v>48</v>
      </c>
      <c r="P452" t="s">
        <v>48</v>
      </c>
      <c r="Q452" t="s">
        <v>48</v>
      </c>
      <c r="R452" t="s">
        <v>1951</v>
      </c>
      <c r="S452" t="s">
        <v>48</v>
      </c>
      <c r="T452" t="s">
        <v>1952</v>
      </c>
      <c r="U452" t="s">
        <v>1976</v>
      </c>
      <c r="V452" t="s">
        <v>53</v>
      </c>
      <c r="W452" t="s">
        <v>2428</v>
      </c>
      <c r="X452" t="s">
        <v>1030</v>
      </c>
      <c r="Y452" t="s">
        <v>2429</v>
      </c>
      <c r="Z452" t="s">
        <v>91</v>
      </c>
    </row>
    <row r="453" spans="1:26" ht="12.75" customHeight="1" x14ac:dyDescent="0.35">
      <c r="A453">
        <v>452</v>
      </c>
      <c r="B453">
        <v>45887.339671400463</v>
      </c>
      <c r="D453" t="s">
        <v>2430</v>
      </c>
      <c r="E453" t="s">
        <v>2431</v>
      </c>
      <c r="F453" t="s">
        <v>28</v>
      </c>
      <c r="G453" t="s">
        <v>28</v>
      </c>
      <c r="H453" t="s">
        <v>44</v>
      </c>
      <c r="I453" t="s">
        <v>103</v>
      </c>
      <c r="J453" t="s">
        <v>103</v>
      </c>
      <c r="K453" t="s">
        <v>28</v>
      </c>
      <c r="L453" t="s">
        <v>46</v>
      </c>
      <c r="N453" t="s">
        <v>2432</v>
      </c>
      <c r="O453" t="s">
        <v>38</v>
      </c>
      <c r="P453" t="s">
        <v>49</v>
      </c>
      <c r="Q453" t="s">
        <v>48</v>
      </c>
      <c r="R453" t="s">
        <v>2313</v>
      </c>
      <c r="S453" t="s">
        <v>49</v>
      </c>
      <c r="T453" t="s">
        <v>2095</v>
      </c>
      <c r="U453" t="s">
        <v>2282</v>
      </c>
      <c r="V453" t="s">
        <v>53</v>
      </c>
      <c r="W453" t="s">
        <v>2433</v>
      </c>
      <c r="X453" t="s">
        <v>2434</v>
      </c>
      <c r="Y453" t="s">
        <v>2435</v>
      </c>
      <c r="Z453" t="s">
        <v>91</v>
      </c>
    </row>
    <row r="454" spans="1:26" ht="12.75" customHeight="1" x14ac:dyDescent="0.35">
      <c r="A454">
        <v>453</v>
      </c>
      <c r="B454">
        <v>45887.342277268515</v>
      </c>
      <c r="D454" t="s">
        <v>2436</v>
      </c>
      <c r="E454" t="s">
        <v>1960</v>
      </c>
      <c r="F454" t="s">
        <v>60</v>
      </c>
      <c r="G454" t="s">
        <v>60</v>
      </c>
      <c r="H454" t="s">
        <v>60</v>
      </c>
      <c r="I454" t="s">
        <v>173</v>
      </c>
      <c r="J454" t="s">
        <v>28</v>
      </c>
      <c r="K454" t="s">
        <v>368</v>
      </c>
      <c r="L454" t="s">
        <v>46</v>
      </c>
      <c r="N454" t="s">
        <v>1424</v>
      </c>
      <c r="O454" t="s">
        <v>48</v>
      </c>
      <c r="P454" t="s">
        <v>48</v>
      </c>
      <c r="Q454" t="s">
        <v>49</v>
      </c>
      <c r="R454" t="s">
        <v>1885</v>
      </c>
      <c r="S454" t="s">
        <v>38</v>
      </c>
      <c r="T454" t="s">
        <v>2011</v>
      </c>
      <c r="U454" t="s">
        <v>1887</v>
      </c>
      <c r="V454" t="s">
        <v>53</v>
      </c>
      <c r="W454" t="s">
        <v>2437</v>
      </c>
      <c r="X454" t="s">
        <v>2215</v>
      </c>
      <c r="Y454" t="s">
        <v>2438</v>
      </c>
      <c r="Z454" t="s">
        <v>91</v>
      </c>
    </row>
    <row r="455" spans="1:26" ht="12.75" customHeight="1" x14ac:dyDescent="0.35">
      <c r="A455">
        <v>454</v>
      </c>
      <c r="B455">
        <v>45887.344872638889</v>
      </c>
      <c r="D455" t="s">
        <v>2439</v>
      </c>
      <c r="E455" t="s">
        <v>2405</v>
      </c>
      <c r="F455" t="s">
        <v>29</v>
      </c>
      <c r="G455" t="s">
        <v>60</v>
      </c>
      <c r="H455" t="s">
        <v>206</v>
      </c>
      <c r="I455" t="s">
        <v>28</v>
      </c>
      <c r="J455" t="s">
        <v>368</v>
      </c>
      <c r="K455" t="s">
        <v>28</v>
      </c>
      <c r="L455" t="s">
        <v>46</v>
      </c>
      <c r="N455" t="s">
        <v>2235</v>
      </c>
      <c r="O455" t="s">
        <v>48</v>
      </c>
      <c r="P455" t="s">
        <v>48</v>
      </c>
      <c r="Q455" t="s">
        <v>48</v>
      </c>
      <c r="R455" t="s">
        <v>1951</v>
      </c>
      <c r="S455" t="s">
        <v>48</v>
      </c>
      <c r="T455" t="s">
        <v>1952</v>
      </c>
      <c r="U455" t="s">
        <v>1976</v>
      </c>
      <c r="V455" t="s">
        <v>53</v>
      </c>
      <c r="W455" t="s">
        <v>2440</v>
      </c>
      <c r="X455" t="s">
        <v>2246</v>
      </c>
      <c r="Y455" t="s">
        <v>2441</v>
      </c>
      <c r="Z455" t="s">
        <v>91</v>
      </c>
    </row>
    <row r="456" spans="1:26" ht="12.75" customHeight="1" x14ac:dyDescent="0.35">
      <c r="A456">
        <v>455</v>
      </c>
      <c r="B456">
        <v>45887.347557546294</v>
      </c>
      <c r="D456" t="s">
        <v>2442</v>
      </c>
      <c r="E456" t="s">
        <v>2443</v>
      </c>
      <c r="F456" t="s">
        <v>28</v>
      </c>
      <c r="G456" t="s">
        <v>44</v>
      </c>
      <c r="H456" t="s">
        <v>28</v>
      </c>
      <c r="I456" t="s">
        <v>103</v>
      </c>
      <c r="J456" t="s">
        <v>28</v>
      </c>
      <c r="K456" t="s">
        <v>45</v>
      </c>
      <c r="L456" t="s">
        <v>46</v>
      </c>
      <c r="N456" t="s">
        <v>2432</v>
      </c>
      <c r="O456" t="s">
        <v>38</v>
      </c>
      <c r="P456" t="s">
        <v>49</v>
      </c>
      <c r="Q456" t="s">
        <v>49</v>
      </c>
      <c r="R456" t="s">
        <v>2313</v>
      </c>
      <c r="S456" t="s">
        <v>49</v>
      </c>
      <c r="T456" t="s">
        <v>2095</v>
      </c>
      <c r="U456" t="s">
        <v>2282</v>
      </c>
      <c r="V456" t="s">
        <v>53</v>
      </c>
      <c r="W456" t="s">
        <v>2444</v>
      </c>
      <c r="X456" t="s">
        <v>2434</v>
      </c>
      <c r="Y456" t="s">
        <v>2445</v>
      </c>
      <c r="Z456" t="s">
        <v>91</v>
      </c>
    </row>
    <row r="457" spans="1:26" ht="12.75" customHeight="1" x14ac:dyDescent="0.35">
      <c r="A457">
        <v>456</v>
      </c>
      <c r="B457">
        <v>45887.347613668986</v>
      </c>
      <c r="D457" t="s">
        <v>2446</v>
      </c>
      <c r="E457" t="s">
        <v>1960</v>
      </c>
      <c r="F457" t="s">
        <v>60</v>
      </c>
      <c r="G457" t="s">
        <v>60</v>
      </c>
      <c r="H457" t="s">
        <v>60</v>
      </c>
      <c r="I457" t="s">
        <v>173</v>
      </c>
      <c r="J457" t="s">
        <v>28</v>
      </c>
      <c r="K457" t="s">
        <v>45</v>
      </c>
      <c r="L457" t="s">
        <v>36</v>
      </c>
      <c r="N457" t="s">
        <v>2447</v>
      </c>
      <c r="O457" t="s">
        <v>48</v>
      </c>
      <c r="P457" t="s">
        <v>48</v>
      </c>
      <c r="Q457" t="s">
        <v>49</v>
      </c>
      <c r="R457" t="s">
        <v>1885</v>
      </c>
      <c r="S457" t="s">
        <v>38</v>
      </c>
      <c r="T457" t="s">
        <v>2011</v>
      </c>
      <c r="U457" t="s">
        <v>1887</v>
      </c>
      <c r="V457" t="s">
        <v>65</v>
      </c>
      <c r="W457" t="s">
        <v>2448</v>
      </c>
      <c r="X457" t="s">
        <v>2215</v>
      </c>
      <c r="Y457" t="s">
        <v>2449</v>
      </c>
      <c r="Z457" t="s">
        <v>91</v>
      </c>
    </row>
    <row r="458" spans="1:26" ht="12.75" customHeight="1" x14ac:dyDescent="0.35">
      <c r="A458">
        <v>457</v>
      </c>
      <c r="B458">
        <v>45887.34853938657</v>
      </c>
      <c r="D458" t="s">
        <v>2450</v>
      </c>
      <c r="E458" t="s">
        <v>2155</v>
      </c>
      <c r="F458" t="s">
        <v>28</v>
      </c>
      <c r="G458" t="s">
        <v>28</v>
      </c>
      <c r="H458" t="s">
        <v>28</v>
      </c>
      <c r="I458" t="s">
        <v>28</v>
      </c>
      <c r="J458" t="s">
        <v>28</v>
      </c>
      <c r="K458" t="s">
        <v>28</v>
      </c>
      <c r="L458" t="s">
        <v>46</v>
      </c>
      <c r="N458" t="s">
        <v>2276</v>
      </c>
      <c r="O458" t="s">
        <v>38</v>
      </c>
      <c r="P458" t="s">
        <v>49</v>
      </c>
      <c r="Q458" t="s">
        <v>49</v>
      </c>
      <c r="R458" t="s">
        <v>2195</v>
      </c>
      <c r="S458" t="s">
        <v>38</v>
      </c>
      <c r="T458" t="s">
        <v>2186</v>
      </c>
      <c r="U458" t="s">
        <v>2451</v>
      </c>
      <c r="V458" t="s">
        <v>53</v>
      </c>
      <c r="W458" t="s">
        <v>2452</v>
      </c>
      <c r="X458" t="s">
        <v>118</v>
      </c>
      <c r="Y458" t="s">
        <v>2453</v>
      </c>
      <c r="Z458" t="s">
        <v>91</v>
      </c>
    </row>
    <row r="459" spans="1:26" ht="12.75" customHeight="1" x14ac:dyDescent="0.35">
      <c r="A459">
        <v>458</v>
      </c>
      <c r="B459">
        <v>45887.350666527782</v>
      </c>
      <c r="D459" t="s">
        <v>2454</v>
      </c>
      <c r="E459" t="s">
        <v>1929</v>
      </c>
      <c r="F459" t="s">
        <v>33</v>
      </c>
      <c r="G459" t="s">
        <v>33</v>
      </c>
      <c r="H459" t="s">
        <v>33</v>
      </c>
      <c r="I459" t="s">
        <v>34</v>
      </c>
      <c r="J459" t="s">
        <v>34</v>
      </c>
      <c r="K459" t="s">
        <v>74</v>
      </c>
      <c r="L459" t="s">
        <v>46</v>
      </c>
      <c r="N459" t="s">
        <v>2369</v>
      </c>
      <c r="O459" t="s">
        <v>48</v>
      </c>
      <c r="Q459" t="s">
        <v>49</v>
      </c>
      <c r="R459" t="s">
        <v>1951</v>
      </c>
      <c r="S459" t="s">
        <v>49</v>
      </c>
      <c r="T459" t="s">
        <v>1952</v>
      </c>
      <c r="U459" t="s">
        <v>1976</v>
      </c>
      <c r="V459" t="s">
        <v>53</v>
      </c>
      <c r="W459" t="s">
        <v>2455</v>
      </c>
      <c r="X459" t="s">
        <v>1030</v>
      </c>
      <c r="Y459" t="s">
        <v>2456</v>
      </c>
      <c r="Z459" t="s">
        <v>91</v>
      </c>
    </row>
    <row r="460" spans="1:26" ht="12.75" customHeight="1" x14ac:dyDescent="0.35">
      <c r="A460">
        <v>459</v>
      </c>
      <c r="B460">
        <v>45887.353831655091</v>
      </c>
      <c r="D460" t="s">
        <v>2457</v>
      </c>
      <c r="E460" t="s">
        <v>1960</v>
      </c>
      <c r="F460" t="s">
        <v>44</v>
      </c>
      <c r="G460" t="s">
        <v>44</v>
      </c>
      <c r="H460" t="s">
        <v>60</v>
      </c>
      <c r="I460" t="s">
        <v>173</v>
      </c>
      <c r="J460" t="s">
        <v>103</v>
      </c>
      <c r="K460" t="s">
        <v>28</v>
      </c>
      <c r="L460" t="s">
        <v>46</v>
      </c>
      <c r="N460" t="s">
        <v>2447</v>
      </c>
      <c r="O460" t="s">
        <v>48</v>
      </c>
      <c r="P460" t="s">
        <v>48</v>
      </c>
      <c r="Q460" t="s">
        <v>49</v>
      </c>
      <c r="R460" t="s">
        <v>1885</v>
      </c>
      <c r="S460" t="s">
        <v>38</v>
      </c>
      <c r="T460" t="s">
        <v>1962</v>
      </c>
      <c r="U460" t="s">
        <v>1887</v>
      </c>
      <c r="V460" t="s">
        <v>53</v>
      </c>
      <c r="W460" t="s">
        <v>2458</v>
      </c>
      <c r="X460" t="s">
        <v>2215</v>
      </c>
      <c r="Y460" t="s">
        <v>2459</v>
      </c>
      <c r="Z460" t="s">
        <v>91</v>
      </c>
    </row>
    <row r="461" spans="1:26" ht="12.75" customHeight="1" x14ac:dyDescent="0.35">
      <c r="A461">
        <v>460</v>
      </c>
      <c r="B461">
        <v>45887.35410449074</v>
      </c>
      <c r="D461" t="s">
        <v>2374</v>
      </c>
      <c r="E461" t="s">
        <v>1929</v>
      </c>
      <c r="F461" t="s">
        <v>33</v>
      </c>
      <c r="G461" t="s">
        <v>33</v>
      </c>
      <c r="H461" t="s">
        <v>33</v>
      </c>
      <c r="I461" t="s">
        <v>34</v>
      </c>
      <c r="J461" t="s">
        <v>34</v>
      </c>
      <c r="K461" t="s">
        <v>74</v>
      </c>
      <c r="L461" t="s">
        <v>46</v>
      </c>
      <c r="N461" t="s">
        <v>2369</v>
      </c>
      <c r="O461" t="s">
        <v>49</v>
      </c>
      <c r="P461" t="s">
        <v>49</v>
      </c>
      <c r="R461" t="s">
        <v>1951</v>
      </c>
      <c r="S461" t="s">
        <v>49</v>
      </c>
      <c r="T461" t="s">
        <v>1952</v>
      </c>
      <c r="U461" t="s">
        <v>1976</v>
      </c>
      <c r="V461" t="s">
        <v>53</v>
      </c>
      <c r="W461" t="s">
        <v>2376</v>
      </c>
      <c r="X461" t="s">
        <v>1030</v>
      </c>
      <c r="Y461" t="s">
        <v>2460</v>
      </c>
      <c r="Z461" t="s">
        <v>91</v>
      </c>
    </row>
    <row r="462" spans="1:26" ht="12.75" customHeight="1" x14ac:dyDescent="0.35">
      <c r="A462">
        <v>461</v>
      </c>
      <c r="B462">
        <v>45887.354206145828</v>
      </c>
      <c r="D462" t="s">
        <v>2316</v>
      </c>
      <c r="E462" t="s">
        <v>2155</v>
      </c>
      <c r="F462" t="s">
        <v>28</v>
      </c>
      <c r="G462" t="s">
        <v>28</v>
      </c>
      <c r="H462" t="s">
        <v>157</v>
      </c>
      <c r="I462" t="s">
        <v>28</v>
      </c>
      <c r="J462" t="s">
        <v>368</v>
      </c>
      <c r="K462" t="s">
        <v>28</v>
      </c>
      <c r="L462" t="s">
        <v>46</v>
      </c>
      <c r="N462" t="s">
        <v>2317</v>
      </c>
      <c r="O462" t="s">
        <v>49</v>
      </c>
      <c r="Q462" t="s">
        <v>38</v>
      </c>
      <c r="R462" t="s">
        <v>2195</v>
      </c>
      <c r="T462" t="s">
        <v>2186</v>
      </c>
      <c r="U462" t="s">
        <v>2461</v>
      </c>
      <c r="V462" t="s">
        <v>53</v>
      </c>
      <c r="W462" t="s">
        <v>2320</v>
      </c>
      <c r="X462" t="s">
        <v>118</v>
      </c>
      <c r="Y462" t="s">
        <v>2321</v>
      </c>
      <c r="Z462" t="s">
        <v>91</v>
      </c>
    </row>
    <row r="463" spans="1:26" ht="12.75" customHeight="1" x14ac:dyDescent="0.35">
      <c r="A463">
        <v>462</v>
      </c>
      <c r="B463">
        <v>45887.354525069444</v>
      </c>
      <c r="D463" t="s">
        <v>2462</v>
      </c>
      <c r="E463" t="s">
        <v>2431</v>
      </c>
      <c r="F463" t="s">
        <v>28</v>
      </c>
      <c r="G463" t="s">
        <v>28</v>
      </c>
      <c r="H463" t="s">
        <v>28</v>
      </c>
      <c r="I463" t="s">
        <v>103</v>
      </c>
      <c r="J463" t="s">
        <v>28</v>
      </c>
      <c r="K463" t="s">
        <v>28</v>
      </c>
      <c r="L463" t="s">
        <v>36</v>
      </c>
      <c r="N463" t="s">
        <v>2463</v>
      </c>
      <c r="O463" t="s">
        <v>49</v>
      </c>
      <c r="P463" t="s">
        <v>49</v>
      </c>
      <c r="Q463" t="s">
        <v>49</v>
      </c>
      <c r="R463" t="s">
        <v>2094</v>
      </c>
      <c r="S463" t="s">
        <v>49</v>
      </c>
      <c r="T463" t="s">
        <v>2095</v>
      </c>
      <c r="U463" t="s">
        <v>2282</v>
      </c>
      <c r="V463" t="s">
        <v>53</v>
      </c>
      <c r="W463" t="s">
        <v>2464</v>
      </c>
      <c r="X463" t="s">
        <v>2434</v>
      </c>
      <c r="Y463" t="s">
        <v>2465</v>
      </c>
      <c r="Z463" t="s">
        <v>91</v>
      </c>
    </row>
    <row r="464" spans="1:26" ht="12.75" customHeight="1" x14ac:dyDescent="0.35">
      <c r="A464">
        <v>463</v>
      </c>
      <c r="B464">
        <v>45887.357604317134</v>
      </c>
      <c r="D464" t="s">
        <v>2466</v>
      </c>
      <c r="E464" t="s">
        <v>2467</v>
      </c>
      <c r="F464" t="s">
        <v>33</v>
      </c>
      <c r="G464" t="s">
        <v>33</v>
      </c>
      <c r="H464" t="s">
        <v>33</v>
      </c>
      <c r="I464" t="s">
        <v>34</v>
      </c>
      <c r="J464" t="s">
        <v>34</v>
      </c>
      <c r="K464" t="s">
        <v>74</v>
      </c>
      <c r="L464" t="s">
        <v>36</v>
      </c>
      <c r="N464" t="s">
        <v>2379</v>
      </c>
      <c r="O464" t="s">
        <v>49</v>
      </c>
      <c r="P464" t="s">
        <v>49</v>
      </c>
      <c r="Q464" t="s">
        <v>49</v>
      </c>
      <c r="R464" t="s">
        <v>1951</v>
      </c>
      <c r="S464" t="s">
        <v>49</v>
      </c>
      <c r="T464" t="s">
        <v>1952</v>
      </c>
      <c r="U464" t="s">
        <v>1976</v>
      </c>
      <c r="V464" t="s">
        <v>53</v>
      </c>
      <c r="W464" t="s">
        <v>2468</v>
      </c>
      <c r="X464" t="s">
        <v>1030</v>
      </c>
      <c r="Y464" t="s">
        <v>2469</v>
      </c>
      <c r="Z464" t="s">
        <v>91</v>
      </c>
    </row>
    <row r="465" spans="1:26" ht="12.75" customHeight="1" x14ac:dyDescent="0.35">
      <c r="A465">
        <v>464</v>
      </c>
      <c r="B465">
        <v>45887.359240034726</v>
      </c>
      <c r="D465" t="s">
        <v>2470</v>
      </c>
      <c r="E465" t="s">
        <v>2155</v>
      </c>
      <c r="F465" t="s">
        <v>28</v>
      </c>
      <c r="G465" t="s">
        <v>28</v>
      </c>
      <c r="H465" t="s">
        <v>28</v>
      </c>
      <c r="I465" t="s">
        <v>28</v>
      </c>
      <c r="J465" t="s">
        <v>28</v>
      </c>
      <c r="K465" t="s">
        <v>61</v>
      </c>
      <c r="L465" t="s">
        <v>36</v>
      </c>
      <c r="N465" t="s">
        <v>2317</v>
      </c>
      <c r="O465" t="s">
        <v>38</v>
      </c>
      <c r="Q465" t="s">
        <v>38</v>
      </c>
      <c r="R465" t="s">
        <v>2195</v>
      </c>
      <c r="S465" t="s">
        <v>49</v>
      </c>
      <c r="T465" t="s">
        <v>2186</v>
      </c>
      <c r="U465" t="s">
        <v>2471</v>
      </c>
      <c r="V465" t="s">
        <v>53</v>
      </c>
      <c r="W465" t="s">
        <v>2472</v>
      </c>
      <c r="X465" t="s">
        <v>118</v>
      </c>
      <c r="Y465" t="s">
        <v>2473</v>
      </c>
      <c r="Z465" t="s">
        <v>91</v>
      </c>
    </row>
    <row r="466" spans="1:26" ht="12.75" customHeight="1" x14ac:dyDescent="0.35">
      <c r="A466">
        <v>465</v>
      </c>
      <c r="B466">
        <v>45887.359776527781</v>
      </c>
      <c r="D466" t="s">
        <v>2474</v>
      </c>
      <c r="E466" t="s">
        <v>2431</v>
      </c>
      <c r="F466" t="s">
        <v>28</v>
      </c>
      <c r="G466" t="s">
        <v>28</v>
      </c>
      <c r="H466" t="s">
        <v>28</v>
      </c>
      <c r="I466" t="s">
        <v>28</v>
      </c>
      <c r="J466" t="s">
        <v>28</v>
      </c>
      <c r="K466" t="s">
        <v>28</v>
      </c>
      <c r="L466" t="s">
        <v>46</v>
      </c>
      <c r="N466" t="s">
        <v>2475</v>
      </c>
      <c r="O466" t="s">
        <v>38</v>
      </c>
      <c r="P466" t="s">
        <v>49</v>
      </c>
      <c r="Q466" t="s">
        <v>49</v>
      </c>
      <c r="R466" t="s">
        <v>2094</v>
      </c>
      <c r="S466" t="s">
        <v>49</v>
      </c>
      <c r="T466" t="s">
        <v>2476</v>
      </c>
      <c r="U466" t="s">
        <v>2282</v>
      </c>
      <c r="V466" t="s">
        <v>53</v>
      </c>
      <c r="W466" t="s">
        <v>2477</v>
      </c>
      <c r="X466" t="s">
        <v>118</v>
      </c>
      <c r="Y466" t="s">
        <v>2478</v>
      </c>
      <c r="Z466" t="s">
        <v>91</v>
      </c>
    </row>
    <row r="467" spans="1:26" ht="12.75" customHeight="1" x14ac:dyDescent="0.35">
      <c r="A467">
        <v>466</v>
      </c>
      <c r="B467">
        <v>45887.361041446755</v>
      </c>
      <c r="D467" t="s">
        <v>2479</v>
      </c>
      <c r="E467" t="s">
        <v>1929</v>
      </c>
      <c r="F467" t="s">
        <v>33</v>
      </c>
      <c r="G467" t="s">
        <v>33</v>
      </c>
      <c r="H467" t="s">
        <v>29</v>
      </c>
      <c r="I467" t="s">
        <v>30</v>
      </c>
      <c r="J467" t="s">
        <v>34</v>
      </c>
      <c r="K467" t="s">
        <v>74</v>
      </c>
      <c r="L467" t="s">
        <v>46</v>
      </c>
      <c r="N467" t="s">
        <v>2385</v>
      </c>
      <c r="O467" t="s">
        <v>49</v>
      </c>
      <c r="P467" t="s">
        <v>48</v>
      </c>
      <c r="Q467" t="s">
        <v>48</v>
      </c>
      <c r="R467" t="s">
        <v>1951</v>
      </c>
      <c r="S467" t="s">
        <v>48</v>
      </c>
      <c r="T467" t="s">
        <v>1952</v>
      </c>
      <c r="U467" t="s">
        <v>1976</v>
      </c>
      <c r="V467" t="s">
        <v>53</v>
      </c>
      <c r="W467" t="s">
        <v>2480</v>
      </c>
      <c r="X467" t="s">
        <v>1030</v>
      </c>
      <c r="Y467" t="s">
        <v>2481</v>
      </c>
      <c r="Z467" t="s">
        <v>91</v>
      </c>
    </row>
    <row r="468" spans="1:26" ht="12.75" customHeight="1" x14ac:dyDescent="0.35">
      <c r="A468">
        <v>467</v>
      </c>
      <c r="B468">
        <v>45887.362602754627</v>
      </c>
      <c r="D468" t="s">
        <v>2482</v>
      </c>
      <c r="E468" t="s">
        <v>1960</v>
      </c>
      <c r="F468" t="s">
        <v>60</v>
      </c>
      <c r="G468" t="s">
        <v>60</v>
      </c>
      <c r="H468" t="s">
        <v>44</v>
      </c>
      <c r="I468" t="s">
        <v>103</v>
      </c>
      <c r="J468" t="s">
        <v>103</v>
      </c>
      <c r="K468" t="s">
        <v>28</v>
      </c>
      <c r="L468" t="s">
        <v>46</v>
      </c>
      <c r="N468" t="s">
        <v>2483</v>
      </c>
      <c r="O468" t="s">
        <v>48</v>
      </c>
      <c r="P468" t="s">
        <v>48</v>
      </c>
      <c r="Q468" t="s">
        <v>49</v>
      </c>
      <c r="R468" t="s">
        <v>1885</v>
      </c>
      <c r="S468" t="s">
        <v>49</v>
      </c>
      <c r="T468" t="s">
        <v>1962</v>
      </c>
      <c r="U468" t="s">
        <v>1887</v>
      </c>
      <c r="V468" t="s">
        <v>53</v>
      </c>
      <c r="W468" t="s">
        <v>2484</v>
      </c>
      <c r="X468" t="s">
        <v>2485</v>
      </c>
      <c r="Y468" t="s">
        <v>2486</v>
      </c>
      <c r="Z468" t="s">
        <v>91</v>
      </c>
    </row>
    <row r="469" spans="1:26" ht="12.75" customHeight="1" x14ac:dyDescent="0.35">
      <c r="A469">
        <v>468</v>
      </c>
      <c r="B469">
        <v>45887.364582187496</v>
      </c>
      <c r="D469" t="s">
        <v>2487</v>
      </c>
      <c r="E469" t="s">
        <v>2155</v>
      </c>
      <c r="F469" t="s">
        <v>28</v>
      </c>
      <c r="G469" t="s">
        <v>44</v>
      </c>
      <c r="H469" t="s">
        <v>28</v>
      </c>
      <c r="I469" t="s">
        <v>30</v>
      </c>
      <c r="J469" t="s">
        <v>28</v>
      </c>
      <c r="K469" t="s">
        <v>368</v>
      </c>
      <c r="L469" t="s">
        <v>46</v>
      </c>
      <c r="N469" t="s">
        <v>2338</v>
      </c>
      <c r="O469" t="s">
        <v>38</v>
      </c>
      <c r="P469" t="s">
        <v>49</v>
      </c>
      <c r="Q469" t="s">
        <v>38</v>
      </c>
      <c r="R469" t="s">
        <v>2488</v>
      </c>
      <c r="T469" t="s">
        <v>2192</v>
      </c>
      <c r="U469" t="s">
        <v>2489</v>
      </c>
      <c r="V469" t="s">
        <v>53</v>
      </c>
      <c r="W469" t="s">
        <v>2490</v>
      </c>
      <c r="X469" t="s">
        <v>118</v>
      </c>
      <c r="Y469" t="s">
        <v>2491</v>
      </c>
      <c r="Z469" t="s">
        <v>91</v>
      </c>
    </row>
    <row r="470" spans="1:26" ht="12.75" customHeight="1" x14ac:dyDescent="0.35">
      <c r="A470">
        <v>469</v>
      </c>
      <c r="B470">
        <v>45887.365561898143</v>
      </c>
      <c r="D470" t="s">
        <v>2390</v>
      </c>
      <c r="E470" t="s">
        <v>1929</v>
      </c>
      <c r="F470" t="s">
        <v>33</v>
      </c>
      <c r="G470" t="s">
        <v>33</v>
      </c>
      <c r="H470" t="s">
        <v>29</v>
      </c>
      <c r="I470" t="s">
        <v>30</v>
      </c>
      <c r="J470" t="s">
        <v>30</v>
      </c>
      <c r="K470" t="s">
        <v>292</v>
      </c>
      <c r="L470" t="s">
        <v>36</v>
      </c>
      <c r="N470" t="s">
        <v>2391</v>
      </c>
      <c r="O470" t="s">
        <v>49</v>
      </c>
      <c r="Q470" t="s">
        <v>49</v>
      </c>
      <c r="R470" t="s">
        <v>1951</v>
      </c>
      <c r="S470" t="s">
        <v>48</v>
      </c>
      <c r="T470" t="s">
        <v>1952</v>
      </c>
      <c r="U470" t="s">
        <v>1976</v>
      </c>
      <c r="V470" t="s">
        <v>53</v>
      </c>
      <c r="W470" t="s">
        <v>2393</v>
      </c>
      <c r="X470" t="s">
        <v>1030</v>
      </c>
      <c r="Y470" t="s">
        <v>2394</v>
      </c>
      <c r="Z470" t="s">
        <v>91</v>
      </c>
    </row>
    <row r="471" spans="1:26" ht="12.75" customHeight="1" x14ac:dyDescent="0.35">
      <c r="A471">
        <v>470</v>
      </c>
      <c r="B471">
        <v>45887.367624837963</v>
      </c>
      <c r="D471" t="s">
        <v>2492</v>
      </c>
      <c r="E471" t="s">
        <v>1960</v>
      </c>
      <c r="F471" t="s">
        <v>60</v>
      </c>
      <c r="G471" t="s">
        <v>44</v>
      </c>
      <c r="H471" t="s">
        <v>60</v>
      </c>
      <c r="I471" t="s">
        <v>103</v>
      </c>
      <c r="J471" t="s">
        <v>103</v>
      </c>
      <c r="K471" t="s">
        <v>28</v>
      </c>
      <c r="L471" t="s">
        <v>46</v>
      </c>
      <c r="N471" t="s">
        <v>2483</v>
      </c>
      <c r="O471" t="s">
        <v>48</v>
      </c>
      <c r="P471" t="s">
        <v>48</v>
      </c>
      <c r="Q471" t="s">
        <v>49</v>
      </c>
      <c r="R471" t="s">
        <v>1885</v>
      </c>
      <c r="S471" t="s">
        <v>38</v>
      </c>
      <c r="T471" t="s">
        <v>1962</v>
      </c>
      <c r="U471" t="s">
        <v>1887</v>
      </c>
      <c r="V471" t="s">
        <v>53</v>
      </c>
      <c r="W471" t="s">
        <v>2493</v>
      </c>
      <c r="X471" t="s">
        <v>2485</v>
      </c>
      <c r="Y471" t="s">
        <v>1268</v>
      </c>
      <c r="Z471" t="s">
        <v>91</v>
      </c>
    </row>
    <row r="472" spans="1:26" ht="12.75" customHeight="1" x14ac:dyDescent="0.35">
      <c r="A472">
        <v>471</v>
      </c>
      <c r="B472">
        <v>45887.368382280096</v>
      </c>
      <c r="D472" t="s">
        <v>2494</v>
      </c>
      <c r="E472" t="s">
        <v>2431</v>
      </c>
      <c r="F472" t="s">
        <v>28</v>
      </c>
      <c r="G472" t="s">
        <v>28</v>
      </c>
      <c r="H472" t="s">
        <v>28</v>
      </c>
      <c r="I472" t="s">
        <v>28</v>
      </c>
      <c r="J472" t="s">
        <v>28</v>
      </c>
      <c r="K472" t="s">
        <v>28</v>
      </c>
      <c r="L472" t="s">
        <v>46</v>
      </c>
      <c r="N472" t="s">
        <v>2495</v>
      </c>
      <c r="O472" t="s">
        <v>49</v>
      </c>
      <c r="P472" t="s">
        <v>49</v>
      </c>
      <c r="Q472" t="s">
        <v>49</v>
      </c>
      <c r="R472" t="s">
        <v>2094</v>
      </c>
      <c r="S472" t="s">
        <v>49</v>
      </c>
      <c r="T472" t="s">
        <v>2095</v>
      </c>
      <c r="U472" t="s">
        <v>2282</v>
      </c>
      <c r="V472" t="s">
        <v>53</v>
      </c>
      <c r="W472" t="s">
        <v>2496</v>
      </c>
      <c r="X472" t="s">
        <v>127</v>
      </c>
      <c r="Y472" t="s">
        <v>2497</v>
      </c>
      <c r="Z472" t="s">
        <v>91</v>
      </c>
    </row>
    <row r="473" spans="1:26" ht="12.75" customHeight="1" x14ac:dyDescent="0.35">
      <c r="A473">
        <v>472</v>
      </c>
      <c r="B473">
        <v>45887.368946516202</v>
      </c>
      <c r="D473" t="s">
        <v>2498</v>
      </c>
      <c r="E473" t="s">
        <v>2155</v>
      </c>
      <c r="F473" t="s">
        <v>449</v>
      </c>
      <c r="G473" t="s">
        <v>28</v>
      </c>
      <c r="H473" t="s">
        <v>28</v>
      </c>
      <c r="I473" t="s">
        <v>28</v>
      </c>
      <c r="J473" t="s">
        <v>28</v>
      </c>
      <c r="K473" t="s">
        <v>28</v>
      </c>
      <c r="L473" t="s">
        <v>46</v>
      </c>
      <c r="N473" t="s">
        <v>2338</v>
      </c>
      <c r="O473" t="s">
        <v>38</v>
      </c>
      <c r="P473" t="s">
        <v>38</v>
      </c>
      <c r="Q473" t="s">
        <v>38</v>
      </c>
      <c r="R473" t="s">
        <v>2195</v>
      </c>
      <c r="S473" t="s">
        <v>38</v>
      </c>
      <c r="T473" t="s">
        <v>2244</v>
      </c>
      <c r="U473" t="s">
        <v>2499</v>
      </c>
      <c r="V473" t="s">
        <v>53</v>
      </c>
      <c r="W473" t="s">
        <v>2500</v>
      </c>
      <c r="X473" t="s">
        <v>118</v>
      </c>
      <c r="Y473" t="s">
        <v>2501</v>
      </c>
      <c r="Z473" t="s">
        <v>91</v>
      </c>
    </row>
    <row r="474" spans="1:26" ht="12.75" customHeight="1" x14ac:dyDescent="0.35">
      <c r="A474">
        <v>473</v>
      </c>
      <c r="B474">
        <v>45887.37175528935</v>
      </c>
      <c r="D474" t="s">
        <v>2502</v>
      </c>
      <c r="E474" t="s">
        <v>2503</v>
      </c>
      <c r="F474" t="s">
        <v>33</v>
      </c>
      <c r="G474" t="s">
        <v>33</v>
      </c>
      <c r="H474" t="s">
        <v>29</v>
      </c>
      <c r="I474" t="s">
        <v>34</v>
      </c>
      <c r="J474" t="s">
        <v>34</v>
      </c>
      <c r="K474" t="s">
        <v>74</v>
      </c>
      <c r="L474" t="s">
        <v>36</v>
      </c>
      <c r="N474" t="s">
        <v>2391</v>
      </c>
      <c r="O474" t="s">
        <v>49</v>
      </c>
      <c r="Q474" t="s">
        <v>48</v>
      </c>
      <c r="R474" t="s">
        <v>1951</v>
      </c>
      <c r="S474" t="s">
        <v>48</v>
      </c>
      <c r="T474" t="s">
        <v>1952</v>
      </c>
      <c r="U474" t="s">
        <v>1976</v>
      </c>
      <c r="V474" t="s">
        <v>53</v>
      </c>
      <c r="W474" t="s">
        <v>2504</v>
      </c>
      <c r="X474" t="s">
        <v>1030</v>
      </c>
      <c r="Y474" t="s">
        <v>2505</v>
      </c>
      <c r="Z474" t="s">
        <v>91</v>
      </c>
    </row>
    <row r="475" spans="1:26" ht="12.75" customHeight="1" x14ac:dyDescent="0.35">
      <c r="A475">
        <v>474</v>
      </c>
      <c r="B475">
        <v>45887.373925</v>
      </c>
      <c r="D475" t="s">
        <v>2506</v>
      </c>
      <c r="E475" t="s">
        <v>2431</v>
      </c>
      <c r="F475" t="s">
        <v>28</v>
      </c>
      <c r="G475" t="s">
        <v>28</v>
      </c>
      <c r="H475" t="s">
        <v>28</v>
      </c>
      <c r="I475" t="s">
        <v>28</v>
      </c>
      <c r="J475" t="s">
        <v>28</v>
      </c>
      <c r="K475" t="s">
        <v>28</v>
      </c>
      <c r="L475" t="s">
        <v>46</v>
      </c>
      <c r="N475" t="s">
        <v>2317</v>
      </c>
      <c r="O475" t="s">
        <v>49</v>
      </c>
      <c r="P475" t="s">
        <v>49</v>
      </c>
      <c r="Q475" t="s">
        <v>49</v>
      </c>
      <c r="R475" t="s">
        <v>2094</v>
      </c>
      <c r="S475" t="s">
        <v>49</v>
      </c>
      <c r="T475" t="s">
        <v>2095</v>
      </c>
      <c r="U475" t="s">
        <v>2282</v>
      </c>
      <c r="V475" t="s">
        <v>53</v>
      </c>
      <c r="W475" t="s">
        <v>2507</v>
      </c>
      <c r="X475" t="s">
        <v>118</v>
      </c>
      <c r="Y475" t="s">
        <v>2508</v>
      </c>
      <c r="Z475" t="s">
        <v>91</v>
      </c>
    </row>
    <row r="476" spans="1:26" ht="12.75" customHeight="1" x14ac:dyDescent="0.35">
      <c r="A476">
        <v>475</v>
      </c>
      <c r="B476">
        <v>45887.375524907402</v>
      </c>
      <c r="D476" t="s">
        <v>2509</v>
      </c>
      <c r="E476" t="s">
        <v>2155</v>
      </c>
      <c r="F476" t="s">
        <v>28</v>
      </c>
      <c r="G476" t="s">
        <v>60</v>
      </c>
      <c r="H476" t="s">
        <v>28</v>
      </c>
      <c r="I476" t="s">
        <v>28</v>
      </c>
      <c r="J476" t="s">
        <v>28</v>
      </c>
      <c r="K476" t="s">
        <v>28</v>
      </c>
      <c r="L476" t="s">
        <v>46</v>
      </c>
      <c r="N476" t="s">
        <v>2338</v>
      </c>
      <c r="O476" t="s">
        <v>38</v>
      </c>
      <c r="P476" t="s">
        <v>38</v>
      </c>
      <c r="Q476" t="s">
        <v>38</v>
      </c>
      <c r="R476" t="s">
        <v>2195</v>
      </c>
      <c r="S476" t="s">
        <v>49</v>
      </c>
      <c r="T476" t="s">
        <v>2244</v>
      </c>
      <c r="U476" t="s">
        <v>2175</v>
      </c>
      <c r="V476" t="s">
        <v>53</v>
      </c>
      <c r="W476" t="s">
        <v>2510</v>
      </c>
      <c r="X476" t="s">
        <v>118</v>
      </c>
      <c r="Y476" t="s">
        <v>2511</v>
      </c>
      <c r="Z476" t="s">
        <v>91</v>
      </c>
    </row>
    <row r="477" spans="1:26" ht="12.75" customHeight="1" x14ac:dyDescent="0.35">
      <c r="A477">
        <v>476</v>
      </c>
      <c r="B477">
        <v>45887.375771782405</v>
      </c>
      <c r="D477" t="s">
        <v>2512</v>
      </c>
      <c r="E477" t="s">
        <v>1929</v>
      </c>
      <c r="F477" t="s">
        <v>33</v>
      </c>
      <c r="G477" t="s">
        <v>33</v>
      </c>
      <c r="H477" t="s">
        <v>33</v>
      </c>
      <c r="I477" t="s">
        <v>34</v>
      </c>
      <c r="J477" t="s">
        <v>34</v>
      </c>
      <c r="K477" t="s">
        <v>74</v>
      </c>
      <c r="L477" t="s">
        <v>46</v>
      </c>
      <c r="N477" t="s">
        <v>2391</v>
      </c>
      <c r="O477" t="s">
        <v>49</v>
      </c>
      <c r="Q477" t="s">
        <v>49</v>
      </c>
      <c r="R477" t="s">
        <v>1951</v>
      </c>
      <c r="S477" t="s">
        <v>49</v>
      </c>
      <c r="T477" t="s">
        <v>1952</v>
      </c>
      <c r="U477" t="s">
        <v>1976</v>
      </c>
      <c r="V477" t="s">
        <v>53</v>
      </c>
      <c r="W477" t="s">
        <v>2513</v>
      </c>
      <c r="X477" t="s">
        <v>1030</v>
      </c>
      <c r="Y477" t="s">
        <v>2514</v>
      </c>
      <c r="Z477" t="s">
        <v>91</v>
      </c>
    </row>
    <row r="478" spans="1:26" ht="12.75" customHeight="1" x14ac:dyDescent="0.35">
      <c r="A478">
        <v>477</v>
      </c>
      <c r="B478">
        <v>45887.3761108912</v>
      </c>
      <c r="D478" t="s">
        <v>2515</v>
      </c>
      <c r="E478" t="s">
        <v>2405</v>
      </c>
      <c r="F478" t="s">
        <v>44</v>
      </c>
      <c r="G478" t="s">
        <v>28</v>
      </c>
      <c r="H478" t="s">
        <v>60</v>
      </c>
      <c r="I478" t="s">
        <v>196</v>
      </c>
      <c r="J478" t="s">
        <v>368</v>
      </c>
      <c r="K478" t="s">
        <v>28</v>
      </c>
      <c r="L478" t="s">
        <v>46</v>
      </c>
      <c r="N478" t="s">
        <v>2235</v>
      </c>
      <c r="O478" t="s">
        <v>48</v>
      </c>
      <c r="P478" t="s">
        <v>48</v>
      </c>
      <c r="Q478" t="s">
        <v>48</v>
      </c>
      <c r="R478" t="s">
        <v>1951</v>
      </c>
      <c r="S478" t="s">
        <v>48</v>
      </c>
      <c r="T478" t="s">
        <v>1952</v>
      </c>
      <c r="U478" t="s">
        <v>1976</v>
      </c>
      <c r="V478" t="s">
        <v>53</v>
      </c>
      <c r="W478" t="s">
        <v>2516</v>
      </c>
      <c r="X478" t="s">
        <v>2246</v>
      </c>
      <c r="Y478" t="s">
        <v>2517</v>
      </c>
      <c r="Z478" t="s">
        <v>91</v>
      </c>
    </row>
    <row r="479" spans="1:26" ht="12.75" customHeight="1" x14ac:dyDescent="0.35">
      <c r="A479">
        <v>478</v>
      </c>
      <c r="B479">
        <v>45887.378937800924</v>
      </c>
      <c r="D479" t="s">
        <v>2518</v>
      </c>
      <c r="E479" t="s">
        <v>2431</v>
      </c>
      <c r="F479" t="s">
        <v>28</v>
      </c>
      <c r="G479" t="s">
        <v>28</v>
      </c>
      <c r="H479" t="s">
        <v>28</v>
      </c>
      <c r="I479" t="s">
        <v>28</v>
      </c>
      <c r="J479" t="s">
        <v>28</v>
      </c>
      <c r="K479" t="s">
        <v>35</v>
      </c>
      <c r="L479" t="s">
        <v>46</v>
      </c>
      <c r="N479" t="s">
        <v>2338</v>
      </c>
      <c r="O479" t="s">
        <v>49</v>
      </c>
      <c r="P479" t="s">
        <v>49</v>
      </c>
      <c r="Q479" t="s">
        <v>49</v>
      </c>
      <c r="R479" t="s">
        <v>2094</v>
      </c>
      <c r="S479" t="s">
        <v>49</v>
      </c>
      <c r="T479" t="s">
        <v>2095</v>
      </c>
      <c r="U479" t="s">
        <v>2282</v>
      </c>
      <c r="V479" t="s">
        <v>53</v>
      </c>
      <c r="W479" t="s">
        <v>2519</v>
      </c>
      <c r="X479" t="s">
        <v>127</v>
      </c>
      <c r="Y479" t="s">
        <v>2520</v>
      </c>
      <c r="Z479" t="s">
        <v>91</v>
      </c>
    </row>
    <row r="480" spans="1:26" ht="12.75" customHeight="1" x14ac:dyDescent="0.35">
      <c r="A480">
        <v>479</v>
      </c>
      <c r="B480">
        <v>45887.379364004628</v>
      </c>
      <c r="D480" t="s">
        <v>2521</v>
      </c>
      <c r="E480" t="s">
        <v>1929</v>
      </c>
      <c r="F480" t="s">
        <v>33</v>
      </c>
      <c r="G480" t="s">
        <v>33</v>
      </c>
      <c r="H480" t="s">
        <v>33</v>
      </c>
      <c r="I480" t="s">
        <v>34</v>
      </c>
      <c r="J480" t="s">
        <v>34</v>
      </c>
      <c r="K480" t="s">
        <v>74</v>
      </c>
      <c r="L480" t="s">
        <v>36</v>
      </c>
      <c r="N480" t="s">
        <v>2391</v>
      </c>
      <c r="O480" t="s">
        <v>49</v>
      </c>
      <c r="P480" t="s">
        <v>48</v>
      </c>
      <c r="Q480" t="s">
        <v>48</v>
      </c>
      <c r="R480" t="s">
        <v>1951</v>
      </c>
      <c r="S480" t="s">
        <v>48</v>
      </c>
      <c r="T480" t="s">
        <v>1952</v>
      </c>
      <c r="U480" t="s">
        <v>1976</v>
      </c>
      <c r="V480" t="s">
        <v>53</v>
      </c>
      <c r="W480" t="s">
        <v>2522</v>
      </c>
      <c r="X480" t="s">
        <v>1030</v>
      </c>
      <c r="Y480" t="s">
        <v>2523</v>
      </c>
      <c r="Z480" t="s">
        <v>91</v>
      </c>
    </row>
    <row r="481" spans="1:26" ht="12.75" customHeight="1" x14ac:dyDescent="0.35">
      <c r="A481">
        <v>480</v>
      </c>
      <c r="B481">
        <v>45887.38011568287</v>
      </c>
      <c r="D481" t="s">
        <v>2524</v>
      </c>
      <c r="E481" t="s">
        <v>2155</v>
      </c>
      <c r="F481" t="s">
        <v>28</v>
      </c>
      <c r="G481" t="s">
        <v>28</v>
      </c>
      <c r="H481" t="s">
        <v>28</v>
      </c>
      <c r="I481" t="s">
        <v>28</v>
      </c>
      <c r="J481" t="s">
        <v>28</v>
      </c>
      <c r="K481" t="s">
        <v>28</v>
      </c>
      <c r="L481" t="s">
        <v>46</v>
      </c>
      <c r="N481" t="s">
        <v>2525</v>
      </c>
      <c r="O481" t="s">
        <v>49</v>
      </c>
      <c r="P481" t="s">
        <v>49</v>
      </c>
      <c r="Q481" t="s">
        <v>49</v>
      </c>
      <c r="R481" t="s">
        <v>2526</v>
      </c>
      <c r="S481" t="s">
        <v>38</v>
      </c>
      <c r="T481" t="s">
        <v>2186</v>
      </c>
      <c r="V481" t="s">
        <v>53</v>
      </c>
      <c r="W481" t="s">
        <v>2527</v>
      </c>
      <c r="X481" t="s">
        <v>118</v>
      </c>
      <c r="Y481" t="s">
        <v>2528</v>
      </c>
      <c r="Z481" t="s">
        <v>91</v>
      </c>
    </row>
    <row r="482" spans="1:26" ht="12.75" customHeight="1" x14ac:dyDescent="0.35">
      <c r="A482">
        <v>481</v>
      </c>
      <c r="B482">
        <v>45887.38392547454</v>
      </c>
      <c r="D482" t="s">
        <v>2263</v>
      </c>
      <c r="E482" t="s">
        <v>2405</v>
      </c>
      <c r="F482" t="s">
        <v>29</v>
      </c>
      <c r="G482" t="s">
        <v>28</v>
      </c>
      <c r="H482" t="s">
        <v>60</v>
      </c>
      <c r="I482" t="s">
        <v>196</v>
      </c>
      <c r="J482" t="s">
        <v>368</v>
      </c>
      <c r="K482" t="s">
        <v>28</v>
      </c>
      <c r="L482" t="s">
        <v>36</v>
      </c>
      <c r="N482" t="s">
        <v>2264</v>
      </c>
      <c r="O482" t="s">
        <v>48</v>
      </c>
      <c r="P482" t="s">
        <v>48</v>
      </c>
      <c r="Q482" t="s">
        <v>48</v>
      </c>
      <c r="R482" t="s">
        <v>1951</v>
      </c>
      <c r="S482" t="s">
        <v>48</v>
      </c>
      <c r="T482" t="s">
        <v>1952</v>
      </c>
      <c r="U482" t="s">
        <v>1976</v>
      </c>
      <c r="V482" t="s">
        <v>53</v>
      </c>
      <c r="W482" t="s">
        <v>2267</v>
      </c>
      <c r="X482" t="s">
        <v>834</v>
      </c>
      <c r="Y482" t="s">
        <v>2529</v>
      </c>
      <c r="Z482" t="s">
        <v>91</v>
      </c>
    </row>
    <row r="483" spans="1:26" ht="12.75" customHeight="1" x14ac:dyDescent="0.35">
      <c r="A483">
        <v>482</v>
      </c>
      <c r="B483">
        <v>45887.384215844912</v>
      </c>
      <c r="D483" t="s">
        <v>2530</v>
      </c>
      <c r="E483" t="s">
        <v>2155</v>
      </c>
      <c r="F483" t="s">
        <v>28</v>
      </c>
      <c r="G483" t="s">
        <v>28</v>
      </c>
      <c r="H483" t="s">
        <v>206</v>
      </c>
      <c r="I483" t="s">
        <v>103</v>
      </c>
      <c r="J483" t="s">
        <v>28</v>
      </c>
      <c r="K483" t="s">
        <v>28</v>
      </c>
      <c r="L483" t="s">
        <v>46</v>
      </c>
      <c r="N483" t="s">
        <v>2525</v>
      </c>
      <c r="O483" t="s">
        <v>49</v>
      </c>
      <c r="P483" t="s">
        <v>49</v>
      </c>
      <c r="Q483" t="s">
        <v>38</v>
      </c>
      <c r="R483" t="s">
        <v>2253</v>
      </c>
      <c r="S483" t="s">
        <v>49</v>
      </c>
      <c r="T483" t="s">
        <v>2244</v>
      </c>
      <c r="U483" t="s">
        <v>2471</v>
      </c>
      <c r="V483" t="s">
        <v>53</v>
      </c>
      <c r="W483" t="s">
        <v>2531</v>
      </c>
      <c r="X483" t="s">
        <v>118</v>
      </c>
      <c r="Y483" t="s">
        <v>2532</v>
      </c>
      <c r="Z483" t="s">
        <v>91</v>
      </c>
    </row>
    <row r="484" spans="1:26" ht="12.75" customHeight="1" x14ac:dyDescent="0.35">
      <c r="A484">
        <v>483</v>
      </c>
      <c r="B484">
        <v>45887.390261666667</v>
      </c>
      <c r="D484" t="s">
        <v>2533</v>
      </c>
      <c r="E484" t="s">
        <v>1929</v>
      </c>
      <c r="F484" t="s">
        <v>29</v>
      </c>
      <c r="G484" t="s">
        <v>33</v>
      </c>
      <c r="H484" t="s">
        <v>33</v>
      </c>
      <c r="I484" t="s">
        <v>34</v>
      </c>
      <c r="J484" t="s">
        <v>34</v>
      </c>
      <c r="K484" t="s">
        <v>74</v>
      </c>
      <c r="L484" t="s">
        <v>46</v>
      </c>
      <c r="N484" t="s">
        <v>2391</v>
      </c>
      <c r="O484" t="s">
        <v>49</v>
      </c>
      <c r="P484" t="s">
        <v>48</v>
      </c>
      <c r="Q484" t="s">
        <v>49</v>
      </c>
      <c r="R484" t="s">
        <v>1951</v>
      </c>
      <c r="S484" t="s">
        <v>49</v>
      </c>
      <c r="T484" t="s">
        <v>1952</v>
      </c>
      <c r="U484" t="s">
        <v>1976</v>
      </c>
      <c r="V484" t="s">
        <v>53</v>
      </c>
      <c r="W484" t="s">
        <v>2534</v>
      </c>
      <c r="X484" t="s">
        <v>1030</v>
      </c>
      <c r="Y484" t="s">
        <v>2535</v>
      </c>
      <c r="Z484" t="s">
        <v>91</v>
      </c>
    </row>
    <row r="485" spans="1:26" ht="12.75" customHeight="1" x14ac:dyDescent="0.35">
      <c r="A485">
        <v>484</v>
      </c>
      <c r="B485">
        <v>45887.392862962966</v>
      </c>
      <c r="D485" t="s">
        <v>2536</v>
      </c>
      <c r="E485" t="s">
        <v>2155</v>
      </c>
      <c r="F485" t="s">
        <v>28</v>
      </c>
      <c r="G485" t="s">
        <v>28</v>
      </c>
      <c r="H485" t="s">
        <v>28</v>
      </c>
      <c r="I485" t="s">
        <v>28</v>
      </c>
      <c r="J485" t="s">
        <v>28</v>
      </c>
      <c r="K485" t="s">
        <v>28</v>
      </c>
      <c r="L485" t="s">
        <v>46</v>
      </c>
      <c r="N485" t="s">
        <v>2525</v>
      </c>
      <c r="O485" t="s">
        <v>38</v>
      </c>
      <c r="P485" t="s">
        <v>38</v>
      </c>
      <c r="Q485" t="s">
        <v>38</v>
      </c>
      <c r="R485" t="s">
        <v>2253</v>
      </c>
      <c r="S485" t="s">
        <v>49</v>
      </c>
      <c r="T485" t="s">
        <v>2186</v>
      </c>
      <c r="U485" t="s">
        <v>2471</v>
      </c>
      <c r="V485" t="s">
        <v>53</v>
      </c>
      <c r="W485" t="s">
        <v>2537</v>
      </c>
      <c r="X485" t="s">
        <v>118</v>
      </c>
      <c r="Y485" t="s">
        <v>2538</v>
      </c>
      <c r="Z485" t="s">
        <v>91</v>
      </c>
    </row>
    <row r="486" spans="1:26" ht="12.75" customHeight="1" x14ac:dyDescent="0.35">
      <c r="A486">
        <v>485</v>
      </c>
      <c r="B486">
        <v>45887.393932430554</v>
      </c>
      <c r="D486" t="s">
        <v>2539</v>
      </c>
      <c r="E486" t="s">
        <v>1929</v>
      </c>
      <c r="F486" t="s">
        <v>29</v>
      </c>
      <c r="G486" t="s">
        <v>33</v>
      </c>
      <c r="H486" t="s">
        <v>33</v>
      </c>
      <c r="I486" t="s">
        <v>34</v>
      </c>
      <c r="J486" t="s">
        <v>34</v>
      </c>
      <c r="K486" t="s">
        <v>61</v>
      </c>
      <c r="L486" t="s">
        <v>46</v>
      </c>
      <c r="N486" t="s">
        <v>2540</v>
      </c>
      <c r="O486" t="s">
        <v>49</v>
      </c>
      <c r="P486" t="s">
        <v>48</v>
      </c>
      <c r="Q486" t="s">
        <v>48</v>
      </c>
      <c r="R486" t="s">
        <v>1951</v>
      </c>
      <c r="S486" t="s">
        <v>48</v>
      </c>
      <c r="T486" t="s">
        <v>1952</v>
      </c>
      <c r="U486" t="s">
        <v>1976</v>
      </c>
      <c r="V486" t="s">
        <v>53</v>
      </c>
      <c r="W486" t="s">
        <v>2541</v>
      </c>
      <c r="X486" t="s">
        <v>1030</v>
      </c>
      <c r="Y486" t="s">
        <v>2542</v>
      </c>
      <c r="Z486" t="s">
        <v>91</v>
      </c>
    </row>
    <row r="487" spans="1:26" ht="12.75" customHeight="1" x14ac:dyDescent="0.35">
      <c r="A487">
        <v>486</v>
      </c>
      <c r="B487">
        <v>45887.395804351851</v>
      </c>
      <c r="D487" t="s">
        <v>2543</v>
      </c>
      <c r="E487" t="s">
        <v>1875</v>
      </c>
      <c r="F487" t="s">
        <v>28</v>
      </c>
      <c r="G487" t="s">
        <v>60</v>
      </c>
      <c r="H487" t="s">
        <v>284</v>
      </c>
      <c r="I487" t="s">
        <v>173</v>
      </c>
      <c r="J487" t="s">
        <v>45</v>
      </c>
      <c r="K487" t="s">
        <v>368</v>
      </c>
      <c r="L487" t="s">
        <v>46</v>
      </c>
      <c r="N487" t="s">
        <v>2110</v>
      </c>
      <c r="O487" t="s">
        <v>49</v>
      </c>
      <c r="P487" t="s">
        <v>38</v>
      </c>
      <c r="Q487" t="s">
        <v>48</v>
      </c>
      <c r="R487" t="s">
        <v>2544</v>
      </c>
      <c r="S487" t="s">
        <v>49</v>
      </c>
      <c r="T487" t="s">
        <v>2545</v>
      </c>
      <c r="U487" t="s">
        <v>2546</v>
      </c>
      <c r="V487" t="s">
        <v>53</v>
      </c>
      <c r="W487" t="s">
        <v>2547</v>
      </c>
      <c r="X487" t="s">
        <v>2077</v>
      </c>
      <c r="Y487" t="s">
        <v>2548</v>
      </c>
      <c r="Z487" t="s">
        <v>91</v>
      </c>
    </row>
    <row r="488" spans="1:26" ht="12.75" customHeight="1" x14ac:dyDescent="0.35">
      <c r="A488">
        <v>487</v>
      </c>
      <c r="B488">
        <v>45887.39724726852</v>
      </c>
      <c r="D488" t="s">
        <v>2549</v>
      </c>
      <c r="E488" t="s">
        <v>1929</v>
      </c>
      <c r="F488" t="s">
        <v>33</v>
      </c>
      <c r="G488" t="s">
        <v>33</v>
      </c>
      <c r="H488" t="s">
        <v>29</v>
      </c>
      <c r="I488" t="s">
        <v>34</v>
      </c>
      <c r="J488" t="s">
        <v>30</v>
      </c>
      <c r="K488" t="s">
        <v>74</v>
      </c>
      <c r="L488" t="s">
        <v>46</v>
      </c>
      <c r="N488" t="s">
        <v>2540</v>
      </c>
      <c r="O488" t="s">
        <v>48</v>
      </c>
      <c r="P488" t="s">
        <v>49</v>
      </c>
      <c r="Q488" t="s">
        <v>49</v>
      </c>
      <c r="R488" t="s">
        <v>1951</v>
      </c>
      <c r="S488" t="s">
        <v>49</v>
      </c>
      <c r="T488" t="s">
        <v>1952</v>
      </c>
      <c r="U488" t="s">
        <v>1976</v>
      </c>
      <c r="V488" t="s">
        <v>53</v>
      </c>
      <c r="W488" t="s">
        <v>2550</v>
      </c>
      <c r="X488" t="s">
        <v>1030</v>
      </c>
      <c r="Y488" t="s">
        <v>2551</v>
      </c>
      <c r="Z488" t="s">
        <v>91</v>
      </c>
    </row>
    <row r="489" spans="1:26" ht="12.75" customHeight="1" x14ac:dyDescent="0.35">
      <c r="A489">
        <v>488</v>
      </c>
      <c r="B489">
        <v>45887.397587060186</v>
      </c>
      <c r="D489" t="s">
        <v>2552</v>
      </c>
      <c r="E489" t="s">
        <v>2155</v>
      </c>
      <c r="F489" t="s">
        <v>28</v>
      </c>
      <c r="G489" t="s">
        <v>28</v>
      </c>
      <c r="H489" t="s">
        <v>284</v>
      </c>
      <c r="I489" t="s">
        <v>28</v>
      </c>
      <c r="J489" t="s">
        <v>28</v>
      </c>
      <c r="K489" t="s">
        <v>28</v>
      </c>
      <c r="L489" t="s">
        <v>46</v>
      </c>
      <c r="N489" t="s">
        <v>2553</v>
      </c>
      <c r="O489" t="s">
        <v>38</v>
      </c>
      <c r="P489" t="s">
        <v>38</v>
      </c>
      <c r="Q489" t="s">
        <v>49</v>
      </c>
      <c r="R489" t="s">
        <v>2173</v>
      </c>
      <c r="S489" t="s">
        <v>49</v>
      </c>
      <c r="T489" t="s">
        <v>2186</v>
      </c>
      <c r="U489" t="s">
        <v>2461</v>
      </c>
      <c r="V489" t="s">
        <v>53</v>
      </c>
      <c r="W489" t="s">
        <v>2554</v>
      </c>
      <c r="X489" t="s">
        <v>118</v>
      </c>
      <c r="Y489" t="s">
        <v>2555</v>
      </c>
      <c r="Z489" t="s">
        <v>91</v>
      </c>
    </row>
    <row r="490" spans="1:26" ht="12.75" customHeight="1" x14ac:dyDescent="0.35">
      <c r="A490">
        <v>489</v>
      </c>
      <c r="B490">
        <v>45887.398614421298</v>
      </c>
      <c r="D490" t="s">
        <v>2556</v>
      </c>
      <c r="E490" t="s">
        <v>1875</v>
      </c>
      <c r="F490" t="s">
        <v>44</v>
      </c>
      <c r="G490" t="s">
        <v>60</v>
      </c>
      <c r="H490" t="s">
        <v>284</v>
      </c>
      <c r="I490" t="s">
        <v>173</v>
      </c>
      <c r="J490" t="s">
        <v>28</v>
      </c>
      <c r="K490" t="s">
        <v>368</v>
      </c>
      <c r="L490" t="s">
        <v>46</v>
      </c>
      <c r="N490" t="s">
        <v>2212</v>
      </c>
      <c r="O490" t="s">
        <v>49</v>
      </c>
      <c r="P490" t="s">
        <v>38</v>
      </c>
      <c r="Q490" t="s">
        <v>48</v>
      </c>
      <c r="R490" t="s">
        <v>2557</v>
      </c>
      <c r="S490" t="s">
        <v>49</v>
      </c>
      <c r="T490" t="s">
        <v>2558</v>
      </c>
      <c r="U490" t="s">
        <v>2559</v>
      </c>
      <c r="V490" t="s">
        <v>53</v>
      </c>
      <c r="W490" t="s">
        <v>2560</v>
      </c>
      <c r="X490" t="s">
        <v>2246</v>
      </c>
      <c r="Y490" t="s">
        <v>2561</v>
      </c>
      <c r="Z490" t="s">
        <v>91</v>
      </c>
    </row>
    <row r="491" spans="1:26" ht="12.75" customHeight="1" x14ac:dyDescent="0.35">
      <c r="A491">
        <v>490</v>
      </c>
      <c r="B491">
        <v>45887.407545972223</v>
      </c>
      <c r="D491" t="s">
        <v>2562</v>
      </c>
      <c r="E491" t="s">
        <v>1875</v>
      </c>
      <c r="F491" t="s">
        <v>44</v>
      </c>
      <c r="G491" t="s">
        <v>60</v>
      </c>
      <c r="H491" t="s">
        <v>157</v>
      </c>
      <c r="I491" t="s">
        <v>173</v>
      </c>
      <c r="J491" t="s">
        <v>28</v>
      </c>
      <c r="K491" t="s">
        <v>45</v>
      </c>
      <c r="L491" t="s">
        <v>46</v>
      </c>
      <c r="N491" t="s">
        <v>2212</v>
      </c>
      <c r="O491" t="s">
        <v>48</v>
      </c>
      <c r="P491" t="s">
        <v>49</v>
      </c>
      <c r="Q491" t="s">
        <v>49</v>
      </c>
      <c r="R491" t="s">
        <v>2563</v>
      </c>
      <c r="S491" t="s">
        <v>49</v>
      </c>
      <c r="T491" t="s">
        <v>2564</v>
      </c>
      <c r="U491" t="s">
        <v>2565</v>
      </c>
      <c r="V491" t="s">
        <v>53</v>
      </c>
      <c r="W491" t="s">
        <v>2566</v>
      </c>
      <c r="X491" t="s">
        <v>2246</v>
      </c>
      <c r="Y491" t="s">
        <v>2377</v>
      </c>
      <c r="Z491" t="s">
        <v>91</v>
      </c>
    </row>
    <row r="492" spans="1:26" ht="12.75" customHeight="1" x14ac:dyDescent="0.35">
      <c r="A492">
        <v>491</v>
      </c>
      <c r="B492">
        <v>45887.409114780094</v>
      </c>
      <c r="D492" t="s">
        <v>2567</v>
      </c>
      <c r="E492" t="s">
        <v>2405</v>
      </c>
      <c r="F492" t="s">
        <v>29</v>
      </c>
      <c r="G492" t="s">
        <v>44</v>
      </c>
      <c r="H492" t="s">
        <v>28</v>
      </c>
      <c r="I492" t="s">
        <v>173</v>
      </c>
      <c r="J492" t="s">
        <v>94</v>
      </c>
      <c r="K492" t="s">
        <v>368</v>
      </c>
      <c r="L492" t="s">
        <v>36</v>
      </c>
      <c r="N492" t="s">
        <v>2276</v>
      </c>
      <c r="O492" t="s">
        <v>48</v>
      </c>
      <c r="P492" t="s">
        <v>48</v>
      </c>
      <c r="Q492" t="s">
        <v>48</v>
      </c>
      <c r="R492" t="s">
        <v>1951</v>
      </c>
      <c r="S492" t="s">
        <v>48</v>
      </c>
      <c r="T492" t="s">
        <v>1952</v>
      </c>
      <c r="U492" t="s">
        <v>2568</v>
      </c>
      <c r="V492" t="s">
        <v>53</v>
      </c>
      <c r="W492" t="s">
        <v>2569</v>
      </c>
      <c r="X492" t="s">
        <v>118</v>
      </c>
      <c r="Y492" t="s">
        <v>2570</v>
      </c>
      <c r="Z492" t="s">
        <v>91</v>
      </c>
    </row>
    <row r="493" spans="1:26" ht="12.75" customHeight="1" x14ac:dyDescent="0.35">
      <c r="A493">
        <v>492</v>
      </c>
      <c r="B493">
        <v>45887.413302905094</v>
      </c>
      <c r="D493" t="s">
        <v>2571</v>
      </c>
      <c r="E493" t="s">
        <v>1960</v>
      </c>
      <c r="F493" t="s">
        <v>60</v>
      </c>
      <c r="G493" t="s">
        <v>60</v>
      </c>
      <c r="H493" t="s">
        <v>44</v>
      </c>
      <c r="I493" t="s">
        <v>30</v>
      </c>
      <c r="J493" t="s">
        <v>28</v>
      </c>
      <c r="K493" t="s">
        <v>45</v>
      </c>
      <c r="L493" t="s">
        <v>46</v>
      </c>
      <c r="N493" t="s">
        <v>2572</v>
      </c>
      <c r="O493" t="s">
        <v>48</v>
      </c>
      <c r="P493" t="s">
        <v>48</v>
      </c>
      <c r="Q493" t="s">
        <v>38</v>
      </c>
      <c r="R493" t="s">
        <v>1885</v>
      </c>
      <c r="S493" t="s">
        <v>38</v>
      </c>
      <c r="T493" t="s">
        <v>1962</v>
      </c>
      <c r="U493" t="s">
        <v>1887</v>
      </c>
      <c r="V493" t="s">
        <v>53</v>
      </c>
      <c r="W493" t="s">
        <v>2573</v>
      </c>
      <c r="X493" t="s">
        <v>2485</v>
      </c>
      <c r="Y493" t="s">
        <v>2574</v>
      </c>
      <c r="Z493" t="s">
        <v>91</v>
      </c>
    </row>
    <row r="494" spans="1:26" ht="12.75" customHeight="1" x14ac:dyDescent="0.35">
      <c r="A494">
        <v>493</v>
      </c>
      <c r="B494">
        <v>45887.413354803241</v>
      </c>
      <c r="D494" t="s">
        <v>2575</v>
      </c>
      <c r="E494" t="s">
        <v>2576</v>
      </c>
      <c r="F494" t="s">
        <v>33</v>
      </c>
      <c r="G494" t="s">
        <v>33</v>
      </c>
      <c r="H494" t="s">
        <v>33</v>
      </c>
      <c r="I494" t="s">
        <v>34</v>
      </c>
      <c r="J494" t="s">
        <v>34</v>
      </c>
      <c r="K494" t="s">
        <v>74</v>
      </c>
      <c r="L494" t="s">
        <v>36</v>
      </c>
      <c r="N494" t="s">
        <v>2577</v>
      </c>
      <c r="O494" t="s">
        <v>49</v>
      </c>
      <c r="P494" t="s">
        <v>49</v>
      </c>
      <c r="Q494" t="s">
        <v>48</v>
      </c>
      <c r="R494" t="s">
        <v>1951</v>
      </c>
      <c r="S494" t="s">
        <v>48</v>
      </c>
      <c r="T494" t="s">
        <v>1952</v>
      </c>
      <c r="U494" t="s">
        <v>1976</v>
      </c>
      <c r="V494" t="s">
        <v>53</v>
      </c>
      <c r="W494" t="s">
        <v>2578</v>
      </c>
      <c r="X494" t="s">
        <v>1030</v>
      </c>
      <c r="Y494" t="s">
        <v>2579</v>
      </c>
      <c r="Z494" t="s">
        <v>91</v>
      </c>
    </row>
    <row r="495" spans="1:26" ht="12.75" customHeight="1" x14ac:dyDescent="0.35">
      <c r="A495">
        <v>494</v>
      </c>
      <c r="B495">
        <v>45887.416363564815</v>
      </c>
      <c r="D495" t="s">
        <v>2580</v>
      </c>
      <c r="E495" t="s">
        <v>2155</v>
      </c>
      <c r="F495" t="s">
        <v>28</v>
      </c>
      <c r="G495" t="s">
        <v>28</v>
      </c>
      <c r="H495" t="s">
        <v>28</v>
      </c>
      <c r="I495" t="s">
        <v>28</v>
      </c>
      <c r="J495" t="s">
        <v>28</v>
      </c>
      <c r="K495" t="s">
        <v>45</v>
      </c>
      <c r="L495" t="s">
        <v>36</v>
      </c>
      <c r="N495" t="s">
        <v>2553</v>
      </c>
      <c r="O495" t="s">
        <v>38</v>
      </c>
      <c r="P495" t="s">
        <v>38</v>
      </c>
      <c r="Q495" t="s">
        <v>38</v>
      </c>
      <c r="R495" t="s">
        <v>2253</v>
      </c>
      <c r="S495" t="s">
        <v>38</v>
      </c>
      <c r="T495" t="s">
        <v>2581</v>
      </c>
      <c r="U495" t="s">
        <v>2175</v>
      </c>
      <c r="V495" t="s">
        <v>53</v>
      </c>
      <c r="W495" t="s">
        <v>2582</v>
      </c>
      <c r="X495" t="s">
        <v>118</v>
      </c>
      <c r="Y495" t="s">
        <v>2583</v>
      </c>
      <c r="Z495" t="s">
        <v>91</v>
      </c>
    </row>
    <row r="496" spans="1:26" ht="12.75" customHeight="1" x14ac:dyDescent="0.35">
      <c r="A496">
        <v>495</v>
      </c>
      <c r="B496">
        <v>45887.416771053242</v>
      </c>
      <c r="D496" t="s">
        <v>2584</v>
      </c>
      <c r="E496" t="s">
        <v>2576</v>
      </c>
      <c r="F496" t="s">
        <v>33</v>
      </c>
      <c r="G496" t="s">
        <v>33</v>
      </c>
      <c r="H496" t="s">
        <v>29</v>
      </c>
      <c r="I496" t="s">
        <v>34</v>
      </c>
      <c r="J496" t="s">
        <v>34</v>
      </c>
      <c r="K496" t="s">
        <v>74</v>
      </c>
      <c r="L496" t="s">
        <v>46</v>
      </c>
      <c r="N496" t="s">
        <v>2577</v>
      </c>
      <c r="O496" t="s">
        <v>48</v>
      </c>
      <c r="P496" t="s">
        <v>48</v>
      </c>
      <c r="Q496" t="s">
        <v>48</v>
      </c>
      <c r="R496" t="s">
        <v>1951</v>
      </c>
      <c r="S496" t="s">
        <v>39</v>
      </c>
      <c r="T496" t="s">
        <v>1952</v>
      </c>
      <c r="U496" t="s">
        <v>2585</v>
      </c>
      <c r="V496" t="s">
        <v>53</v>
      </c>
      <c r="W496" t="s">
        <v>2586</v>
      </c>
      <c r="X496" t="s">
        <v>1030</v>
      </c>
      <c r="Y496" t="s">
        <v>2587</v>
      </c>
      <c r="Z496" t="s">
        <v>91</v>
      </c>
    </row>
    <row r="497" spans="1:26" ht="12.75" customHeight="1" x14ac:dyDescent="0.35">
      <c r="A497">
        <v>496</v>
      </c>
      <c r="B497">
        <v>45887.421224490739</v>
      </c>
      <c r="D497" t="s">
        <v>2588</v>
      </c>
      <c r="E497" t="s">
        <v>2155</v>
      </c>
      <c r="F497" t="s">
        <v>28</v>
      </c>
      <c r="G497" t="s">
        <v>28</v>
      </c>
      <c r="H497" t="s">
        <v>28</v>
      </c>
      <c r="I497" t="s">
        <v>28</v>
      </c>
      <c r="J497" t="s">
        <v>28</v>
      </c>
      <c r="K497" t="s">
        <v>28</v>
      </c>
      <c r="L497" t="s">
        <v>36</v>
      </c>
      <c r="N497" t="s">
        <v>2553</v>
      </c>
      <c r="O497" t="s">
        <v>38</v>
      </c>
      <c r="P497" t="s">
        <v>49</v>
      </c>
      <c r="R497" t="s">
        <v>2195</v>
      </c>
      <c r="S497" t="s">
        <v>38</v>
      </c>
      <c r="T497" t="s">
        <v>2186</v>
      </c>
      <c r="U497" t="s">
        <v>2162</v>
      </c>
      <c r="V497" t="s">
        <v>53</v>
      </c>
      <c r="W497" t="s">
        <v>2589</v>
      </c>
      <c r="X497" t="s">
        <v>118</v>
      </c>
      <c r="Y497" t="s">
        <v>2583</v>
      </c>
      <c r="Z497" t="s">
        <v>91</v>
      </c>
    </row>
    <row r="498" spans="1:26" ht="12.75" customHeight="1" x14ac:dyDescent="0.35">
      <c r="A498">
        <v>497</v>
      </c>
      <c r="B498">
        <v>45887.421296203705</v>
      </c>
      <c r="D498" t="s">
        <v>2590</v>
      </c>
      <c r="E498" t="s">
        <v>2591</v>
      </c>
      <c r="F498" t="s">
        <v>29</v>
      </c>
      <c r="G498" t="s">
        <v>29</v>
      </c>
      <c r="H498" t="s">
        <v>29</v>
      </c>
      <c r="I498" t="s">
        <v>34</v>
      </c>
      <c r="J498" t="s">
        <v>34</v>
      </c>
      <c r="K498" t="s">
        <v>74</v>
      </c>
      <c r="L498" t="s">
        <v>36</v>
      </c>
      <c r="N498" t="s">
        <v>2592</v>
      </c>
      <c r="O498" t="s">
        <v>48</v>
      </c>
      <c r="P498" t="s">
        <v>48</v>
      </c>
      <c r="Q498" t="s">
        <v>48</v>
      </c>
      <c r="R498" t="s">
        <v>1951</v>
      </c>
      <c r="S498" t="s">
        <v>48</v>
      </c>
      <c r="T498" t="s">
        <v>1952</v>
      </c>
      <c r="U498" t="s">
        <v>1976</v>
      </c>
      <c r="V498" t="s">
        <v>53</v>
      </c>
      <c r="W498" t="s">
        <v>2593</v>
      </c>
      <c r="X498" t="s">
        <v>1030</v>
      </c>
      <c r="Y498" t="s">
        <v>2594</v>
      </c>
      <c r="Z498" t="s">
        <v>91</v>
      </c>
    </row>
    <row r="499" spans="1:26" ht="12.75" customHeight="1" x14ac:dyDescent="0.35">
      <c r="A499">
        <v>498</v>
      </c>
      <c r="B499">
        <v>45887.422867060188</v>
      </c>
      <c r="D499" t="s">
        <v>2595</v>
      </c>
      <c r="E499" t="s">
        <v>1960</v>
      </c>
      <c r="F499" t="s">
        <v>44</v>
      </c>
      <c r="G499" t="s">
        <v>44</v>
      </c>
      <c r="H499" t="s">
        <v>44</v>
      </c>
      <c r="I499" t="s">
        <v>103</v>
      </c>
      <c r="J499" t="s">
        <v>173</v>
      </c>
      <c r="K499" t="s">
        <v>28</v>
      </c>
      <c r="L499" t="s">
        <v>46</v>
      </c>
      <c r="N499" t="s">
        <v>2572</v>
      </c>
      <c r="O499" t="s">
        <v>48</v>
      </c>
      <c r="P499" t="s">
        <v>48</v>
      </c>
      <c r="Q499" t="s">
        <v>38</v>
      </c>
      <c r="R499" t="s">
        <v>1885</v>
      </c>
      <c r="S499" t="s">
        <v>49</v>
      </c>
      <c r="T499" t="s">
        <v>1962</v>
      </c>
      <c r="U499" t="s">
        <v>1887</v>
      </c>
      <c r="V499" t="s">
        <v>53</v>
      </c>
      <c r="W499" t="s">
        <v>2596</v>
      </c>
      <c r="X499" t="s">
        <v>2485</v>
      </c>
      <c r="Y499" t="s">
        <v>2597</v>
      </c>
      <c r="Z499" t="s">
        <v>91</v>
      </c>
    </row>
    <row r="500" spans="1:26" ht="12.75" customHeight="1" x14ac:dyDescent="0.35">
      <c r="A500">
        <v>499</v>
      </c>
      <c r="B500">
        <v>45887.426437048613</v>
      </c>
      <c r="D500" t="s">
        <v>2598</v>
      </c>
      <c r="E500" t="s">
        <v>2155</v>
      </c>
      <c r="F500" t="s">
        <v>44</v>
      </c>
      <c r="G500" t="s">
        <v>28</v>
      </c>
      <c r="H500" t="s">
        <v>28</v>
      </c>
      <c r="I500" t="s">
        <v>28</v>
      </c>
      <c r="J500" t="s">
        <v>28</v>
      </c>
      <c r="K500" t="s">
        <v>292</v>
      </c>
      <c r="L500" t="s">
        <v>46</v>
      </c>
      <c r="N500" t="s">
        <v>2599</v>
      </c>
      <c r="O500" t="s">
        <v>38</v>
      </c>
      <c r="P500" t="s">
        <v>38</v>
      </c>
      <c r="Q500" t="s">
        <v>38</v>
      </c>
      <c r="R500" t="s">
        <v>2195</v>
      </c>
      <c r="S500" t="s">
        <v>49</v>
      </c>
      <c r="T500" t="s">
        <v>2186</v>
      </c>
      <c r="U500" t="s">
        <v>2175</v>
      </c>
      <c r="V500" t="s">
        <v>53</v>
      </c>
      <c r="W500" t="s">
        <v>2600</v>
      </c>
      <c r="X500" t="s">
        <v>118</v>
      </c>
      <c r="Y500" t="s">
        <v>2601</v>
      </c>
      <c r="Z500" t="s">
        <v>91</v>
      </c>
    </row>
    <row r="501" spans="1:26" ht="12.75" customHeight="1" x14ac:dyDescent="0.35">
      <c r="A501">
        <v>500</v>
      </c>
      <c r="B501">
        <v>45887.427421747685</v>
      </c>
      <c r="D501" t="s">
        <v>2602</v>
      </c>
      <c r="E501" t="s">
        <v>2591</v>
      </c>
      <c r="F501" t="s">
        <v>33</v>
      </c>
      <c r="G501" t="s">
        <v>33</v>
      </c>
      <c r="H501" t="s">
        <v>60</v>
      </c>
      <c r="I501" t="s">
        <v>173</v>
      </c>
      <c r="J501" t="s">
        <v>30</v>
      </c>
      <c r="K501" t="s">
        <v>74</v>
      </c>
      <c r="L501" t="s">
        <v>36</v>
      </c>
      <c r="N501" t="s">
        <v>2592</v>
      </c>
      <c r="O501" t="s">
        <v>48</v>
      </c>
      <c r="P501" t="s">
        <v>48</v>
      </c>
      <c r="Q501" t="s">
        <v>49</v>
      </c>
      <c r="R501" t="s">
        <v>1951</v>
      </c>
      <c r="S501" t="s">
        <v>49</v>
      </c>
      <c r="T501" t="s">
        <v>1952</v>
      </c>
      <c r="U501" t="s">
        <v>1976</v>
      </c>
      <c r="V501" t="s">
        <v>53</v>
      </c>
      <c r="W501" t="s">
        <v>2603</v>
      </c>
      <c r="X501" t="s">
        <v>1030</v>
      </c>
      <c r="Y501" t="s">
        <v>2604</v>
      </c>
      <c r="Z501" t="s">
        <v>91</v>
      </c>
    </row>
    <row r="502" spans="1:26" ht="12.75" customHeight="1" x14ac:dyDescent="0.35">
      <c r="A502">
        <v>501</v>
      </c>
      <c r="B502">
        <v>45887.427982488429</v>
      </c>
      <c r="D502" t="s">
        <v>2605</v>
      </c>
      <c r="E502" t="s">
        <v>2405</v>
      </c>
      <c r="F502" t="s">
        <v>28</v>
      </c>
      <c r="G502" t="s">
        <v>60</v>
      </c>
      <c r="H502" t="s">
        <v>206</v>
      </c>
      <c r="I502" t="s">
        <v>197</v>
      </c>
      <c r="J502" t="s">
        <v>28</v>
      </c>
      <c r="K502" t="s">
        <v>61</v>
      </c>
      <c r="L502" t="s">
        <v>36</v>
      </c>
      <c r="N502" t="s">
        <v>2276</v>
      </c>
      <c r="O502" t="s">
        <v>48</v>
      </c>
      <c r="P502" t="s">
        <v>48</v>
      </c>
      <c r="Q502" t="s">
        <v>48</v>
      </c>
      <c r="R502" t="s">
        <v>1951</v>
      </c>
      <c r="S502" t="s">
        <v>48</v>
      </c>
      <c r="T502" t="s">
        <v>1952</v>
      </c>
      <c r="U502" t="s">
        <v>1976</v>
      </c>
      <c r="V502" t="s">
        <v>53</v>
      </c>
      <c r="W502" t="s">
        <v>2606</v>
      </c>
      <c r="X502" t="s">
        <v>118</v>
      </c>
      <c r="Y502" t="s">
        <v>2607</v>
      </c>
      <c r="Z502" t="s">
        <v>91</v>
      </c>
    </row>
    <row r="503" spans="1:26" ht="12.75" customHeight="1" x14ac:dyDescent="0.35">
      <c r="A503">
        <v>502</v>
      </c>
      <c r="B503">
        <v>45887.430422442128</v>
      </c>
      <c r="D503" t="s">
        <v>2608</v>
      </c>
      <c r="E503" t="s">
        <v>2155</v>
      </c>
      <c r="F503" t="s">
        <v>60</v>
      </c>
      <c r="G503" t="s">
        <v>60</v>
      </c>
      <c r="H503" t="s">
        <v>28</v>
      </c>
      <c r="I503" t="s">
        <v>28</v>
      </c>
      <c r="J503" t="s">
        <v>28</v>
      </c>
      <c r="K503" t="s">
        <v>28</v>
      </c>
      <c r="L503" t="s">
        <v>46</v>
      </c>
      <c r="N503" t="s">
        <v>2609</v>
      </c>
      <c r="O503" t="s">
        <v>38</v>
      </c>
      <c r="P503" t="s">
        <v>38</v>
      </c>
      <c r="Q503" t="s">
        <v>49</v>
      </c>
      <c r="R503" t="s">
        <v>2195</v>
      </c>
      <c r="S503" t="s">
        <v>49</v>
      </c>
      <c r="T503" t="s">
        <v>2244</v>
      </c>
      <c r="U503" t="s">
        <v>2471</v>
      </c>
      <c r="V503" t="s">
        <v>53</v>
      </c>
      <c r="W503" t="s">
        <v>2610</v>
      </c>
      <c r="X503" t="s">
        <v>118</v>
      </c>
      <c r="Y503" t="s">
        <v>2611</v>
      </c>
      <c r="Z503" t="s">
        <v>91</v>
      </c>
    </row>
    <row r="504" spans="1:26" ht="12.75" customHeight="1" x14ac:dyDescent="0.35">
      <c r="A504">
        <v>503</v>
      </c>
      <c r="B504">
        <v>45887.430614976853</v>
      </c>
      <c r="D504" t="s">
        <v>2612</v>
      </c>
      <c r="E504" t="s">
        <v>493</v>
      </c>
      <c r="F504" t="s">
        <v>29</v>
      </c>
      <c r="G504" t="s">
        <v>197</v>
      </c>
      <c r="H504" t="s">
        <v>73</v>
      </c>
      <c r="I504" t="s">
        <v>158</v>
      </c>
      <c r="J504" t="s">
        <v>45</v>
      </c>
      <c r="K504" t="s">
        <v>35</v>
      </c>
      <c r="L504" t="s">
        <v>46</v>
      </c>
      <c r="N504" t="s">
        <v>2391</v>
      </c>
      <c r="O504" t="s">
        <v>49</v>
      </c>
      <c r="P504" t="s">
        <v>38</v>
      </c>
      <c r="Q504" t="s">
        <v>48</v>
      </c>
      <c r="R504" t="s">
        <v>2613</v>
      </c>
      <c r="S504" t="s">
        <v>48</v>
      </c>
      <c r="T504" t="s">
        <v>134</v>
      </c>
      <c r="U504" t="s">
        <v>134</v>
      </c>
      <c r="V504" t="s">
        <v>53</v>
      </c>
      <c r="W504" t="s">
        <v>2614</v>
      </c>
      <c r="X504" t="s">
        <v>1030</v>
      </c>
      <c r="Y504" t="s">
        <v>2615</v>
      </c>
      <c r="Z504" t="s">
        <v>170</v>
      </c>
    </row>
    <row r="505" spans="1:26" ht="12.75" customHeight="1" x14ac:dyDescent="0.35">
      <c r="A505">
        <v>504</v>
      </c>
      <c r="B505">
        <v>45887.430927557871</v>
      </c>
      <c r="D505" t="s">
        <v>2616</v>
      </c>
      <c r="E505" t="s">
        <v>2591</v>
      </c>
      <c r="F505" t="s">
        <v>33</v>
      </c>
      <c r="G505" t="s">
        <v>33</v>
      </c>
      <c r="H505" t="s">
        <v>33</v>
      </c>
      <c r="I505" t="s">
        <v>34</v>
      </c>
      <c r="J505" t="s">
        <v>34</v>
      </c>
      <c r="K505" t="s">
        <v>61</v>
      </c>
      <c r="L505" t="s">
        <v>36</v>
      </c>
      <c r="N505" t="s">
        <v>2592</v>
      </c>
      <c r="O505" t="s">
        <v>49</v>
      </c>
      <c r="P505" t="s">
        <v>48</v>
      </c>
      <c r="Q505" t="s">
        <v>49</v>
      </c>
      <c r="R505" t="s">
        <v>1951</v>
      </c>
      <c r="S505" t="s">
        <v>49</v>
      </c>
      <c r="T505" t="s">
        <v>1952</v>
      </c>
      <c r="U505" t="s">
        <v>1976</v>
      </c>
      <c r="V505" t="s">
        <v>53</v>
      </c>
      <c r="W505" t="s">
        <v>2617</v>
      </c>
      <c r="X505" t="s">
        <v>1030</v>
      </c>
      <c r="Y505" t="s">
        <v>2618</v>
      </c>
      <c r="Z505" t="s">
        <v>91</v>
      </c>
    </row>
    <row r="506" spans="1:26" ht="12.75" customHeight="1" x14ac:dyDescent="0.35">
      <c r="A506">
        <v>505</v>
      </c>
      <c r="B506">
        <v>45887.431676979162</v>
      </c>
      <c r="D506" t="s">
        <v>2619</v>
      </c>
      <c r="E506" t="s">
        <v>1899</v>
      </c>
      <c r="F506" t="s">
        <v>28</v>
      </c>
      <c r="G506" t="s">
        <v>28</v>
      </c>
      <c r="H506" t="s">
        <v>28</v>
      </c>
      <c r="I506" t="s">
        <v>28</v>
      </c>
      <c r="J506" t="s">
        <v>28</v>
      </c>
      <c r="K506" t="s">
        <v>28</v>
      </c>
      <c r="L506" t="s">
        <v>46</v>
      </c>
      <c r="N506" t="s">
        <v>2525</v>
      </c>
      <c r="O506" t="s">
        <v>48</v>
      </c>
      <c r="P506" t="s">
        <v>48</v>
      </c>
      <c r="Q506" t="s">
        <v>48</v>
      </c>
      <c r="R506" t="s">
        <v>2620</v>
      </c>
      <c r="S506" t="s">
        <v>48</v>
      </c>
      <c r="T506" t="s">
        <v>2621</v>
      </c>
      <c r="U506" t="s">
        <v>2622</v>
      </c>
      <c r="V506" t="s">
        <v>53</v>
      </c>
      <c r="W506" t="s">
        <v>2623</v>
      </c>
      <c r="X506" t="s">
        <v>153</v>
      </c>
      <c r="Y506" t="s">
        <v>2624</v>
      </c>
      <c r="Z506" t="s">
        <v>91</v>
      </c>
    </row>
    <row r="507" spans="1:26" ht="12.75" customHeight="1" x14ac:dyDescent="0.35">
      <c r="A507">
        <v>506</v>
      </c>
      <c r="B507">
        <v>45887.432842662034</v>
      </c>
      <c r="D507" t="s">
        <v>2625</v>
      </c>
      <c r="E507" t="s">
        <v>1875</v>
      </c>
      <c r="F507" t="s">
        <v>44</v>
      </c>
      <c r="G507" t="s">
        <v>44</v>
      </c>
      <c r="H507" t="s">
        <v>28</v>
      </c>
      <c r="I507" t="s">
        <v>173</v>
      </c>
      <c r="J507" t="s">
        <v>28</v>
      </c>
      <c r="K507" t="s">
        <v>368</v>
      </c>
      <c r="L507" t="s">
        <v>36</v>
      </c>
      <c r="N507" t="s">
        <v>2212</v>
      </c>
      <c r="O507" t="s">
        <v>49</v>
      </c>
      <c r="P507" t="s">
        <v>38</v>
      </c>
      <c r="Q507" t="s">
        <v>49</v>
      </c>
      <c r="R507" t="s">
        <v>2626</v>
      </c>
      <c r="S507" t="s">
        <v>49</v>
      </c>
      <c r="T507" t="s">
        <v>2627</v>
      </c>
      <c r="U507" t="s">
        <v>2628</v>
      </c>
      <c r="V507" t="s">
        <v>53</v>
      </c>
      <c r="W507" t="s">
        <v>2629</v>
      </c>
      <c r="X507" t="s">
        <v>2246</v>
      </c>
      <c r="Y507" t="s">
        <v>2630</v>
      </c>
      <c r="Z507" t="s">
        <v>91</v>
      </c>
    </row>
    <row r="508" spans="1:26" ht="12.75" customHeight="1" x14ac:dyDescent="0.35">
      <c r="A508">
        <v>507</v>
      </c>
      <c r="B508">
        <v>45887.433549884256</v>
      </c>
      <c r="D508" t="s">
        <v>2631</v>
      </c>
      <c r="E508" t="s">
        <v>1960</v>
      </c>
      <c r="F508" t="s">
        <v>44</v>
      </c>
      <c r="G508" t="s">
        <v>60</v>
      </c>
      <c r="H508" t="s">
        <v>44</v>
      </c>
      <c r="I508" t="s">
        <v>28</v>
      </c>
      <c r="J508" t="s">
        <v>173</v>
      </c>
      <c r="K508" t="s">
        <v>28</v>
      </c>
      <c r="L508" t="s">
        <v>46</v>
      </c>
      <c r="N508" t="s">
        <v>2572</v>
      </c>
      <c r="O508" t="s">
        <v>48</v>
      </c>
      <c r="P508" t="s">
        <v>48</v>
      </c>
      <c r="Q508" t="s">
        <v>38</v>
      </c>
      <c r="R508" t="s">
        <v>1885</v>
      </c>
      <c r="S508" t="s">
        <v>49</v>
      </c>
      <c r="T508" t="s">
        <v>1962</v>
      </c>
      <c r="U508" t="s">
        <v>1887</v>
      </c>
      <c r="V508" t="s">
        <v>53</v>
      </c>
      <c r="W508" t="s">
        <v>2632</v>
      </c>
      <c r="X508" t="s">
        <v>2485</v>
      </c>
      <c r="Y508" t="s">
        <v>2633</v>
      </c>
      <c r="Z508" t="s">
        <v>91</v>
      </c>
    </row>
    <row r="509" spans="1:26" ht="12.75" customHeight="1" x14ac:dyDescent="0.35">
      <c r="A509">
        <v>508</v>
      </c>
      <c r="B509">
        <v>45887.434584432871</v>
      </c>
      <c r="D509" t="s">
        <v>2634</v>
      </c>
      <c r="E509" t="s">
        <v>2155</v>
      </c>
      <c r="F509" t="s">
        <v>28</v>
      </c>
      <c r="G509" t="s">
        <v>28</v>
      </c>
      <c r="H509" t="s">
        <v>28</v>
      </c>
      <c r="I509" t="s">
        <v>103</v>
      </c>
      <c r="J509" t="s">
        <v>28</v>
      </c>
      <c r="K509" t="s">
        <v>28</v>
      </c>
      <c r="L509" t="s">
        <v>46</v>
      </c>
      <c r="N509" t="s">
        <v>2635</v>
      </c>
      <c r="O509" t="s">
        <v>38</v>
      </c>
      <c r="P509" t="s">
        <v>38</v>
      </c>
      <c r="Q509" t="s">
        <v>38</v>
      </c>
      <c r="R509" t="s">
        <v>2195</v>
      </c>
      <c r="S509" t="s">
        <v>38</v>
      </c>
      <c r="T509" t="s">
        <v>2636</v>
      </c>
      <c r="U509" t="s">
        <v>2162</v>
      </c>
      <c r="V509" t="s">
        <v>53</v>
      </c>
      <c r="W509" t="s">
        <v>2637</v>
      </c>
      <c r="X509" t="s">
        <v>118</v>
      </c>
      <c r="Y509" t="s">
        <v>2638</v>
      </c>
      <c r="Z509" t="s">
        <v>91</v>
      </c>
    </row>
    <row r="510" spans="1:26" ht="12.75" customHeight="1" x14ac:dyDescent="0.35">
      <c r="A510">
        <v>509</v>
      </c>
      <c r="B510">
        <v>45887.435325486113</v>
      </c>
      <c r="D510" t="s">
        <v>2639</v>
      </c>
      <c r="E510" t="s">
        <v>2591</v>
      </c>
      <c r="F510" t="s">
        <v>29</v>
      </c>
      <c r="G510" t="s">
        <v>33</v>
      </c>
      <c r="H510" t="s">
        <v>33</v>
      </c>
      <c r="I510" t="s">
        <v>34</v>
      </c>
      <c r="J510" t="s">
        <v>34</v>
      </c>
      <c r="K510" t="s">
        <v>74</v>
      </c>
      <c r="L510" t="s">
        <v>46</v>
      </c>
      <c r="N510" t="s">
        <v>2640</v>
      </c>
      <c r="O510" t="s">
        <v>49</v>
      </c>
      <c r="P510" t="s">
        <v>48</v>
      </c>
      <c r="Q510" t="s">
        <v>48</v>
      </c>
      <c r="R510" t="s">
        <v>1951</v>
      </c>
      <c r="S510" t="s">
        <v>49</v>
      </c>
      <c r="T510" t="s">
        <v>1952</v>
      </c>
      <c r="U510" t="s">
        <v>1976</v>
      </c>
      <c r="V510" t="s">
        <v>53</v>
      </c>
      <c r="W510" t="s">
        <v>2641</v>
      </c>
      <c r="X510" t="s">
        <v>1030</v>
      </c>
      <c r="Y510" t="s">
        <v>2642</v>
      </c>
      <c r="Z510" t="s">
        <v>91</v>
      </c>
    </row>
    <row r="511" spans="1:26" ht="12.75" customHeight="1" x14ac:dyDescent="0.35">
      <c r="A511">
        <v>510</v>
      </c>
      <c r="B511">
        <v>45887.435457372689</v>
      </c>
      <c r="D511" t="s">
        <v>2643</v>
      </c>
      <c r="E511" t="s">
        <v>1899</v>
      </c>
      <c r="F511" t="s">
        <v>28</v>
      </c>
      <c r="G511" t="s">
        <v>28</v>
      </c>
      <c r="H511" t="s">
        <v>28</v>
      </c>
      <c r="I511" t="s">
        <v>28</v>
      </c>
      <c r="J511" t="s">
        <v>103</v>
      </c>
      <c r="K511" t="s">
        <v>28</v>
      </c>
      <c r="L511" t="s">
        <v>46</v>
      </c>
      <c r="N511" t="s">
        <v>2525</v>
      </c>
      <c r="O511" t="s">
        <v>48</v>
      </c>
      <c r="P511" t="s">
        <v>48</v>
      </c>
      <c r="Q511" t="s">
        <v>48</v>
      </c>
      <c r="R511" t="s">
        <v>2620</v>
      </c>
      <c r="S511" t="s">
        <v>48</v>
      </c>
      <c r="T511" t="s">
        <v>2621</v>
      </c>
      <c r="U511" t="s">
        <v>2622</v>
      </c>
      <c r="V511" t="s">
        <v>53</v>
      </c>
      <c r="W511" t="s">
        <v>2644</v>
      </c>
      <c r="X511" t="s">
        <v>118</v>
      </c>
      <c r="Y511" t="s">
        <v>2645</v>
      </c>
      <c r="Z511" t="s">
        <v>170</v>
      </c>
    </row>
    <row r="512" spans="1:26" ht="12.75" customHeight="1" x14ac:dyDescent="0.35">
      <c r="A512">
        <v>511</v>
      </c>
      <c r="B512">
        <v>45887.438117372687</v>
      </c>
      <c r="D512" t="s">
        <v>2646</v>
      </c>
      <c r="E512" t="s">
        <v>2647</v>
      </c>
      <c r="F512" t="s">
        <v>29</v>
      </c>
      <c r="G512" t="s">
        <v>29</v>
      </c>
      <c r="H512" t="s">
        <v>29</v>
      </c>
      <c r="I512" t="s">
        <v>30</v>
      </c>
      <c r="J512" t="s">
        <v>30</v>
      </c>
      <c r="K512" t="s">
        <v>94</v>
      </c>
      <c r="L512" t="s">
        <v>36</v>
      </c>
      <c r="N512" t="s">
        <v>2648</v>
      </c>
      <c r="O512" t="s">
        <v>49</v>
      </c>
      <c r="P512" t="s">
        <v>49</v>
      </c>
      <c r="Q512" t="s">
        <v>49</v>
      </c>
      <c r="R512" t="s">
        <v>2649</v>
      </c>
      <c r="S512" t="s">
        <v>49</v>
      </c>
      <c r="T512" t="s">
        <v>2650</v>
      </c>
      <c r="U512" t="s">
        <v>2651</v>
      </c>
      <c r="V512" t="s">
        <v>53</v>
      </c>
      <c r="X512" t="s">
        <v>81</v>
      </c>
      <c r="Y512" t="s">
        <v>413</v>
      </c>
      <c r="Z512" t="s">
        <v>129</v>
      </c>
    </row>
    <row r="513" spans="1:26" ht="12.75" customHeight="1" x14ac:dyDescent="0.35">
      <c r="A513">
        <v>512</v>
      </c>
      <c r="B513">
        <v>45887.43841555556</v>
      </c>
      <c r="D513" t="s">
        <v>2652</v>
      </c>
      <c r="E513" t="s">
        <v>1960</v>
      </c>
      <c r="F513" t="s">
        <v>44</v>
      </c>
      <c r="G513" t="s">
        <v>44</v>
      </c>
      <c r="H513" t="s">
        <v>44</v>
      </c>
      <c r="I513" t="s">
        <v>103</v>
      </c>
      <c r="J513" t="s">
        <v>173</v>
      </c>
      <c r="K513" t="s">
        <v>292</v>
      </c>
      <c r="L513" t="s">
        <v>46</v>
      </c>
      <c r="N513" t="s">
        <v>2653</v>
      </c>
      <c r="O513" t="s">
        <v>48</v>
      </c>
      <c r="P513" t="s">
        <v>48</v>
      </c>
      <c r="Q513" t="s">
        <v>38</v>
      </c>
      <c r="R513" t="s">
        <v>1885</v>
      </c>
      <c r="S513" t="s">
        <v>49</v>
      </c>
      <c r="T513" t="s">
        <v>1962</v>
      </c>
      <c r="U513" t="s">
        <v>1887</v>
      </c>
      <c r="V513" t="s">
        <v>53</v>
      </c>
      <c r="W513" t="s">
        <v>2654</v>
      </c>
      <c r="X513" t="s">
        <v>2485</v>
      </c>
      <c r="Y513" t="s">
        <v>2655</v>
      </c>
      <c r="Z513" t="s">
        <v>91</v>
      </c>
    </row>
    <row r="514" spans="1:26" ht="12.75" customHeight="1" x14ac:dyDescent="0.35">
      <c r="A514">
        <v>513</v>
      </c>
      <c r="B514">
        <v>45887.439128171296</v>
      </c>
      <c r="D514" t="s">
        <v>2656</v>
      </c>
      <c r="E514" t="s">
        <v>2155</v>
      </c>
      <c r="F514" t="s">
        <v>28</v>
      </c>
      <c r="G514" t="s">
        <v>28</v>
      </c>
      <c r="H514" t="s">
        <v>44</v>
      </c>
      <c r="I514" t="s">
        <v>28</v>
      </c>
      <c r="J514" t="s">
        <v>28</v>
      </c>
      <c r="K514" t="s">
        <v>28</v>
      </c>
      <c r="L514" t="s">
        <v>46</v>
      </c>
      <c r="N514" t="s">
        <v>2635</v>
      </c>
      <c r="O514" t="s">
        <v>38</v>
      </c>
      <c r="P514" t="s">
        <v>49</v>
      </c>
      <c r="Q514" t="s">
        <v>49</v>
      </c>
      <c r="R514" t="s">
        <v>2195</v>
      </c>
      <c r="S514" t="s">
        <v>49</v>
      </c>
      <c r="T514" t="s">
        <v>2186</v>
      </c>
      <c r="U514" t="s">
        <v>2175</v>
      </c>
      <c r="V514" t="s">
        <v>53</v>
      </c>
      <c r="W514" t="s">
        <v>2657</v>
      </c>
      <c r="X514" t="s">
        <v>118</v>
      </c>
      <c r="Y514" t="s">
        <v>2658</v>
      </c>
      <c r="Z514" t="s">
        <v>91</v>
      </c>
    </row>
    <row r="515" spans="1:26" ht="12.75" customHeight="1" x14ac:dyDescent="0.35">
      <c r="A515">
        <v>514</v>
      </c>
      <c r="B515">
        <v>45887.439155740736</v>
      </c>
      <c r="D515" t="s">
        <v>2659</v>
      </c>
      <c r="E515" t="s">
        <v>1899</v>
      </c>
      <c r="F515" t="s">
        <v>28</v>
      </c>
      <c r="G515" t="s">
        <v>28</v>
      </c>
      <c r="H515" t="s">
        <v>28</v>
      </c>
      <c r="I515" t="s">
        <v>28</v>
      </c>
      <c r="J515" t="s">
        <v>28</v>
      </c>
      <c r="K515" t="s">
        <v>28</v>
      </c>
      <c r="L515" t="s">
        <v>46</v>
      </c>
      <c r="N515" t="s">
        <v>2525</v>
      </c>
      <c r="O515" t="s">
        <v>48</v>
      </c>
      <c r="P515" t="s">
        <v>48</v>
      </c>
      <c r="Q515" t="s">
        <v>48</v>
      </c>
      <c r="R515" t="s">
        <v>2620</v>
      </c>
      <c r="S515" t="s">
        <v>49</v>
      </c>
      <c r="T515" t="s">
        <v>2621</v>
      </c>
      <c r="U515" t="s">
        <v>2622</v>
      </c>
      <c r="V515" t="s">
        <v>53</v>
      </c>
      <c r="W515" t="s">
        <v>2660</v>
      </c>
      <c r="X515" t="s">
        <v>118</v>
      </c>
      <c r="Y515" t="s">
        <v>2661</v>
      </c>
      <c r="Z515" t="s">
        <v>91</v>
      </c>
    </row>
    <row r="516" spans="1:26" ht="12.75" customHeight="1" x14ac:dyDescent="0.35">
      <c r="A516">
        <v>515</v>
      </c>
      <c r="B516">
        <v>45887.440755567135</v>
      </c>
      <c r="D516" t="s">
        <v>2662</v>
      </c>
      <c r="E516" t="s">
        <v>32</v>
      </c>
      <c r="F516" t="s">
        <v>71</v>
      </c>
      <c r="G516" t="s">
        <v>29</v>
      </c>
      <c r="H516" t="s">
        <v>28</v>
      </c>
      <c r="I516" t="s">
        <v>28</v>
      </c>
      <c r="J516" t="s">
        <v>28</v>
      </c>
      <c r="K516" t="s">
        <v>28</v>
      </c>
      <c r="L516" t="s">
        <v>46</v>
      </c>
      <c r="N516" t="s">
        <v>2391</v>
      </c>
      <c r="O516" t="s">
        <v>49</v>
      </c>
      <c r="P516" t="s">
        <v>49</v>
      </c>
      <c r="Q516" t="s">
        <v>48</v>
      </c>
      <c r="R516" t="s">
        <v>2663</v>
      </c>
      <c r="S516" t="s">
        <v>49</v>
      </c>
      <c r="T516" t="s">
        <v>2664</v>
      </c>
      <c r="U516" t="s">
        <v>2664</v>
      </c>
      <c r="V516" t="s">
        <v>53</v>
      </c>
      <c r="W516" t="s">
        <v>2665</v>
      </c>
      <c r="X516" t="s">
        <v>1030</v>
      </c>
      <c r="Y516" t="s">
        <v>251</v>
      </c>
      <c r="Z516" t="s">
        <v>129</v>
      </c>
    </row>
    <row r="517" spans="1:26" ht="12.75" customHeight="1" x14ac:dyDescent="0.35">
      <c r="A517">
        <v>516</v>
      </c>
      <c r="B517">
        <v>45887.441697627313</v>
      </c>
      <c r="D517" t="s">
        <v>2666</v>
      </c>
      <c r="E517" t="s">
        <v>2667</v>
      </c>
      <c r="F517" t="s">
        <v>29</v>
      </c>
      <c r="G517" t="s">
        <v>29</v>
      </c>
      <c r="H517" t="s">
        <v>29</v>
      </c>
      <c r="I517" t="s">
        <v>30</v>
      </c>
      <c r="J517" t="s">
        <v>30</v>
      </c>
      <c r="K517" t="s">
        <v>94</v>
      </c>
      <c r="L517" t="s">
        <v>46</v>
      </c>
      <c r="N517" t="s">
        <v>375</v>
      </c>
      <c r="O517" t="s">
        <v>49</v>
      </c>
      <c r="P517" t="s">
        <v>48</v>
      </c>
      <c r="Q517" t="s">
        <v>48</v>
      </c>
      <c r="R517" t="s">
        <v>2668</v>
      </c>
      <c r="S517" t="s">
        <v>49</v>
      </c>
      <c r="T517" t="s">
        <v>2669</v>
      </c>
      <c r="U517" t="s">
        <v>2670</v>
      </c>
      <c r="V517" t="s">
        <v>65</v>
      </c>
      <c r="X517" t="s">
        <v>81</v>
      </c>
      <c r="Y517" t="s">
        <v>2671</v>
      </c>
      <c r="Z517" t="s">
        <v>91</v>
      </c>
    </row>
    <row r="518" spans="1:26" ht="12.75" customHeight="1" x14ac:dyDescent="0.35">
      <c r="A518">
        <v>517</v>
      </c>
      <c r="B518">
        <v>45887.442604791664</v>
      </c>
      <c r="D518" t="s">
        <v>2672</v>
      </c>
      <c r="E518" t="s">
        <v>2591</v>
      </c>
      <c r="F518" t="s">
        <v>29</v>
      </c>
      <c r="G518" t="s">
        <v>33</v>
      </c>
      <c r="H518" t="s">
        <v>33</v>
      </c>
      <c r="I518" t="s">
        <v>34</v>
      </c>
      <c r="J518" t="s">
        <v>34</v>
      </c>
      <c r="K518" t="s">
        <v>74</v>
      </c>
      <c r="L518" t="s">
        <v>46</v>
      </c>
      <c r="N518" t="s">
        <v>2673</v>
      </c>
      <c r="O518" t="s">
        <v>49</v>
      </c>
      <c r="P518" t="s">
        <v>48</v>
      </c>
      <c r="Q518" t="s">
        <v>48</v>
      </c>
      <c r="R518" t="s">
        <v>1951</v>
      </c>
      <c r="S518" t="s">
        <v>48</v>
      </c>
      <c r="T518" t="s">
        <v>1952</v>
      </c>
      <c r="U518" t="s">
        <v>1976</v>
      </c>
      <c r="V518" t="s">
        <v>53</v>
      </c>
      <c r="W518" t="s">
        <v>2674</v>
      </c>
      <c r="X518" t="s">
        <v>118</v>
      </c>
      <c r="Y518" t="s">
        <v>2675</v>
      </c>
      <c r="Z518" t="s">
        <v>91</v>
      </c>
    </row>
    <row r="519" spans="1:26" ht="12.75" customHeight="1" x14ac:dyDescent="0.35">
      <c r="A519">
        <v>518</v>
      </c>
      <c r="B519">
        <v>45887.443236342588</v>
      </c>
      <c r="D519" t="s">
        <v>2676</v>
      </c>
      <c r="E519" t="s">
        <v>2155</v>
      </c>
      <c r="F519" t="s">
        <v>28</v>
      </c>
      <c r="G519" t="s">
        <v>28</v>
      </c>
      <c r="H519" t="s">
        <v>28</v>
      </c>
      <c r="I519" t="s">
        <v>28</v>
      </c>
      <c r="J519" t="s">
        <v>28</v>
      </c>
      <c r="K519" t="s">
        <v>28</v>
      </c>
      <c r="L519" t="s">
        <v>36</v>
      </c>
      <c r="N519" t="s">
        <v>2635</v>
      </c>
      <c r="O519" t="s">
        <v>38</v>
      </c>
      <c r="P519" t="s">
        <v>38</v>
      </c>
      <c r="Q519" t="s">
        <v>49</v>
      </c>
      <c r="R519" t="s">
        <v>2195</v>
      </c>
      <c r="S519" t="s">
        <v>49</v>
      </c>
      <c r="T519" t="s">
        <v>2186</v>
      </c>
      <c r="U519" t="s">
        <v>2175</v>
      </c>
      <c r="V519" t="s">
        <v>53</v>
      </c>
      <c r="W519" t="s">
        <v>2677</v>
      </c>
      <c r="X519" t="s">
        <v>118</v>
      </c>
      <c r="Y519" t="s">
        <v>2678</v>
      </c>
      <c r="Z519" t="s">
        <v>91</v>
      </c>
    </row>
    <row r="520" spans="1:26" ht="12.75" customHeight="1" x14ac:dyDescent="0.35">
      <c r="A520">
        <v>519</v>
      </c>
      <c r="B520">
        <v>45887.443775659718</v>
      </c>
      <c r="D520" t="s">
        <v>2679</v>
      </c>
      <c r="E520" t="s">
        <v>1960</v>
      </c>
      <c r="F520" t="s">
        <v>44</v>
      </c>
      <c r="G520" t="s">
        <v>60</v>
      </c>
      <c r="H520" t="s">
        <v>60</v>
      </c>
      <c r="I520" t="s">
        <v>103</v>
      </c>
      <c r="J520" t="s">
        <v>103</v>
      </c>
      <c r="K520" t="s">
        <v>45</v>
      </c>
      <c r="L520" t="s">
        <v>46</v>
      </c>
      <c r="N520" t="s">
        <v>2525</v>
      </c>
      <c r="O520" t="s">
        <v>48</v>
      </c>
      <c r="P520" t="s">
        <v>48</v>
      </c>
      <c r="Q520" t="s">
        <v>38</v>
      </c>
      <c r="R520" t="s">
        <v>1885</v>
      </c>
      <c r="S520" t="s">
        <v>38</v>
      </c>
      <c r="T520" t="s">
        <v>1962</v>
      </c>
      <c r="U520" t="s">
        <v>1887</v>
      </c>
      <c r="V520" t="s">
        <v>53</v>
      </c>
      <c r="W520" t="s">
        <v>2680</v>
      </c>
      <c r="X520" t="s">
        <v>153</v>
      </c>
      <c r="Y520" t="s">
        <v>2681</v>
      </c>
      <c r="Z520" t="s">
        <v>91</v>
      </c>
    </row>
    <row r="521" spans="1:26" ht="12.75" customHeight="1" x14ac:dyDescent="0.35">
      <c r="A521">
        <v>520</v>
      </c>
      <c r="B521">
        <v>45887.444241898149</v>
      </c>
      <c r="D521" t="s">
        <v>2682</v>
      </c>
      <c r="E521" t="s">
        <v>1899</v>
      </c>
      <c r="F521" t="s">
        <v>28</v>
      </c>
      <c r="G521" t="s">
        <v>158</v>
      </c>
      <c r="H521" t="s">
        <v>44</v>
      </c>
      <c r="I521" t="s">
        <v>173</v>
      </c>
      <c r="J521" t="s">
        <v>28</v>
      </c>
      <c r="K521" t="s">
        <v>28</v>
      </c>
      <c r="L521" t="s">
        <v>46</v>
      </c>
      <c r="N521" t="s">
        <v>2553</v>
      </c>
      <c r="O521" t="s">
        <v>48</v>
      </c>
      <c r="P521" t="s">
        <v>48</v>
      </c>
      <c r="Q521" t="s">
        <v>48</v>
      </c>
      <c r="R521" t="s">
        <v>2683</v>
      </c>
      <c r="S521" t="s">
        <v>48</v>
      </c>
      <c r="T521" t="s">
        <v>2684</v>
      </c>
      <c r="U521" t="s">
        <v>2685</v>
      </c>
      <c r="V521" t="s">
        <v>53</v>
      </c>
      <c r="W521" t="s">
        <v>2686</v>
      </c>
      <c r="X521" t="s">
        <v>118</v>
      </c>
      <c r="Y521" t="s">
        <v>2601</v>
      </c>
      <c r="Z521" t="s">
        <v>91</v>
      </c>
    </row>
    <row r="522" spans="1:26" ht="12.75" customHeight="1" x14ac:dyDescent="0.35">
      <c r="A522">
        <v>521</v>
      </c>
      <c r="B522">
        <v>45887.445458761576</v>
      </c>
      <c r="D522" t="s">
        <v>2687</v>
      </c>
      <c r="E522" t="s">
        <v>32</v>
      </c>
      <c r="F522" t="s">
        <v>28</v>
      </c>
      <c r="G522" t="s">
        <v>72</v>
      </c>
      <c r="H522" t="s">
        <v>284</v>
      </c>
      <c r="I522" t="s">
        <v>30</v>
      </c>
      <c r="J522" t="s">
        <v>94</v>
      </c>
      <c r="K522" t="s">
        <v>292</v>
      </c>
      <c r="L522" t="s">
        <v>36</v>
      </c>
      <c r="N522" t="s">
        <v>2391</v>
      </c>
      <c r="O522" t="s">
        <v>40</v>
      </c>
      <c r="P522" t="s">
        <v>49</v>
      </c>
      <c r="Q522" t="s">
        <v>48</v>
      </c>
      <c r="S522" t="s">
        <v>48</v>
      </c>
      <c r="T522" t="s">
        <v>2392</v>
      </c>
      <c r="V522" t="s">
        <v>53</v>
      </c>
      <c r="W522" t="s">
        <v>2688</v>
      </c>
      <c r="X522" t="s">
        <v>1030</v>
      </c>
      <c r="Y522" t="s">
        <v>2689</v>
      </c>
      <c r="Z522" t="s">
        <v>91</v>
      </c>
    </row>
    <row r="523" spans="1:26" ht="12.75" customHeight="1" x14ac:dyDescent="0.35">
      <c r="A523">
        <v>522</v>
      </c>
      <c r="B523">
        <v>45887.446411550925</v>
      </c>
      <c r="D523" t="s">
        <v>2690</v>
      </c>
      <c r="E523" t="s">
        <v>2691</v>
      </c>
      <c r="F523" t="s">
        <v>71</v>
      </c>
      <c r="G523" t="s">
        <v>33</v>
      </c>
      <c r="H523" t="s">
        <v>73</v>
      </c>
      <c r="I523" t="s">
        <v>34</v>
      </c>
      <c r="J523" t="s">
        <v>34</v>
      </c>
      <c r="K523" t="s">
        <v>73</v>
      </c>
      <c r="L523" t="s">
        <v>36</v>
      </c>
      <c r="N523" t="s">
        <v>2692</v>
      </c>
      <c r="O523" t="s">
        <v>49</v>
      </c>
      <c r="P523" t="s">
        <v>48</v>
      </c>
      <c r="Q523" t="s">
        <v>48</v>
      </c>
      <c r="R523" t="s">
        <v>2693</v>
      </c>
      <c r="S523" t="s">
        <v>48</v>
      </c>
      <c r="T523" t="s">
        <v>2694</v>
      </c>
      <c r="U523" t="s">
        <v>2695</v>
      </c>
      <c r="V523" t="s">
        <v>53</v>
      </c>
      <c r="X523" t="s">
        <v>603</v>
      </c>
      <c r="Y523" t="s">
        <v>2696</v>
      </c>
      <c r="Z523" t="s">
        <v>129</v>
      </c>
    </row>
    <row r="524" spans="1:26" ht="12.75" customHeight="1" x14ac:dyDescent="0.35">
      <c r="A524">
        <v>523</v>
      </c>
      <c r="B524">
        <v>45887.446834641203</v>
      </c>
      <c r="D524" t="s">
        <v>2697</v>
      </c>
      <c r="E524" t="s">
        <v>2591</v>
      </c>
      <c r="F524" t="s">
        <v>33</v>
      </c>
      <c r="G524" t="s">
        <v>33</v>
      </c>
      <c r="H524" t="s">
        <v>33</v>
      </c>
      <c r="I524" t="s">
        <v>34</v>
      </c>
      <c r="J524" t="s">
        <v>34</v>
      </c>
      <c r="K524" t="s">
        <v>74</v>
      </c>
      <c r="L524" t="s">
        <v>46</v>
      </c>
      <c r="N524" t="s">
        <v>2673</v>
      </c>
      <c r="O524" t="s">
        <v>49</v>
      </c>
      <c r="P524" t="s">
        <v>48</v>
      </c>
      <c r="Q524" t="s">
        <v>48</v>
      </c>
      <c r="R524" t="s">
        <v>1951</v>
      </c>
      <c r="S524" t="s">
        <v>49</v>
      </c>
      <c r="T524" t="s">
        <v>1952</v>
      </c>
      <c r="U524" t="s">
        <v>1976</v>
      </c>
      <c r="V524" t="s">
        <v>53</v>
      </c>
      <c r="W524" t="s">
        <v>2698</v>
      </c>
      <c r="X524" t="s">
        <v>118</v>
      </c>
      <c r="Y524" t="s">
        <v>2699</v>
      </c>
      <c r="Z524" t="s">
        <v>91</v>
      </c>
    </row>
    <row r="525" spans="1:26" ht="12.75" customHeight="1" x14ac:dyDescent="0.35">
      <c r="A525">
        <v>524</v>
      </c>
      <c r="B525">
        <v>45887.448481423606</v>
      </c>
      <c r="D525" t="s">
        <v>2700</v>
      </c>
      <c r="E525" t="s">
        <v>1960</v>
      </c>
      <c r="F525" t="s">
        <v>44</v>
      </c>
      <c r="G525" t="s">
        <v>44</v>
      </c>
      <c r="H525" t="s">
        <v>60</v>
      </c>
      <c r="I525" t="s">
        <v>103</v>
      </c>
      <c r="J525" t="s">
        <v>173</v>
      </c>
      <c r="K525" t="s">
        <v>28</v>
      </c>
      <c r="L525" t="s">
        <v>46</v>
      </c>
      <c r="N525" t="s">
        <v>2653</v>
      </c>
      <c r="O525" t="s">
        <v>48</v>
      </c>
      <c r="P525" t="s">
        <v>48</v>
      </c>
      <c r="Q525" t="s">
        <v>49</v>
      </c>
      <c r="R525" t="s">
        <v>1885</v>
      </c>
      <c r="S525" t="s">
        <v>49</v>
      </c>
      <c r="T525" t="s">
        <v>2011</v>
      </c>
      <c r="U525" t="s">
        <v>1887</v>
      </c>
      <c r="V525" t="s">
        <v>53</v>
      </c>
      <c r="W525" t="s">
        <v>2701</v>
      </c>
      <c r="X525" t="s">
        <v>2485</v>
      </c>
      <c r="Y525" t="s">
        <v>2702</v>
      </c>
      <c r="Z525" t="s">
        <v>91</v>
      </c>
    </row>
    <row r="526" spans="1:26" ht="12.75" customHeight="1" x14ac:dyDescent="0.35">
      <c r="A526">
        <v>525</v>
      </c>
      <c r="B526">
        <v>45887.448664074072</v>
      </c>
      <c r="D526" t="s">
        <v>2703</v>
      </c>
      <c r="E526" t="s">
        <v>1899</v>
      </c>
      <c r="F526" t="s">
        <v>28</v>
      </c>
      <c r="G526" t="s">
        <v>158</v>
      </c>
      <c r="H526" t="s">
        <v>157</v>
      </c>
      <c r="I526" t="s">
        <v>103</v>
      </c>
      <c r="J526" t="s">
        <v>28</v>
      </c>
      <c r="K526" t="s">
        <v>28</v>
      </c>
      <c r="L526" t="s">
        <v>36</v>
      </c>
      <c r="N526" t="s">
        <v>2553</v>
      </c>
      <c r="O526" t="s">
        <v>48</v>
      </c>
      <c r="P526" t="s">
        <v>48</v>
      </c>
      <c r="Q526" t="s">
        <v>48</v>
      </c>
      <c r="R526" t="s">
        <v>2704</v>
      </c>
      <c r="S526" t="s">
        <v>48</v>
      </c>
      <c r="T526" t="s">
        <v>2705</v>
      </c>
      <c r="U526" t="s">
        <v>2706</v>
      </c>
      <c r="V526" t="s">
        <v>53</v>
      </c>
      <c r="W526" t="s">
        <v>2707</v>
      </c>
      <c r="X526" t="s">
        <v>118</v>
      </c>
      <c r="Y526" t="s">
        <v>2708</v>
      </c>
      <c r="Z526" t="s">
        <v>91</v>
      </c>
    </row>
    <row r="527" spans="1:26" ht="12.75" customHeight="1" x14ac:dyDescent="0.35">
      <c r="A527">
        <v>526</v>
      </c>
      <c r="B527">
        <v>45887.449584884263</v>
      </c>
      <c r="D527" t="s">
        <v>2709</v>
      </c>
      <c r="E527" t="s">
        <v>2667</v>
      </c>
      <c r="F527" t="s">
        <v>344</v>
      </c>
      <c r="G527" t="s">
        <v>29</v>
      </c>
      <c r="H527" t="s">
        <v>29</v>
      </c>
      <c r="I527" t="s">
        <v>30</v>
      </c>
      <c r="J527" t="s">
        <v>30</v>
      </c>
      <c r="K527" t="s">
        <v>94</v>
      </c>
      <c r="L527" t="s">
        <v>46</v>
      </c>
      <c r="N527" t="s">
        <v>442</v>
      </c>
      <c r="O527" t="s">
        <v>49</v>
      </c>
      <c r="P527" t="s">
        <v>49</v>
      </c>
      <c r="Q527" t="s">
        <v>49</v>
      </c>
      <c r="R527" t="s">
        <v>2710</v>
      </c>
      <c r="S527" t="s">
        <v>49</v>
      </c>
      <c r="T527" t="s">
        <v>2711</v>
      </c>
      <c r="U527" t="s">
        <v>2712</v>
      </c>
      <c r="V527" t="s">
        <v>87</v>
      </c>
      <c r="X527" t="s">
        <v>603</v>
      </c>
      <c r="Y527" t="s">
        <v>2713</v>
      </c>
      <c r="Z527" t="s">
        <v>91</v>
      </c>
    </row>
    <row r="528" spans="1:26" ht="12.75" customHeight="1" x14ac:dyDescent="0.35">
      <c r="A528">
        <v>527</v>
      </c>
      <c r="B528">
        <v>45887.451351840282</v>
      </c>
      <c r="D528" t="s">
        <v>2714</v>
      </c>
      <c r="E528" t="s">
        <v>2591</v>
      </c>
      <c r="F528" t="s">
        <v>33</v>
      </c>
      <c r="G528" t="s">
        <v>33</v>
      </c>
      <c r="H528" t="s">
        <v>33</v>
      </c>
      <c r="I528" t="s">
        <v>34</v>
      </c>
      <c r="J528" t="s">
        <v>34</v>
      </c>
      <c r="K528" t="s">
        <v>74</v>
      </c>
      <c r="L528" t="s">
        <v>46</v>
      </c>
      <c r="N528" t="s">
        <v>2673</v>
      </c>
      <c r="O528" t="s">
        <v>48</v>
      </c>
      <c r="P528" t="s">
        <v>49</v>
      </c>
      <c r="Q528" t="s">
        <v>49</v>
      </c>
      <c r="R528" t="s">
        <v>1951</v>
      </c>
      <c r="S528" t="s">
        <v>49</v>
      </c>
      <c r="T528" t="s">
        <v>1952</v>
      </c>
      <c r="U528" t="s">
        <v>1976</v>
      </c>
      <c r="V528" t="s">
        <v>53</v>
      </c>
      <c r="W528" t="s">
        <v>2715</v>
      </c>
      <c r="X528" t="s">
        <v>118</v>
      </c>
      <c r="Y528" t="s">
        <v>2716</v>
      </c>
      <c r="Z528" t="s">
        <v>91</v>
      </c>
    </row>
    <row r="529" spans="1:26" ht="12.75" customHeight="1" x14ac:dyDescent="0.35">
      <c r="A529">
        <v>528</v>
      </c>
      <c r="B529">
        <v>45887.451409513887</v>
      </c>
      <c r="D529" t="s">
        <v>2717</v>
      </c>
      <c r="E529" t="s">
        <v>2155</v>
      </c>
      <c r="F529" t="s">
        <v>28</v>
      </c>
      <c r="G529" t="s">
        <v>28</v>
      </c>
      <c r="H529" t="s">
        <v>60</v>
      </c>
      <c r="I529" t="s">
        <v>28</v>
      </c>
      <c r="J529" t="s">
        <v>28</v>
      </c>
      <c r="K529" t="s">
        <v>28</v>
      </c>
      <c r="L529" t="s">
        <v>46</v>
      </c>
      <c r="N529" t="s">
        <v>2635</v>
      </c>
      <c r="O529" t="s">
        <v>38</v>
      </c>
      <c r="P529" t="s">
        <v>49</v>
      </c>
      <c r="Q529" t="s">
        <v>38</v>
      </c>
      <c r="R529" t="s">
        <v>2195</v>
      </c>
      <c r="S529" t="s">
        <v>49</v>
      </c>
      <c r="T529" t="s">
        <v>2225</v>
      </c>
      <c r="U529" t="s">
        <v>2175</v>
      </c>
      <c r="V529" t="s">
        <v>53</v>
      </c>
      <c r="W529" t="s">
        <v>2718</v>
      </c>
      <c r="X529" t="s">
        <v>118</v>
      </c>
      <c r="Y529" t="s">
        <v>2719</v>
      </c>
      <c r="Z529" t="s">
        <v>91</v>
      </c>
    </row>
    <row r="530" spans="1:26" ht="12.75" customHeight="1" x14ac:dyDescent="0.35">
      <c r="A530">
        <v>529</v>
      </c>
      <c r="B530">
        <v>45887.451871527781</v>
      </c>
      <c r="D530" t="s">
        <v>2720</v>
      </c>
      <c r="E530" t="s">
        <v>2405</v>
      </c>
      <c r="F530" t="s">
        <v>60</v>
      </c>
      <c r="G530" t="s">
        <v>29</v>
      </c>
      <c r="H530" t="s">
        <v>28</v>
      </c>
      <c r="I530" t="s">
        <v>196</v>
      </c>
      <c r="J530" t="s">
        <v>368</v>
      </c>
      <c r="K530" t="s">
        <v>28</v>
      </c>
      <c r="L530" t="s">
        <v>36</v>
      </c>
      <c r="N530" t="s">
        <v>2276</v>
      </c>
      <c r="O530" t="s">
        <v>48</v>
      </c>
      <c r="P530" t="s">
        <v>48</v>
      </c>
      <c r="Q530" t="s">
        <v>48</v>
      </c>
      <c r="R530" t="s">
        <v>1951</v>
      </c>
      <c r="S530" t="s">
        <v>48</v>
      </c>
      <c r="T530" t="s">
        <v>1952</v>
      </c>
      <c r="U530" t="s">
        <v>1976</v>
      </c>
      <c r="V530" t="s">
        <v>53</v>
      </c>
      <c r="W530" t="s">
        <v>2721</v>
      </c>
      <c r="X530" t="s">
        <v>118</v>
      </c>
      <c r="Y530" t="s">
        <v>2722</v>
      </c>
      <c r="Z530" t="s">
        <v>91</v>
      </c>
    </row>
    <row r="531" spans="1:26" ht="12.75" customHeight="1" x14ac:dyDescent="0.35">
      <c r="A531">
        <v>530</v>
      </c>
      <c r="B531">
        <v>45887.454135474538</v>
      </c>
      <c r="D531" t="s">
        <v>2723</v>
      </c>
      <c r="E531" t="s">
        <v>2724</v>
      </c>
      <c r="F531" t="s">
        <v>28</v>
      </c>
      <c r="G531" t="s">
        <v>28</v>
      </c>
      <c r="H531" t="s">
        <v>28</v>
      </c>
      <c r="I531" t="s">
        <v>28</v>
      </c>
      <c r="J531" t="s">
        <v>28</v>
      </c>
      <c r="K531" t="s">
        <v>28</v>
      </c>
      <c r="L531" t="s">
        <v>36</v>
      </c>
      <c r="N531" t="s">
        <v>494</v>
      </c>
      <c r="O531" t="s">
        <v>49</v>
      </c>
      <c r="P531" t="s">
        <v>49</v>
      </c>
      <c r="Q531" t="s">
        <v>49</v>
      </c>
      <c r="R531" t="s">
        <v>2725</v>
      </c>
      <c r="S531" t="s">
        <v>49</v>
      </c>
      <c r="T531" t="s">
        <v>2726</v>
      </c>
      <c r="U531" t="s">
        <v>2727</v>
      </c>
      <c r="V531" t="s">
        <v>65</v>
      </c>
      <c r="X531" t="s">
        <v>81</v>
      </c>
      <c r="Y531" t="s">
        <v>2728</v>
      </c>
      <c r="Z531" t="s">
        <v>129</v>
      </c>
    </row>
    <row r="532" spans="1:26" ht="12.75" customHeight="1" x14ac:dyDescent="0.35">
      <c r="A532">
        <v>531</v>
      </c>
      <c r="B532">
        <v>45887.454594513889</v>
      </c>
      <c r="D532" t="s">
        <v>2729</v>
      </c>
      <c r="E532" t="s">
        <v>1875</v>
      </c>
      <c r="F532" t="s">
        <v>44</v>
      </c>
      <c r="G532" t="s">
        <v>60</v>
      </c>
      <c r="H532" t="s">
        <v>157</v>
      </c>
      <c r="I532" t="s">
        <v>103</v>
      </c>
      <c r="J532" t="s">
        <v>28</v>
      </c>
      <c r="K532" t="s">
        <v>45</v>
      </c>
      <c r="L532" t="s">
        <v>36</v>
      </c>
      <c r="N532" t="s">
        <v>2235</v>
      </c>
      <c r="O532" t="s">
        <v>49</v>
      </c>
      <c r="P532" t="s">
        <v>49</v>
      </c>
      <c r="Q532" t="s">
        <v>38</v>
      </c>
      <c r="R532" t="s">
        <v>2730</v>
      </c>
      <c r="S532" t="s">
        <v>49</v>
      </c>
      <c r="T532" t="s">
        <v>2731</v>
      </c>
      <c r="U532" t="s">
        <v>2732</v>
      </c>
      <c r="V532" t="s">
        <v>53</v>
      </c>
      <c r="W532" t="s">
        <v>2733</v>
      </c>
      <c r="X532" t="s">
        <v>2246</v>
      </c>
      <c r="Y532" t="s">
        <v>2734</v>
      </c>
      <c r="Z532" t="s">
        <v>91</v>
      </c>
    </row>
    <row r="533" spans="1:26" ht="12.75" customHeight="1" x14ac:dyDescent="0.35">
      <c r="A533">
        <v>532</v>
      </c>
      <c r="B533">
        <v>45887.454740914356</v>
      </c>
      <c r="D533" t="s">
        <v>2735</v>
      </c>
      <c r="E533" t="s">
        <v>2405</v>
      </c>
      <c r="F533" t="s">
        <v>60</v>
      </c>
      <c r="G533" t="s">
        <v>28</v>
      </c>
      <c r="H533" t="s">
        <v>29</v>
      </c>
      <c r="I533" t="s">
        <v>158</v>
      </c>
      <c r="J533" t="s">
        <v>94</v>
      </c>
      <c r="K533" t="s">
        <v>368</v>
      </c>
      <c r="L533" t="s">
        <v>46</v>
      </c>
      <c r="N533" t="s">
        <v>2276</v>
      </c>
      <c r="O533" t="s">
        <v>48</v>
      </c>
      <c r="P533" t="s">
        <v>48</v>
      </c>
      <c r="Q533" t="s">
        <v>48</v>
      </c>
      <c r="R533" t="s">
        <v>1951</v>
      </c>
      <c r="S533" t="s">
        <v>48</v>
      </c>
      <c r="T533" t="s">
        <v>1952</v>
      </c>
      <c r="U533" t="s">
        <v>1976</v>
      </c>
      <c r="V533" t="s">
        <v>53</v>
      </c>
      <c r="W533" t="s">
        <v>2736</v>
      </c>
      <c r="X533" t="s">
        <v>2737</v>
      </c>
      <c r="Y533" t="s">
        <v>2738</v>
      </c>
      <c r="Z533" t="s">
        <v>91</v>
      </c>
    </row>
    <row r="534" spans="1:26" ht="12.75" customHeight="1" x14ac:dyDescent="0.35">
      <c r="A534">
        <v>533</v>
      </c>
      <c r="B534">
        <v>45887.454750300923</v>
      </c>
      <c r="D534" t="s">
        <v>2739</v>
      </c>
      <c r="E534" t="s">
        <v>2740</v>
      </c>
      <c r="F534" t="s">
        <v>44</v>
      </c>
      <c r="G534" t="s">
        <v>72</v>
      </c>
      <c r="H534" t="s">
        <v>28</v>
      </c>
      <c r="I534" t="s">
        <v>103</v>
      </c>
      <c r="J534" t="s">
        <v>30</v>
      </c>
      <c r="K534" t="s">
        <v>45</v>
      </c>
      <c r="L534" t="s">
        <v>36</v>
      </c>
      <c r="N534" t="s">
        <v>2540</v>
      </c>
      <c r="O534" t="s">
        <v>38</v>
      </c>
      <c r="P534" t="s">
        <v>49</v>
      </c>
      <c r="Q534" t="s">
        <v>48</v>
      </c>
      <c r="R534" t="s">
        <v>2741</v>
      </c>
      <c r="S534" t="s">
        <v>48</v>
      </c>
      <c r="V534" t="s">
        <v>53</v>
      </c>
      <c r="W534" t="s">
        <v>2742</v>
      </c>
      <c r="X534" t="s">
        <v>2743</v>
      </c>
      <c r="Y534" t="s">
        <v>2744</v>
      </c>
      <c r="Z534" t="s">
        <v>170</v>
      </c>
    </row>
    <row r="535" spans="1:26" ht="12.75" customHeight="1" x14ac:dyDescent="0.35">
      <c r="A535">
        <v>534</v>
      </c>
      <c r="B535">
        <v>45887.455134189819</v>
      </c>
      <c r="D535" t="s">
        <v>2745</v>
      </c>
      <c r="E535" t="s">
        <v>1899</v>
      </c>
      <c r="F535" t="s">
        <v>28</v>
      </c>
      <c r="G535" t="s">
        <v>28</v>
      </c>
      <c r="H535" t="s">
        <v>28</v>
      </c>
      <c r="I535" t="s">
        <v>103</v>
      </c>
      <c r="J535" t="s">
        <v>28</v>
      </c>
      <c r="K535" t="s">
        <v>28</v>
      </c>
      <c r="L535" t="s">
        <v>36</v>
      </c>
      <c r="N535" t="s">
        <v>2553</v>
      </c>
      <c r="O535" t="s">
        <v>48</v>
      </c>
      <c r="P535" t="s">
        <v>48</v>
      </c>
      <c r="Q535" t="s">
        <v>48</v>
      </c>
      <c r="R535" t="s">
        <v>2704</v>
      </c>
      <c r="S535" t="s">
        <v>48</v>
      </c>
      <c r="T535" t="s">
        <v>2746</v>
      </c>
      <c r="U535" t="s">
        <v>2706</v>
      </c>
      <c r="V535" t="s">
        <v>53</v>
      </c>
      <c r="W535" t="s">
        <v>2747</v>
      </c>
      <c r="X535" t="s">
        <v>118</v>
      </c>
      <c r="Y535" t="s">
        <v>2748</v>
      </c>
      <c r="Z535" t="s">
        <v>91</v>
      </c>
    </row>
    <row r="536" spans="1:26" ht="12.75" customHeight="1" x14ac:dyDescent="0.35">
      <c r="A536">
        <v>535</v>
      </c>
      <c r="B536">
        <v>45887.457561006944</v>
      </c>
      <c r="D536" t="s">
        <v>2749</v>
      </c>
      <c r="E536" t="s">
        <v>1875</v>
      </c>
      <c r="F536" t="s">
        <v>28</v>
      </c>
      <c r="G536" t="s">
        <v>44</v>
      </c>
      <c r="H536" t="s">
        <v>157</v>
      </c>
      <c r="I536" t="s">
        <v>173</v>
      </c>
      <c r="J536" t="s">
        <v>28</v>
      </c>
      <c r="K536" t="s">
        <v>45</v>
      </c>
      <c r="L536" t="s">
        <v>36</v>
      </c>
      <c r="N536" t="s">
        <v>2235</v>
      </c>
      <c r="O536" t="s">
        <v>49</v>
      </c>
      <c r="P536" t="s">
        <v>49</v>
      </c>
      <c r="Q536" t="s">
        <v>49</v>
      </c>
      <c r="R536" t="s">
        <v>2750</v>
      </c>
      <c r="S536" t="s">
        <v>49</v>
      </c>
      <c r="T536" t="s">
        <v>2751</v>
      </c>
      <c r="U536" t="s">
        <v>2752</v>
      </c>
      <c r="V536" t="s">
        <v>53</v>
      </c>
      <c r="W536" t="s">
        <v>2753</v>
      </c>
      <c r="X536" t="s">
        <v>2246</v>
      </c>
      <c r="Y536" t="s">
        <v>2754</v>
      </c>
      <c r="Z536" t="s">
        <v>91</v>
      </c>
    </row>
    <row r="537" spans="1:26" ht="12.75" customHeight="1" x14ac:dyDescent="0.35">
      <c r="A537">
        <v>536</v>
      </c>
      <c r="B537">
        <v>45887.457718506943</v>
      </c>
      <c r="D537" t="s">
        <v>2755</v>
      </c>
      <c r="E537" t="s">
        <v>2155</v>
      </c>
      <c r="F537" t="s">
        <v>28</v>
      </c>
      <c r="G537" t="s">
        <v>28</v>
      </c>
      <c r="H537" t="s">
        <v>28</v>
      </c>
      <c r="I537" t="s">
        <v>28</v>
      </c>
      <c r="J537" t="s">
        <v>28</v>
      </c>
      <c r="K537" t="s">
        <v>28</v>
      </c>
      <c r="L537" t="s">
        <v>46</v>
      </c>
      <c r="N537" t="s">
        <v>2756</v>
      </c>
      <c r="O537" t="s">
        <v>38</v>
      </c>
      <c r="P537" t="s">
        <v>38</v>
      </c>
      <c r="Q537" t="s">
        <v>38</v>
      </c>
      <c r="R537" t="s">
        <v>2253</v>
      </c>
      <c r="S537" t="s">
        <v>49</v>
      </c>
      <c r="T537" t="s">
        <v>2244</v>
      </c>
      <c r="U537" t="s">
        <v>2461</v>
      </c>
      <c r="V537" t="s">
        <v>53</v>
      </c>
      <c r="W537" t="s">
        <v>2757</v>
      </c>
      <c r="X537" t="s">
        <v>118</v>
      </c>
      <c r="Y537" t="s">
        <v>2758</v>
      </c>
      <c r="Z537" t="s">
        <v>91</v>
      </c>
    </row>
    <row r="538" spans="1:26" ht="12.75" customHeight="1" x14ac:dyDescent="0.35">
      <c r="A538">
        <v>537</v>
      </c>
      <c r="B538">
        <v>45887.458236782404</v>
      </c>
      <c r="D538" t="s">
        <v>2759</v>
      </c>
      <c r="E538" t="s">
        <v>2760</v>
      </c>
      <c r="F538" t="s">
        <v>29</v>
      </c>
      <c r="G538" t="s">
        <v>29</v>
      </c>
      <c r="H538" t="s">
        <v>29</v>
      </c>
      <c r="I538" t="s">
        <v>30</v>
      </c>
      <c r="J538" t="s">
        <v>30</v>
      </c>
      <c r="K538" t="s">
        <v>94</v>
      </c>
      <c r="L538" t="s">
        <v>36</v>
      </c>
      <c r="N538" t="s">
        <v>2761</v>
      </c>
      <c r="O538" t="s">
        <v>49</v>
      </c>
      <c r="P538" t="s">
        <v>49</v>
      </c>
      <c r="Q538" t="s">
        <v>49</v>
      </c>
      <c r="R538" t="s">
        <v>2762</v>
      </c>
      <c r="S538" t="s">
        <v>49</v>
      </c>
      <c r="T538" t="s">
        <v>2763</v>
      </c>
      <c r="U538" t="s">
        <v>2764</v>
      </c>
      <c r="V538" t="s">
        <v>87</v>
      </c>
      <c r="X538" t="s">
        <v>603</v>
      </c>
      <c r="Y538" t="s">
        <v>2765</v>
      </c>
      <c r="Z538" t="s">
        <v>129</v>
      </c>
    </row>
    <row r="539" spans="1:26" ht="12.75" customHeight="1" x14ac:dyDescent="0.35">
      <c r="A539">
        <v>538</v>
      </c>
      <c r="B539">
        <v>45887.459823136574</v>
      </c>
      <c r="D539" t="s">
        <v>2766</v>
      </c>
      <c r="E539" t="s">
        <v>1899</v>
      </c>
      <c r="F539" t="s">
        <v>28</v>
      </c>
      <c r="G539" t="s">
        <v>28</v>
      </c>
      <c r="H539" t="s">
        <v>28</v>
      </c>
      <c r="I539" t="s">
        <v>28</v>
      </c>
      <c r="J539" t="s">
        <v>28</v>
      </c>
      <c r="K539" t="s">
        <v>28</v>
      </c>
      <c r="L539" t="s">
        <v>46</v>
      </c>
      <c r="N539" t="s">
        <v>2599</v>
      </c>
      <c r="O539" t="s">
        <v>48</v>
      </c>
      <c r="P539" t="s">
        <v>48</v>
      </c>
      <c r="Q539" t="s">
        <v>48</v>
      </c>
      <c r="R539" t="s">
        <v>2704</v>
      </c>
      <c r="S539" t="s">
        <v>48</v>
      </c>
      <c r="T539" t="s">
        <v>2705</v>
      </c>
      <c r="U539" t="s">
        <v>2706</v>
      </c>
      <c r="V539" t="s">
        <v>53</v>
      </c>
      <c r="W539" t="s">
        <v>2767</v>
      </c>
      <c r="X539" t="s">
        <v>118</v>
      </c>
      <c r="Y539" t="s">
        <v>2768</v>
      </c>
      <c r="Z539" t="s">
        <v>170</v>
      </c>
    </row>
    <row r="540" spans="1:26" ht="12.75" customHeight="1" x14ac:dyDescent="0.35">
      <c r="A540">
        <v>539</v>
      </c>
      <c r="B540">
        <v>45887.463625254633</v>
      </c>
      <c r="D540" t="s">
        <v>2769</v>
      </c>
      <c r="E540" t="s">
        <v>2770</v>
      </c>
      <c r="F540" t="s">
        <v>28</v>
      </c>
      <c r="G540" t="s">
        <v>28</v>
      </c>
      <c r="H540" t="s">
        <v>28</v>
      </c>
      <c r="I540" t="s">
        <v>28</v>
      </c>
      <c r="J540" t="s">
        <v>28</v>
      </c>
      <c r="K540" t="s">
        <v>28</v>
      </c>
      <c r="L540" t="s">
        <v>36</v>
      </c>
      <c r="N540" t="s">
        <v>95</v>
      </c>
      <c r="O540" t="s">
        <v>49</v>
      </c>
      <c r="P540" t="s">
        <v>49</v>
      </c>
      <c r="Q540" t="s">
        <v>49</v>
      </c>
      <c r="R540" t="s">
        <v>2771</v>
      </c>
      <c r="S540" t="s">
        <v>49</v>
      </c>
      <c r="T540" t="s">
        <v>2772</v>
      </c>
      <c r="U540" t="s">
        <v>2773</v>
      </c>
      <c r="V540" t="s">
        <v>65</v>
      </c>
      <c r="X540" t="s">
        <v>100</v>
      </c>
      <c r="Y540" t="s">
        <v>2774</v>
      </c>
      <c r="Z540" t="s">
        <v>129</v>
      </c>
    </row>
    <row r="541" spans="1:26" ht="12.75" customHeight="1" x14ac:dyDescent="0.35">
      <c r="A541">
        <v>540</v>
      </c>
      <c r="B541">
        <v>45887.463670752317</v>
      </c>
      <c r="D541" t="s">
        <v>2775</v>
      </c>
      <c r="E541" t="s">
        <v>1899</v>
      </c>
      <c r="F541" t="s">
        <v>28</v>
      </c>
      <c r="G541" t="s">
        <v>28</v>
      </c>
      <c r="H541" t="s">
        <v>28</v>
      </c>
      <c r="I541" t="s">
        <v>28</v>
      </c>
      <c r="J541" t="s">
        <v>28</v>
      </c>
      <c r="K541" t="s">
        <v>45</v>
      </c>
      <c r="L541" t="s">
        <v>36</v>
      </c>
      <c r="N541" t="s">
        <v>2635</v>
      </c>
      <c r="O541" t="s">
        <v>48</v>
      </c>
      <c r="P541" t="s">
        <v>48</v>
      </c>
      <c r="Q541" t="s">
        <v>49</v>
      </c>
      <c r="R541" t="s">
        <v>2704</v>
      </c>
      <c r="S541" t="s">
        <v>48</v>
      </c>
      <c r="T541" t="s">
        <v>2705</v>
      </c>
      <c r="U541" t="s">
        <v>2706</v>
      </c>
      <c r="V541" t="s">
        <v>53</v>
      </c>
      <c r="W541" t="s">
        <v>2776</v>
      </c>
      <c r="X541" t="s">
        <v>118</v>
      </c>
      <c r="Y541" t="s">
        <v>2777</v>
      </c>
      <c r="Z541" t="s">
        <v>91</v>
      </c>
    </row>
    <row r="542" spans="1:26" ht="12.75" customHeight="1" x14ac:dyDescent="0.35">
      <c r="A542">
        <v>541</v>
      </c>
      <c r="B542">
        <v>45887.465822800921</v>
      </c>
      <c r="D542" t="s">
        <v>2778</v>
      </c>
      <c r="E542" t="s">
        <v>2591</v>
      </c>
      <c r="F542" t="s">
        <v>33</v>
      </c>
      <c r="G542" t="s">
        <v>33</v>
      </c>
      <c r="H542" t="s">
        <v>33</v>
      </c>
      <c r="I542" t="s">
        <v>34</v>
      </c>
      <c r="J542" t="s">
        <v>34</v>
      </c>
      <c r="K542" t="s">
        <v>74</v>
      </c>
      <c r="L542" t="s">
        <v>46</v>
      </c>
      <c r="N542" t="s">
        <v>2779</v>
      </c>
      <c r="O542" t="s">
        <v>48</v>
      </c>
      <c r="P542" t="s">
        <v>48</v>
      </c>
      <c r="Q542" t="s">
        <v>48</v>
      </c>
      <c r="R542" t="s">
        <v>1951</v>
      </c>
      <c r="S542" t="s">
        <v>49</v>
      </c>
      <c r="T542" t="s">
        <v>1952</v>
      </c>
      <c r="U542" t="s">
        <v>1976</v>
      </c>
      <c r="V542" t="s">
        <v>53</v>
      </c>
      <c r="W542" t="s">
        <v>2780</v>
      </c>
      <c r="X542" t="s">
        <v>118</v>
      </c>
      <c r="Y542" t="s">
        <v>2781</v>
      </c>
      <c r="Z542" t="s">
        <v>91</v>
      </c>
    </row>
    <row r="543" spans="1:26" ht="12.75" customHeight="1" x14ac:dyDescent="0.35">
      <c r="A543">
        <v>542</v>
      </c>
      <c r="B543">
        <v>45887.466413634262</v>
      </c>
      <c r="D543" t="s">
        <v>2782</v>
      </c>
      <c r="E543" t="s">
        <v>2155</v>
      </c>
      <c r="F543" t="s">
        <v>28</v>
      </c>
      <c r="G543" t="s">
        <v>28</v>
      </c>
      <c r="H543" t="s">
        <v>28</v>
      </c>
      <c r="I543" t="s">
        <v>28</v>
      </c>
      <c r="J543" t="s">
        <v>103</v>
      </c>
      <c r="K543" t="s">
        <v>28</v>
      </c>
      <c r="L543" t="s">
        <v>36</v>
      </c>
      <c r="N543" t="s">
        <v>2756</v>
      </c>
      <c r="O543" t="s">
        <v>38</v>
      </c>
      <c r="P543" t="s">
        <v>49</v>
      </c>
      <c r="Q543" t="s">
        <v>49</v>
      </c>
      <c r="R543" t="s">
        <v>2195</v>
      </c>
      <c r="S543" t="s">
        <v>49</v>
      </c>
      <c r="T543" t="s">
        <v>2186</v>
      </c>
      <c r="U543" t="s">
        <v>2471</v>
      </c>
      <c r="V543" t="s">
        <v>53</v>
      </c>
      <c r="W543" t="s">
        <v>2783</v>
      </c>
      <c r="X543" t="s">
        <v>118</v>
      </c>
      <c r="Y543" t="s">
        <v>2784</v>
      </c>
      <c r="Z543" t="s">
        <v>91</v>
      </c>
    </row>
    <row r="544" spans="1:26" ht="12.75" customHeight="1" x14ac:dyDescent="0.35">
      <c r="A544">
        <v>543</v>
      </c>
      <c r="B544">
        <v>45887.466689953704</v>
      </c>
      <c r="D544" t="s">
        <v>2785</v>
      </c>
      <c r="E544" t="s">
        <v>1899</v>
      </c>
      <c r="F544" t="s">
        <v>28</v>
      </c>
      <c r="G544" t="s">
        <v>28</v>
      </c>
      <c r="H544" t="s">
        <v>28</v>
      </c>
      <c r="I544" t="s">
        <v>28</v>
      </c>
      <c r="J544" t="s">
        <v>28</v>
      </c>
      <c r="K544" t="s">
        <v>28</v>
      </c>
      <c r="L544" t="s">
        <v>36</v>
      </c>
      <c r="N544" t="s">
        <v>2635</v>
      </c>
      <c r="O544" t="s">
        <v>48</v>
      </c>
      <c r="P544" t="s">
        <v>48</v>
      </c>
      <c r="Q544" t="s">
        <v>49</v>
      </c>
      <c r="R544" t="s">
        <v>2704</v>
      </c>
      <c r="S544" t="s">
        <v>48</v>
      </c>
      <c r="T544" t="s">
        <v>2705</v>
      </c>
      <c r="U544" t="s">
        <v>2706</v>
      </c>
      <c r="V544" t="s">
        <v>53</v>
      </c>
      <c r="W544" t="s">
        <v>2786</v>
      </c>
      <c r="X544" t="s">
        <v>118</v>
      </c>
      <c r="Y544" t="s">
        <v>2787</v>
      </c>
      <c r="Z544" t="s">
        <v>170</v>
      </c>
    </row>
    <row r="545" spans="1:26" ht="12.75" customHeight="1" x14ac:dyDescent="0.35">
      <c r="A545">
        <v>544</v>
      </c>
      <c r="B545">
        <v>45887.469787581023</v>
      </c>
      <c r="D545" t="s">
        <v>2788</v>
      </c>
      <c r="E545" t="s">
        <v>1899</v>
      </c>
      <c r="F545" t="s">
        <v>28</v>
      </c>
      <c r="G545" t="s">
        <v>28</v>
      </c>
      <c r="H545" t="s">
        <v>44</v>
      </c>
      <c r="I545" t="s">
        <v>158</v>
      </c>
      <c r="J545" t="s">
        <v>103</v>
      </c>
      <c r="K545" t="s">
        <v>35</v>
      </c>
      <c r="L545" t="s">
        <v>46</v>
      </c>
      <c r="N545" t="s">
        <v>2635</v>
      </c>
      <c r="O545" t="s">
        <v>48</v>
      </c>
      <c r="P545" t="s">
        <v>48</v>
      </c>
      <c r="Q545" t="s">
        <v>48</v>
      </c>
      <c r="R545" t="s">
        <v>2704</v>
      </c>
      <c r="S545" t="s">
        <v>48</v>
      </c>
      <c r="T545" t="s">
        <v>2705</v>
      </c>
      <c r="U545" t="s">
        <v>2706</v>
      </c>
      <c r="V545" t="s">
        <v>53</v>
      </c>
      <c r="W545" t="s">
        <v>2789</v>
      </c>
      <c r="X545" t="s">
        <v>118</v>
      </c>
      <c r="Y545" t="s">
        <v>2790</v>
      </c>
      <c r="Z545" t="s">
        <v>170</v>
      </c>
    </row>
    <row r="546" spans="1:26" ht="12.75" customHeight="1" x14ac:dyDescent="0.35">
      <c r="A546">
        <v>545</v>
      </c>
      <c r="B546">
        <v>45887.471463472219</v>
      </c>
      <c r="D546" t="s">
        <v>2791</v>
      </c>
      <c r="E546" t="s">
        <v>2591</v>
      </c>
      <c r="F546" t="s">
        <v>33</v>
      </c>
      <c r="G546" t="s">
        <v>33</v>
      </c>
      <c r="H546" t="s">
        <v>33</v>
      </c>
      <c r="I546" t="s">
        <v>34</v>
      </c>
      <c r="J546" t="s">
        <v>34</v>
      </c>
      <c r="K546" t="s">
        <v>74</v>
      </c>
      <c r="L546" t="s">
        <v>46</v>
      </c>
      <c r="N546" t="s">
        <v>2792</v>
      </c>
      <c r="O546" t="s">
        <v>48</v>
      </c>
      <c r="P546" t="s">
        <v>49</v>
      </c>
      <c r="Q546" t="s">
        <v>48</v>
      </c>
      <c r="R546" t="s">
        <v>1951</v>
      </c>
      <c r="S546" t="s">
        <v>49</v>
      </c>
      <c r="T546" t="s">
        <v>1952</v>
      </c>
      <c r="U546" t="s">
        <v>1976</v>
      </c>
      <c r="V546" t="s">
        <v>53</v>
      </c>
      <c r="W546" t="s">
        <v>2793</v>
      </c>
      <c r="X546" t="s">
        <v>118</v>
      </c>
      <c r="Y546" t="s">
        <v>2794</v>
      </c>
      <c r="Z546" t="s">
        <v>91</v>
      </c>
    </row>
    <row r="547" spans="1:26" ht="12.75" customHeight="1" x14ac:dyDescent="0.35">
      <c r="A547">
        <v>546</v>
      </c>
      <c r="B547">
        <v>45887.473184699076</v>
      </c>
      <c r="D547" t="s">
        <v>2795</v>
      </c>
      <c r="E547" t="s">
        <v>2155</v>
      </c>
      <c r="F547" t="s">
        <v>28</v>
      </c>
      <c r="G547" t="s">
        <v>28</v>
      </c>
      <c r="H547" t="s">
        <v>28</v>
      </c>
      <c r="I547" t="s">
        <v>28</v>
      </c>
      <c r="J547" t="s">
        <v>28</v>
      </c>
      <c r="K547" t="s">
        <v>35</v>
      </c>
      <c r="L547" t="s">
        <v>46</v>
      </c>
      <c r="N547" t="s">
        <v>2756</v>
      </c>
      <c r="O547" t="s">
        <v>49</v>
      </c>
      <c r="P547" t="s">
        <v>49</v>
      </c>
      <c r="Q547" t="s">
        <v>49</v>
      </c>
      <c r="R547" t="s">
        <v>2796</v>
      </c>
      <c r="S547" t="s">
        <v>49</v>
      </c>
      <c r="T547" t="s">
        <v>2244</v>
      </c>
      <c r="U547" t="s">
        <v>2461</v>
      </c>
      <c r="V547" t="s">
        <v>53</v>
      </c>
      <c r="W547" t="s">
        <v>2797</v>
      </c>
      <c r="X547" t="s">
        <v>118</v>
      </c>
      <c r="Y547" t="s">
        <v>2798</v>
      </c>
      <c r="Z547" t="s">
        <v>91</v>
      </c>
    </row>
    <row r="548" spans="1:26" ht="12.75" customHeight="1" x14ac:dyDescent="0.35">
      <c r="A548">
        <v>547</v>
      </c>
      <c r="B548">
        <v>45887.47387134259</v>
      </c>
      <c r="D548" t="s">
        <v>2506</v>
      </c>
      <c r="E548" t="s">
        <v>2405</v>
      </c>
      <c r="F548" t="s">
        <v>60</v>
      </c>
      <c r="G548" t="s">
        <v>28</v>
      </c>
      <c r="H548" t="s">
        <v>206</v>
      </c>
      <c r="I548" t="s">
        <v>158</v>
      </c>
      <c r="J548" t="s">
        <v>173</v>
      </c>
      <c r="K548" t="s">
        <v>28</v>
      </c>
      <c r="L548" t="s">
        <v>46</v>
      </c>
      <c r="N548" t="s">
        <v>2317</v>
      </c>
      <c r="O548" t="s">
        <v>48</v>
      </c>
      <c r="P548" t="s">
        <v>48</v>
      </c>
      <c r="Q548" t="s">
        <v>48</v>
      </c>
      <c r="R548" t="s">
        <v>1951</v>
      </c>
      <c r="S548" t="s">
        <v>48</v>
      </c>
      <c r="T548" t="s">
        <v>1952</v>
      </c>
      <c r="U548" t="s">
        <v>1976</v>
      </c>
      <c r="V548" t="s">
        <v>53</v>
      </c>
      <c r="W548" t="s">
        <v>2507</v>
      </c>
      <c r="X548" t="s">
        <v>118</v>
      </c>
      <c r="Y548" t="s">
        <v>2508</v>
      </c>
      <c r="Z548" t="s">
        <v>91</v>
      </c>
    </row>
    <row r="549" spans="1:26" ht="12.75" customHeight="1" x14ac:dyDescent="0.35">
      <c r="A549">
        <v>548</v>
      </c>
      <c r="B549">
        <v>45887.474570995371</v>
      </c>
      <c r="D549" t="s">
        <v>2799</v>
      </c>
      <c r="E549" t="s">
        <v>1899</v>
      </c>
      <c r="F549" t="s">
        <v>28</v>
      </c>
      <c r="G549" t="s">
        <v>28</v>
      </c>
      <c r="H549" t="s">
        <v>28</v>
      </c>
      <c r="I549" t="s">
        <v>28</v>
      </c>
      <c r="J549" t="s">
        <v>28</v>
      </c>
      <c r="K549" t="s">
        <v>28</v>
      </c>
      <c r="L549" t="s">
        <v>46</v>
      </c>
      <c r="N549" t="s">
        <v>2635</v>
      </c>
      <c r="O549" t="s">
        <v>48</v>
      </c>
      <c r="P549" t="s">
        <v>48</v>
      </c>
      <c r="Q549" t="s">
        <v>48</v>
      </c>
      <c r="R549" t="s">
        <v>2704</v>
      </c>
      <c r="S549" t="s">
        <v>48</v>
      </c>
      <c r="T549" t="s">
        <v>2705</v>
      </c>
      <c r="U549" t="s">
        <v>2706</v>
      </c>
      <c r="V549" t="s">
        <v>53</v>
      </c>
      <c r="W549" t="s">
        <v>2800</v>
      </c>
      <c r="X549" t="s">
        <v>118</v>
      </c>
      <c r="Y549" t="s">
        <v>2801</v>
      </c>
      <c r="Z549" t="s">
        <v>91</v>
      </c>
    </row>
    <row r="550" spans="1:26" ht="12.75" customHeight="1" x14ac:dyDescent="0.35">
      <c r="A550">
        <v>549</v>
      </c>
      <c r="B550">
        <v>45887.477375497685</v>
      </c>
      <c r="D550" t="s">
        <v>2802</v>
      </c>
      <c r="E550" t="s">
        <v>2155</v>
      </c>
      <c r="F550" t="s">
        <v>28</v>
      </c>
      <c r="G550" t="s">
        <v>60</v>
      </c>
      <c r="H550" t="s">
        <v>28</v>
      </c>
      <c r="I550" t="s">
        <v>28</v>
      </c>
      <c r="J550" t="s">
        <v>28</v>
      </c>
      <c r="K550" t="s">
        <v>28</v>
      </c>
      <c r="L550" t="s">
        <v>46</v>
      </c>
      <c r="N550" t="s">
        <v>2756</v>
      </c>
      <c r="O550" t="s">
        <v>38</v>
      </c>
      <c r="P550" t="s">
        <v>38</v>
      </c>
      <c r="Q550" t="s">
        <v>49</v>
      </c>
      <c r="R550" t="s">
        <v>2803</v>
      </c>
      <c r="S550" t="s">
        <v>38</v>
      </c>
      <c r="T550" t="s">
        <v>2304</v>
      </c>
      <c r="U550" t="s">
        <v>2175</v>
      </c>
      <c r="V550" t="s">
        <v>53</v>
      </c>
      <c r="W550" t="s">
        <v>2804</v>
      </c>
      <c r="X550" t="s">
        <v>118</v>
      </c>
      <c r="Y550" t="s">
        <v>2805</v>
      </c>
      <c r="Z550" t="s">
        <v>91</v>
      </c>
    </row>
    <row r="551" spans="1:26" ht="12.75" customHeight="1" x14ac:dyDescent="0.35">
      <c r="A551">
        <v>550</v>
      </c>
      <c r="B551">
        <v>45887.477915844909</v>
      </c>
      <c r="D551" t="s">
        <v>2806</v>
      </c>
      <c r="E551" t="s">
        <v>1899</v>
      </c>
      <c r="F551" t="s">
        <v>28</v>
      </c>
      <c r="G551" t="s">
        <v>28</v>
      </c>
      <c r="H551" t="s">
        <v>28</v>
      </c>
      <c r="I551" t="s">
        <v>28</v>
      </c>
      <c r="J551" t="s">
        <v>28</v>
      </c>
      <c r="K551" t="s">
        <v>28</v>
      </c>
      <c r="L551" t="s">
        <v>46</v>
      </c>
      <c r="N551" t="s">
        <v>2635</v>
      </c>
      <c r="O551" t="s">
        <v>48</v>
      </c>
      <c r="P551" t="s">
        <v>48</v>
      </c>
      <c r="R551" t="s">
        <v>2704</v>
      </c>
      <c r="S551" t="s">
        <v>48</v>
      </c>
      <c r="T551" t="s">
        <v>2705</v>
      </c>
      <c r="U551" t="s">
        <v>2706</v>
      </c>
      <c r="V551" t="s">
        <v>53</v>
      </c>
      <c r="W551" t="s">
        <v>2807</v>
      </c>
      <c r="X551" t="s">
        <v>118</v>
      </c>
      <c r="Y551" t="s">
        <v>2808</v>
      </c>
      <c r="Z551" t="s">
        <v>170</v>
      </c>
    </row>
    <row r="552" spans="1:26" ht="12.75" customHeight="1" x14ac:dyDescent="0.35">
      <c r="A552">
        <v>551</v>
      </c>
      <c r="B552">
        <v>45887.478735162033</v>
      </c>
      <c r="D552" t="s">
        <v>2809</v>
      </c>
      <c r="E552" t="s">
        <v>2405</v>
      </c>
      <c r="F552" t="s">
        <v>28</v>
      </c>
      <c r="G552" t="s">
        <v>60</v>
      </c>
      <c r="H552" t="s">
        <v>44</v>
      </c>
      <c r="I552" t="s">
        <v>158</v>
      </c>
      <c r="J552" t="s">
        <v>94</v>
      </c>
      <c r="K552" t="s">
        <v>292</v>
      </c>
      <c r="L552" t="s">
        <v>46</v>
      </c>
      <c r="N552" t="s">
        <v>2338</v>
      </c>
      <c r="O552" t="s">
        <v>48</v>
      </c>
      <c r="P552" t="s">
        <v>48</v>
      </c>
      <c r="Q552" t="s">
        <v>48</v>
      </c>
      <c r="R552" t="s">
        <v>1951</v>
      </c>
      <c r="S552" t="s">
        <v>48</v>
      </c>
      <c r="T552" t="s">
        <v>1952</v>
      </c>
      <c r="U552" t="s">
        <v>1976</v>
      </c>
      <c r="V552" t="s">
        <v>53</v>
      </c>
      <c r="W552" t="s">
        <v>2810</v>
      </c>
      <c r="X552" t="s">
        <v>2737</v>
      </c>
      <c r="Y552" t="s">
        <v>2811</v>
      </c>
      <c r="Z552" t="s">
        <v>91</v>
      </c>
    </row>
    <row r="553" spans="1:26" ht="12.75" customHeight="1" x14ac:dyDescent="0.35">
      <c r="A553">
        <v>552</v>
      </c>
      <c r="B553">
        <v>45887.47944387731</v>
      </c>
      <c r="D553" t="s">
        <v>2256</v>
      </c>
      <c r="E553" t="s">
        <v>1875</v>
      </c>
      <c r="F553" t="s">
        <v>44</v>
      </c>
      <c r="G553" t="s">
        <v>60</v>
      </c>
      <c r="H553" t="s">
        <v>284</v>
      </c>
      <c r="I553" t="s">
        <v>173</v>
      </c>
      <c r="J553" t="s">
        <v>103</v>
      </c>
      <c r="K553" t="s">
        <v>45</v>
      </c>
      <c r="L553" t="s">
        <v>46</v>
      </c>
      <c r="N553" t="s">
        <v>2235</v>
      </c>
      <c r="O553" t="s">
        <v>49</v>
      </c>
      <c r="P553" t="s">
        <v>49</v>
      </c>
      <c r="Q553" t="s">
        <v>49</v>
      </c>
      <c r="R553" t="s">
        <v>2812</v>
      </c>
      <c r="S553" t="s">
        <v>48</v>
      </c>
      <c r="T553" t="s">
        <v>2813</v>
      </c>
      <c r="U553" t="s">
        <v>2814</v>
      </c>
      <c r="V553" t="s">
        <v>53</v>
      </c>
      <c r="W553" t="s">
        <v>2258</v>
      </c>
      <c r="X553" t="s">
        <v>2246</v>
      </c>
      <c r="Y553" t="s">
        <v>2815</v>
      </c>
      <c r="Z553" t="s">
        <v>91</v>
      </c>
    </row>
    <row r="554" spans="1:26" ht="12.75" customHeight="1" x14ac:dyDescent="0.35">
      <c r="A554">
        <v>553</v>
      </c>
      <c r="B554">
        <v>45887.481454236113</v>
      </c>
      <c r="D554" t="s">
        <v>2816</v>
      </c>
      <c r="E554" t="s">
        <v>1899</v>
      </c>
      <c r="F554" t="s">
        <v>28</v>
      </c>
      <c r="G554" t="s">
        <v>28</v>
      </c>
      <c r="H554" t="s">
        <v>28</v>
      </c>
      <c r="I554" t="s">
        <v>28</v>
      </c>
      <c r="J554" t="s">
        <v>28</v>
      </c>
      <c r="K554" t="s">
        <v>28</v>
      </c>
      <c r="L554" t="s">
        <v>36</v>
      </c>
      <c r="N554" t="s">
        <v>2756</v>
      </c>
      <c r="O554" t="s">
        <v>48</v>
      </c>
      <c r="P554" t="s">
        <v>48</v>
      </c>
      <c r="Q554" t="s">
        <v>48</v>
      </c>
      <c r="R554" t="s">
        <v>2704</v>
      </c>
      <c r="S554" t="s">
        <v>48</v>
      </c>
      <c r="T554" t="s">
        <v>2705</v>
      </c>
      <c r="U554" t="s">
        <v>2706</v>
      </c>
      <c r="V554" t="s">
        <v>53</v>
      </c>
      <c r="W554" t="s">
        <v>2817</v>
      </c>
      <c r="X554" t="s">
        <v>118</v>
      </c>
      <c r="Y554" t="s">
        <v>2818</v>
      </c>
      <c r="Z554" t="s">
        <v>91</v>
      </c>
    </row>
    <row r="555" spans="1:26" ht="12.75" customHeight="1" x14ac:dyDescent="0.35">
      <c r="A555">
        <v>554</v>
      </c>
      <c r="B555">
        <v>45887.481786400458</v>
      </c>
      <c r="D555" t="s">
        <v>2819</v>
      </c>
      <c r="E555" t="s">
        <v>2820</v>
      </c>
      <c r="F555" t="s">
        <v>44</v>
      </c>
      <c r="G555" t="s">
        <v>158</v>
      </c>
      <c r="H555" t="s">
        <v>28</v>
      </c>
      <c r="I555" t="s">
        <v>103</v>
      </c>
      <c r="J555" t="s">
        <v>45</v>
      </c>
      <c r="K555" t="s">
        <v>292</v>
      </c>
      <c r="L555" t="s">
        <v>46</v>
      </c>
      <c r="N555" t="s">
        <v>2821</v>
      </c>
      <c r="O555" t="s">
        <v>38</v>
      </c>
      <c r="P555" t="s">
        <v>49</v>
      </c>
      <c r="R555" t="s">
        <v>2822</v>
      </c>
      <c r="S555" t="s">
        <v>49</v>
      </c>
      <c r="T555" t="s">
        <v>2823</v>
      </c>
      <c r="U555" t="s">
        <v>2824</v>
      </c>
      <c r="V555" t="s">
        <v>53</v>
      </c>
      <c r="W555" t="s">
        <v>2825</v>
      </c>
      <c r="X555" t="s">
        <v>2743</v>
      </c>
      <c r="Y555" t="s">
        <v>2826</v>
      </c>
      <c r="Z555" t="s">
        <v>91</v>
      </c>
    </row>
    <row r="556" spans="1:26" ht="12.75" customHeight="1" x14ac:dyDescent="0.35">
      <c r="A556">
        <v>555</v>
      </c>
      <c r="B556">
        <v>45887.483010069445</v>
      </c>
      <c r="D556" t="s">
        <v>2827</v>
      </c>
      <c r="E556" t="s">
        <v>2155</v>
      </c>
      <c r="F556" t="s">
        <v>28</v>
      </c>
      <c r="G556" t="s">
        <v>28</v>
      </c>
      <c r="H556" t="s">
        <v>28</v>
      </c>
      <c r="I556" t="s">
        <v>28</v>
      </c>
      <c r="J556" t="s">
        <v>28</v>
      </c>
      <c r="K556" t="s">
        <v>28</v>
      </c>
      <c r="L556" t="s">
        <v>46</v>
      </c>
      <c r="N556" t="s">
        <v>2828</v>
      </c>
      <c r="O556" t="s">
        <v>38</v>
      </c>
      <c r="P556" t="s">
        <v>38</v>
      </c>
      <c r="Q556" t="s">
        <v>49</v>
      </c>
      <c r="R556" t="s">
        <v>2195</v>
      </c>
      <c r="S556" t="s">
        <v>49</v>
      </c>
      <c r="T556" t="s">
        <v>2186</v>
      </c>
      <c r="U556" t="s">
        <v>2175</v>
      </c>
      <c r="V556" t="s">
        <v>53</v>
      </c>
      <c r="W556" t="s">
        <v>2829</v>
      </c>
      <c r="X556" t="s">
        <v>118</v>
      </c>
      <c r="Y556" t="s">
        <v>2830</v>
      </c>
      <c r="Z556" t="s">
        <v>91</v>
      </c>
    </row>
    <row r="557" spans="1:26" ht="12.75" customHeight="1" x14ac:dyDescent="0.35">
      <c r="A557">
        <v>556</v>
      </c>
      <c r="B557">
        <v>45887.483141226854</v>
      </c>
      <c r="D557" t="s">
        <v>2831</v>
      </c>
      <c r="E557" t="s">
        <v>1875</v>
      </c>
      <c r="F557" t="s">
        <v>377</v>
      </c>
      <c r="G557" t="s">
        <v>158</v>
      </c>
      <c r="H557" t="s">
        <v>44</v>
      </c>
      <c r="I557" t="s">
        <v>28</v>
      </c>
      <c r="J557" t="s">
        <v>45</v>
      </c>
      <c r="K557" t="s">
        <v>35</v>
      </c>
      <c r="L557" t="s">
        <v>36</v>
      </c>
      <c r="N557" t="s">
        <v>2832</v>
      </c>
      <c r="O557" t="s">
        <v>49</v>
      </c>
      <c r="P557" t="s">
        <v>49</v>
      </c>
      <c r="Q557" t="s">
        <v>48</v>
      </c>
      <c r="R557" t="s">
        <v>2833</v>
      </c>
      <c r="S557" t="s">
        <v>49</v>
      </c>
      <c r="T557" t="s">
        <v>2834</v>
      </c>
      <c r="U557" t="s">
        <v>2835</v>
      </c>
      <c r="V557" t="s">
        <v>53</v>
      </c>
      <c r="W557" t="s">
        <v>2836</v>
      </c>
      <c r="X557" t="s">
        <v>834</v>
      </c>
      <c r="Y557" t="s">
        <v>2837</v>
      </c>
      <c r="Z557" t="s">
        <v>91</v>
      </c>
    </row>
    <row r="558" spans="1:26" ht="12.75" customHeight="1" x14ac:dyDescent="0.35">
      <c r="A558">
        <v>557</v>
      </c>
      <c r="B558">
        <v>45887.485283263886</v>
      </c>
      <c r="D558" t="s">
        <v>2838</v>
      </c>
      <c r="E558" t="s">
        <v>1899</v>
      </c>
      <c r="F558" t="s">
        <v>28</v>
      </c>
      <c r="G558" t="s">
        <v>28</v>
      </c>
      <c r="H558" t="s">
        <v>28</v>
      </c>
      <c r="I558" t="s">
        <v>28</v>
      </c>
      <c r="J558" t="s">
        <v>28</v>
      </c>
      <c r="K558" t="s">
        <v>28</v>
      </c>
      <c r="L558" t="s">
        <v>36</v>
      </c>
      <c r="N558" t="s">
        <v>2756</v>
      </c>
      <c r="O558" t="s">
        <v>48</v>
      </c>
      <c r="P558" t="s">
        <v>48</v>
      </c>
      <c r="Q558" t="s">
        <v>48</v>
      </c>
      <c r="R558" t="s">
        <v>2839</v>
      </c>
      <c r="S558" t="s">
        <v>49</v>
      </c>
      <c r="T558" t="s">
        <v>2705</v>
      </c>
      <c r="U558" t="s">
        <v>2840</v>
      </c>
      <c r="V558" t="s">
        <v>53</v>
      </c>
      <c r="W558" t="s">
        <v>2841</v>
      </c>
      <c r="X558" t="s">
        <v>118</v>
      </c>
      <c r="Y558" t="s">
        <v>2842</v>
      </c>
      <c r="Z558" t="s">
        <v>91</v>
      </c>
    </row>
    <row r="559" spans="1:26" ht="12.75" customHeight="1" x14ac:dyDescent="0.35">
      <c r="A559">
        <v>558</v>
      </c>
      <c r="B559">
        <v>45887.48843626157</v>
      </c>
      <c r="D559" t="s">
        <v>2843</v>
      </c>
      <c r="E559" t="s">
        <v>1899</v>
      </c>
      <c r="F559" t="s">
        <v>28</v>
      </c>
      <c r="G559" t="s">
        <v>28</v>
      </c>
      <c r="H559" t="s">
        <v>28</v>
      </c>
      <c r="I559" t="s">
        <v>28</v>
      </c>
      <c r="J559" t="s">
        <v>28</v>
      </c>
      <c r="K559" t="s">
        <v>28</v>
      </c>
      <c r="L559" t="s">
        <v>46</v>
      </c>
      <c r="N559" t="s">
        <v>2756</v>
      </c>
      <c r="O559" t="s">
        <v>48</v>
      </c>
      <c r="P559" t="s">
        <v>48</v>
      </c>
      <c r="Q559" t="s">
        <v>48</v>
      </c>
      <c r="R559" t="s">
        <v>2704</v>
      </c>
      <c r="S559" t="s">
        <v>48</v>
      </c>
      <c r="T559" t="s">
        <v>2705</v>
      </c>
      <c r="U559" t="s">
        <v>2706</v>
      </c>
      <c r="V559" t="s">
        <v>53</v>
      </c>
      <c r="W559" t="s">
        <v>2844</v>
      </c>
      <c r="X559" t="s">
        <v>118</v>
      </c>
      <c r="Y559" t="s">
        <v>2845</v>
      </c>
      <c r="Z559" t="s">
        <v>91</v>
      </c>
    </row>
    <row r="560" spans="1:26" ht="12.75" customHeight="1" x14ac:dyDescent="0.35">
      <c r="A560">
        <v>559</v>
      </c>
      <c r="B560">
        <v>45887.490293680559</v>
      </c>
      <c r="D560" t="s">
        <v>2846</v>
      </c>
      <c r="E560" t="s">
        <v>1875</v>
      </c>
      <c r="F560" t="s">
        <v>60</v>
      </c>
      <c r="G560" t="s">
        <v>197</v>
      </c>
      <c r="H560" t="s">
        <v>284</v>
      </c>
      <c r="I560" t="s">
        <v>103</v>
      </c>
      <c r="J560" t="s">
        <v>368</v>
      </c>
      <c r="K560" t="s">
        <v>45</v>
      </c>
      <c r="L560" t="s">
        <v>46</v>
      </c>
      <c r="N560" t="s">
        <v>2276</v>
      </c>
      <c r="O560" t="s">
        <v>49</v>
      </c>
      <c r="P560" t="s">
        <v>49</v>
      </c>
      <c r="Q560" t="s">
        <v>48</v>
      </c>
      <c r="R560" t="s">
        <v>2847</v>
      </c>
      <c r="S560" t="s">
        <v>49</v>
      </c>
      <c r="T560" t="s">
        <v>2848</v>
      </c>
      <c r="U560" t="s">
        <v>2849</v>
      </c>
      <c r="V560" t="s">
        <v>53</v>
      </c>
      <c r="W560" t="s">
        <v>2850</v>
      </c>
      <c r="X560" t="s">
        <v>118</v>
      </c>
      <c r="Y560" t="s">
        <v>2851</v>
      </c>
      <c r="Z560" t="s">
        <v>91</v>
      </c>
    </row>
    <row r="561" spans="1:26" ht="12.75" customHeight="1" x14ac:dyDescent="0.35">
      <c r="A561">
        <v>560</v>
      </c>
      <c r="B561">
        <v>45887.491800474541</v>
      </c>
      <c r="D561" t="s">
        <v>2852</v>
      </c>
      <c r="E561" t="s">
        <v>1899</v>
      </c>
      <c r="F561" t="s">
        <v>28</v>
      </c>
      <c r="G561" t="s">
        <v>28</v>
      </c>
      <c r="H561" t="s">
        <v>28</v>
      </c>
      <c r="I561" t="s">
        <v>28</v>
      </c>
      <c r="J561" t="s">
        <v>28</v>
      </c>
      <c r="K561" t="s">
        <v>28</v>
      </c>
      <c r="L561" t="s">
        <v>46</v>
      </c>
      <c r="N561" t="s">
        <v>2756</v>
      </c>
      <c r="O561" t="s">
        <v>48</v>
      </c>
      <c r="P561" t="s">
        <v>48</v>
      </c>
      <c r="Q561" t="s">
        <v>48</v>
      </c>
      <c r="R561" t="s">
        <v>2704</v>
      </c>
      <c r="S561" t="s">
        <v>48</v>
      </c>
      <c r="T561" t="s">
        <v>2705</v>
      </c>
      <c r="U561" t="s">
        <v>2706</v>
      </c>
      <c r="V561" t="s">
        <v>53</v>
      </c>
      <c r="W561" t="s">
        <v>2853</v>
      </c>
      <c r="X561" t="s">
        <v>118</v>
      </c>
      <c r="Y561" t="s">
        <v>2854</v>
      </c>
      <c r="Z561" t="s">
        <v>91</v>
      </c>
    </row>
    <row r="562" spans="1:26" ht="12.75" customHeight="1" x14ac:dyDescent="0.35">
      <c r="A562">
        <v>561</v>
      </c>
      <c r="B562">
        <v>45887.491883692128</v>
      </c>
      <c r="D562" t="s">
        <v>2855</v>
      </c>
      <c r="E562" t="s">
        <v>2155</v>
      </c>
      <c r="F562" t="s">
        <v>377</v>
      </c>
      <c r="G562" t="s">
        <v>28</v>
      </c>
      <c r="H562" t="s">
        <v>29</v>
      </c>
      <c r="I562" t="s">
        <v>30</v>
      </c>
      <c r="J562" t="s">
        <v>28</v>
      </c>
      <c r="K562" t="s">
        <v>28</v>
      </c>
      <c r="L562" t="s">
        <v>46</v>
      </c>
      <c r="N562" t="s">
        <v>2828</v>
      </c>
      <c r="O562" t="s">
        <v>38</v>
      </c>
      <c r="P562" t="s">
        <v>49</v>
      </c>
      <c r="Q562" t="s">
        <v>49</v>
      </c>
      <c r="R562" t="s">
        <v>2195</v>
      </c>
      <c r="S562" t="s">
        <v>49</v>
      </c>
      <c r="T562" t="s">
        <v>2636</v>
      </c>
      <c r="U562" t="s">
        <v>2175</v>
      </c>
      <c r="V562" t="s">
        <v>53</v>
      </c>
      <c r="W562" t="s">
        <v>2856</v>
      </c>
      <c r="X562" t="s">
        <v>118</v>
      </c>
      <c r="Y562" t="s">
        <v>2857</v>
      </c>
      <c r="Z562" t="s">
        <v>91</v>
      </c>
    </row>
    <row r="563" spans="1:26" ht="12.75" customHeight="1" x14ac:dyDescent="0.35">
      <c r="A563">
        <v>562</v>
      </c>
      <c r="B563">
        <v>45887.492231215278</v>
      </c>
      <c r="D563" t="s">
        <v>2858</v>
      </c>
      <c r="E563" t="s">
        <v>2859</v>
      </c>
      <c r="F563" t="s">
        <v>344</v>
      </c>
      <c r="G563" t="s">
        <v>28</v>
      </c>
      <c r="H563" t="s">
        <v>28</v>
      </c>
      <c r="I563" t="s">
        <v>28</v>
      </c>
      <c r="J563" t="s">
        <v>94</v>
      </c>
      <c r="K563" t="s">
        <v>28</v>
      </c>
      <c r="L563" t="s">
        <v>36</v>
      </c>
      <c r="N563" t="s">
        <v>2860</v>
      </c>
      <c r="O563" t="s">
        <v>38</v>
      </c>
      <c r="P563" t="s">
        <v>38</v>
      </c>
      <c r="Q563" t="s">
        <v>38</v>
      </c>
      <c r="R563" t="s">
        <v>2822</v>
      </c>
      <c r="S563" t="s">
        <v>38</v>
      </c>
      <c r="T563" t="s">
        <v>2823</v>
      </c>
      <c r="U563" t="s">
        <v>2824</v>
      </c>
      <c r="V563" t="s">
        <v>53</v>
      </c>
      <c r="W563" t="s">
        <v>2861</v>
      </c>
      <c r="X563" t="s">
        <v>1030</v>
      </c>
      <c r="Y563" t="s">
        <v>2594</v>
      </c>
      <c r="Z563" t="s">
        <v>91</v>
      </c>
    </row>
    <row r="564" spans="1:26" ht="12.75" customHeight="1" x14ac:dyDescent="0.35">
      <c r="A564">
        <v>563</v>
      </c>
      <c r="B564">
        <v>45887.493430717594</v>
      </c>
      <c r="D564" t="s">
        <v>2862</v>
      </c>
      <c r="E564" t="s">
        <v>1875</v>
      </c>
      <c r="F564" t="s">
        <v>60</v>
      </c>
      <c r="G564" t="s">
        <v>28</v>
      </c>
      <c r="H564" t="s">
        <v>44</v>
      </c>
      <c r="I564" t="s">
        <v>196</v>
      </c>
      <c r="J564" t="s">
        <v>45</v>
      </c>
      <c r="K564" t="s">
        <v>368</v>
      </c>
      <c r="L564" t="s">
        <v>46</v>
      </c>
      <c r="N564" t="s">
        <v>2276</v>
      </c>
      <c r="O564" t="s">
        <v>49</v>
      </c>
      <c r="P564" t="s">
        <v>49</v>
      </c>
      <c r="Q564" t="s">
        <v>49</v>
      </c>
      <c r="R564" t="s">
        <v>2863</v>
      </c>
      <c r="S564" t="s">
        <v>49</v>
      </c>
      <c r="T564" t="s">
        <v>2864</v>
      </c>
      <c r="U564" t="s">
        <v>2865</v>
      </c>
      <c r="V564" t="s">
        <v>53</v>
      </c>
      <c r="W564" t="s">
        <v>2866</v>
      </c>
      <c r="X564" t="s">
        <v>118</v>
      </c>
      <c r="Y564" t="s">
        <v>2867</v>
      </c>
      <c r="Z564" t="s">
        <v>91</v>
      </c>
    </row>
    <row r="565" spans="1:26" ht="12.75" customHeight="1" x14ac:dyDescent="0.35">
      <c r="A565">
        <v>564</v>
      </c>
      <c r="B565">
        <v>45887.495019201393</v>
      </c>
      <c r="D565" t="s">
        <v>2868</v>
      </c>
      <c r="E565" t="s">
        <v>1899</v>
      </c>
      <c r="F565" t="s">
        <v>28</v>
      </c>
      <c r="G565" t="s">
        <v>28</v>
      </c>
      <c r="H565" t="s">
        <v>28</v>
      </c>
      <c r="I565" t="s">
        <v>28</v>
      </c>
      <c r="J565" t="s">
        <v>28</v>
      </c>
      <c r="K565" t="s">
        <v>28</v>
      </c>
      <c r="L565" t="s">
        <v>46</v>
      </c>
      <c r="N565" t="s">
        <v>2828</v>
      </c>
      <c r="O565" t="s">
        <v>48</v>
      </c>
      <c r="P565" t="s">
        <v>48</v>
      </c>
      <c r="Q565" t="s">
        <v>48</v>
      </c>
      <c r="R565" t="s">
        <v>2704</v>
      </c>
      <c r="S565" t="s">
        <v>48</v>
      </c>
      <c r="T565" t="s">
        <v>2705</v>
      </c>
      <c r="U565" t="s">
        <v>2706</v>
      </c>
      <c r="V565" t="s">
        <v>53</v>
      </c>
      <c r="W565" t="s">
        <v>2869</v>
      </c>
      <c r="X565" t="s">
        <v>118</v>
      </c>
      <c r="Y565" t="s">
        <v>2870</v>
      </c>
      <c r="Z565" t="s">
        <v>91</v>
      </c>
    </row>
    <row r="566" spans="1:26" ht="12.75" customHeight="1" x14ac:dyDescent="0.35">
      <c r="A566">
        <v>565</v>
      </c>
      <c r="B566">
        <v>45887.497848842591</v>
      </c>
      <c r="D566" t="s">
        <v>2871</v>
      </c>
      <c r="E566" t="s">
        <v>2155</v>
      </c>
      <c r="F566" t="s">
        <v>29</v>
      </c>
      <c r="G566" t="s">
        <v>29</v>
      </c>
      <c r="H566" t="s">
        <v>29</v>
      </c>
      <c r="I566" t="s">
        <v>30</v>
      </c>
      <c r="J566" t="s">
        <v>30</v>
      </c>
      <c r="K566" t="s">
        <v>28</v>
      </c>
      <c r="L566" t="s">
        <v>46</v>
      </c>
      <c r="N566" t="s">
        <v>2369</v>
      </c>
      <c r="O566" t="s">
        <v>49</v>
      </c>
      <c r="P566" t="s">
        <v>49</v>
      </c>
      <c r="Q566" t="s">
        <v>49</v>
      </c>
      <c r="R566" t="s">
        <v>2822</v>
      </c>
      <c r="S566" t="s">
        <v>49</v>
      </c>
      <c r="T566" t="s">
        <v>2872</v>
      </c>
      <c r="U566" t="s">
        <v>2824</v>
      </c>
      <c r="V566" t="s">
        <v>87</v>
      </c>
      <c r="W566" t="s">
        <v>2873</v>
      </c>
      <c r="X566" t="s">
        <v>1030</v>
      </c>
      <c r="Y566" t="s">
        <v>2874</v>
      </c>
      <c r="Z566" t="s">
        <v>91</v>
      </c>
    </row>
    <row r="567" spans="1:26" ht="12.75" customHeight="1" x14ac:dyDescent="0.35">
      <c r="A567">
        <v>566</v>
      </c>
      <c r="B567">
        <v>45887.49829743056</v>
      </c>
      <c r="D567" t="s">
        <v>2875</v>
      </c>
      <c r="E567" t="s">
        <v>1899</v>
      </c>
      <c r="F567" t="s">
        <v>28</v>
      </c>
      <c r="G567" t="s">
        <v>28</v>
      </c>
      <c r="H567" t="s">
        <v>28</v>
      </c>
      <c r="I567" t="s">
        <v>28</v>
      </c>
      <c r="J567" t="s">
        <v>28</v>
      </c>
      <c r="K567" t="s">
        <v>28</v>
      </c>
      <c r="L567" t="s">
        <v>46</v>
      </c>
      <c r="N567" t="s">
        <v>2828</v>
      </c>
      <c r="O567" t="s">
        <v>48</v>
      </c>
      <c r="P567" t="s">
        <v>48</v>
      </c>
      <c r="Q567" t="s">
        <v>48</v>
      </c>
      <c r="R567" t="s">
        <v>2704</v>
      </c>
      <c r="S567" t="s">
        <v>48</v>
      </c>
      <c r="T567" t="s">
        <v>2705</v>
      </c>
      <c r="U567" t="s">
        <v>2706</v>
      </c>
      <c r="V567" t="s">
        <v>53</v>
      </c>
      <c r="W567" t="s">
        <v>2876</v>
      </c>
      <c r="X567" t="s">
        <v>118</v>
      </c>
      <c r="Y567" t="s">
        <v>2877</v>
      </c>
      <c r="Z567" t="s">
        <v>91</v>
      </c>
    </row>
    <row r="568" spans="1:26" ht="12.75" customHeight="1" x14ac:dyDescent="0.35">
      <c r="A568">
        <v>567</v>
      </c>
      <c r="B568">
        <v>45887.498711516208</v>
      </c>
      <c r="D568" t="s">
        <v>2878</v>
      </c>
      <c r="E568" t="s">
        <v>2155</v>
      </c>
      <c r="F568" t="s">
        <v>28</v>
      </c>
      <c r="G568" t="s">
        <v>28</v>
      </c>
      <c r="H568" t="s">
        <v>28</v>
      </c>
      <c r="I568" t="s">
        <v>28</v>
      </c>
      <c r="J568" t="s">
        <v>28</v>
      </c>
      <c r="K568" t="s">
        <v>28</v>
      </c>
      <c r="L568" t="s">
        <v>46</v>
      </c>
      <c r="N568" t="s">
        <v>2828</v>
      </c>
      <c r="O568" t="s">
        <v>38</v>
      </c>
      <c r="P568" t="s">
        <v>49</v>
      </c>
      <c r="Q568" t="s">
        <v>49</v>
      </c>
      <c r="R568" t="s">
        <v>2195</v>
      </c>
      <c r="S568" t="s">
        <v>49</v>
      </c>
      <c r="T568" t="s">
        <v>2186</v>
      </c>
      <c r="U568" t="s">
        <v>2175</v>
      </c>
      <c r="V568" t="s">
        <v>53</v>
      </c>
      <c r="W568" t="s">
        <v>2879</v>
      </c>
      <c r="X568" t="s">
        <v>118</v>
      </c>
      <c r="Y568" t="s">
        <v>2857</v>
      </c>
      <c r="Z568" t="s">
        <v>91</v>
      </c>
    </row>
    <row r="569" spans="1:26" ht="12.75" customHeight="1" x14ac:dyDescent="0.35">
      <c r="A569">
        <v>568</v>
      </c>
      <c r="B569">
        <v>45887.50153040509</v>
      </c>
      <c r="D569" t="s">
        <v>2880</v>
      </c>
      <c r="E569" t="s">
        <v>1899</v>
      </c>
      <c r="F569" t="s">
        <v>28</v>
      </c>
      <c r="G569" t="s">
        <v>28</v>
      </c>
      <c r="H569" t="s">
        <v>28</v>
      </c>
      <c r="I569" t="s">
        <v>28</v>
      </c>
      <c r="J569" t="s">
        <v>28</v>
      </c>
      <c r="K569" t="s">
        <v>28</v>
      </c>
      <c r="L569" t="s">
        <v>46</v>
      </c>
      <c r="N569" t="s">
        <v>2828</v>
      </c>
      <c r="O569" t="s">
        <v>48</v>
      </c>
      <c r="P569" t="s">
        <v>48</v>
      </c>
      <c r="Q569" t="s">
        <v>48</v>
      </c>
      <c r="R569" t="s">
        <v>2704</v>
      </c>
      <c r="S569" t="s">
        <v>48</v>
      </c>
      <c r="T569" t="s">
        <v>2705</v>
      </c>
      <c r="U569" t="s">
        <v>2706</v>
      </c>
      <c r="V569" t="s">
        <v>53</v>
      </c>
      <c r="W569" t="s">
        <v>2881</v>
      </c>
      <c r="X569" t="s">
        <v>118</v>
      </c>
      <c r="Y569" t="s">
        <v>2882</v>
      </c>
      <c r="Z569" t="s">
        <v>91</v>
      </c>
    </row>
    <row r="570" spans="1:26" ht="12.75" customHeight="1" x14ac:dyDescent="0.35">
      <c r="A570">
        <v>569</v>
      </c>
      <c r="B570">
        <v>45887.502087581015</v>
      </c>
      <c r="D570" t="s">
        <v>2883</v>
      </c>
      <c r="E570" t="s">
        <v>2405</v>
      </c>
      <c r="F570" t="s">
        <v>28</v>
      </c>
      <c r="G570" t="s">
        <v>44</v>
      </c>
      <c r="H570" t="s">
        <v>29</v>
      </c>
      <c r="I570" t="s">
        <v>173</v>
      </c>
      <c r="J570" t="s">
        <v>45</v>
      </c>
      <c r="K570" t="s">
        <v>368</v>
      </c>
      <c r="L570" t="s">
        <v>46</v>
      </c>
      <c r="N570" t="s">
        <v>2338</v>
      </c>
      <c r="O570" t="s">
        <v>48</v>
      </c>
      <c r="P570" t="s">
        <v>48</v>
      </c>
      <c r="Q570" t="s">
        <v>48</v>
      </c>
      <c r="R570" t="s">
        <v>1951</v>
      </c>
      <c r="S570" t="s">
        <v>48</v>
      </c>
      <c r="T570" t="s">
        <v>1952</v>
      </c>
      <c r="U570" t="s">
        <v>1976</v>
      </c>
      <c r="V570" t="s">
        <v>53</v>
      </c>
      <c r="W570" t="s">
        <v>2884</v>
      </c>
      <c r="X570" t="s">
        <v>2737</v>
      </c>
      <c r="Y570" t="s">
        <v>2885</v>
      </c>
      <c r="Z570" t="s">
        <v>91</v>
      </c>
    </row>
    <row r="571" spans="1:26" ht="12.75" customHeight="1" x14ac:dyDescent="0.35">
      <c r="A571">
        <v>570</v>
      </c>
      <c r="B571">
        <v>45887.503200335646</v>
      </c>
      <c r="D571" t="s">
        <v>2454</v>
      </c>
      <c r="E571" t="s">
        <v>2155</v>
      </c>
      <c r="F571" t="s">
        <v>29</v>
      </c>
      <c r="G571" t="s">
        <v>29</v>
      </c>
      <c r="H571" t="s">
        <v>29</v>
      </c>
      <c r="I571" t="s">
        <v>30</v>
      </c>
      <c r="J571" t="s">
        <v>28</v>
      </c>
      <c r="K571" t="s">
        <v>368</v>
      </c>
      <c r="L571" t="s">
        <v>46</v>
      </c>
      <c r="N571" t="s">
        <v>2369</v>
      </c>
      <c r="O571" t="s">
        <v>49</v>
      </c>
      <c r="P571" t="s">
        <v>49</v>
      </c>
      <c r="Q571" t="s">
        <v>49</v>
      </c>
      <c r="R571" t="s">
        <v>2822</v>
      </c>
      <c r="S571" t="s">
        <v>49</v>
      </c>
      <c r="T571" t="s">
        <v>2823</v>
      </c>
      <c r="U571" t="s">
        <v>2824</v>
      </c>
      <c r="V571" t="s">
        <v>53</v>
      </c>
      <c r="W571" t="s">
        <v>2455</v>
      </c>
      <c r="X571" t="s">
        <v>2886</v>
      </c>
      <c r="Y571" t="s">
        <v>2456</v>
      </c>
      <c r="Z571" t="s">
        <v>91</v>
      </c>
    </row>
    <row r="572" spans="1:26" ht="12.75" customHeight="1" x14ac:dyDescent="0.35">
      <c r="A572">
        <v>571</v>
      </c>
      <c r="B572">
        <v>45887.503710636578</v>
      </c>
      <c r="D572" t="s">
        <v>2887</v>
      </c>
      <c r="E572" t="s">
        <v>2155</v>
      </c>
      <c r="F572" t="s">
        <v>44</v>
      </c>
      <c r="G572" t="s">
        <v>28</v>
      </c>
      <c r="H572" t="s">
        <v>28</v>
      </c>
      <c r="I572" t="s">
        <v>28</v>
      </c>
      <c r="J572" t="s">
        <v>28</v>
      </c>
      <c r="K572" t="s">
        <v>28</v>
      </c>
      <c r="L572" t="s">
        <v>46</v>
      </c>
      <c r="N572" t="s">
        <v>2828</v>
      </c>
      <c r="O572" t="s">
        <v>38</v>
      </c>
      <c r="P572" t="s">
        <v>38</v>
      </c>
      <c r="Q572" t="s">
        <v>49</v>
      </c>
      <c r="R572" t="s">
        <v>2253</v>
      </c>
      <c r="S572" t="s">
        <v>49</v>
      </c>
      <c r="T572" t="s">
        <v>2244</v>
      </c>
      <c r="U572" t="s">
        <v>2461</v>
      </c>
      <c r="V572" t="s">
        <v>53</v>
      </c>
      <c r="W572" t="s">
        <v>2888</v>
      </c>
      <c r="X572" t="s">
        <v>118</v>
      </c>
      <c r="Y572" t="s">
        <v>2889</v>
      </c>
      <c r="Z572" t="s">
        <v>91</v>
      </c>
    </row>
    <row r="573" spans="1:26" ht="12.75" customHeight="1" x14ac:dyDescent="0.35">
      <c r="A573">
        <v>572</v>
      </c>
      <c r="B573">
        <v>45887.504705555555</v>
      </c>
      <c r="D573" t="s">
        <v>2890</v>
      </c>
      <c r="E573" t="s">
        <v>1899</v>
      </c>
      <c r="F573" t="s">
        <v>28</v>
      </c>
      <c r="G573" t="s">
        <v>28</v>
      </c>
      <c r="H573" t="s">
        <v>28</v>
      </c>
      <c r="I573" t="s">
        <v>28</v>
      </c>
      <c r="J573" t="s">
        <v>28</v>
      </c>
      <c r="K573" t="s">
        <v>28</v>
      </c>
      <c r="L573" t="s">
        <v>36</v>
      </c>
      <c r="N573" t="s">
        <v>2828</v>
      </c>
      <c r="O573" t="s">
        <v>48</v>
      </c>
      <c r="P573" t="s">
        <v>48</v>
      </c>
      <c r="Q573" t="s">
        <v>48</v>
      </c>
      <c r="R573" t="s">
        <v>2704</v>
      </c>
      <c r="S573" t="s">
        <v>48</v>
      </c>
      <c r="T573" t="s">
        <v>2705</v>
      </c>
      <c r="U573" t="s">
        <v>2706</v>
      </c>
      <c r="V573" t="s">
        <v>53</v>
      </c>
      <c r="W573" t="s">
        <v>2891</v>
      </c>
      <c r="X573" t="s">
        <v>118</v>
      </c>
      <c r="Y573" t="s">
        <v>2892</v>
      </c>
      <c r="Z573" t="s">
        <v>91</v>
      </c>
    </row>
    <row r="574" spans="1:26" ht="12.75" customHeight="1" x14ac:dyDescent="0.35">
      <c r="A574">
        <v>573</v>
      </c>
      <c r="B574">
        <v>45887.505325324077</v>
      </c>
      <c r="D574" t="s">
        <v>2893</v>
      </c>
      <c r="E574" t="s">
        <v>2405</v>
      </c>
      <c r="F574" t="s">
        <v>29</v>
      </c>
      <c r="G574" t="s">
        <v>28</v>
      </c>
      <c r="H574" t="s">
        <v>60</v>
      </c>
      <c r="I574" t="s">
        <v>196</v>
      </c>
      <c r="J574" t="s">
        <v>368</v>
      </c>
      <c r="K574" t="s">
        <v>28</v>
      </c>
      <c r="L574" t="s">
        <v>46</v>
      </c>
      <c r="N574" t="s">
        <v>2894</v>
      </c>
      <c r="O574" t="s">
        <v>48</v>
      </c>
      <c r="P574" t="s">
        <v>48</v>
      </c>
      <c r="Q574" t="s">
        <v>48</v>
      </c>
      <c r="R574" t="s">
        <v>1951</v>
      </c>
      <c r="S574" t="s">
        <v>48</v>
      </c>
      <c r="T574" t="s">
        <v>1952</v>
      </c>
      <c r="U574" t="s">
        <v>1976</v>
      </c>
      <c r="V574" t="s">
        <v>53</v>
      </c>
      <c r="W574" t="s">
        <v>2895</v>
      </c>
      <c r="X574" t="s">
        <v>2737</v>
      </c>
      <c r="Y574" t="s">
        <v>193</v>
      </c>
      <c r="Z574" t="s">
        <v>91</v>
      </c>
    </row>
    <row r="575" spans="1:26" ht="12.75" customHeight="1" x14ac:dyDescent="0.35">
      <c r="A575">
        <v>574</v>
      </c>
      <c r="B575">
        <v>45887.506390057868</v>
      </c>
      <c r="D575" t="s">
        <v>2896</v>
      </c>
      <c r="E575" t="s">
        <v>2591</v>
      </c>
      <c r="F575" t="s">
        <v>33</v>
      </c>
      <c r="G575" t="s">
        <v>33</v>
      </c>
      <c r="H575" t="s">
        <v>33</v>
      </c>
      <c r="I575" t="s">
        <v>34</v>
      </c>
      <c r="J575" t="s">
        <v>30</v>
      </c>
      <c r="K575" t="s">
        <v>74</v>
      </c>
      <c r="L575" t="s">
        <v>46</v>
      </c>
      <c r="N575" t="s">
        <v>2897</v>
      </c>
      <c r="O575" t="s">
        <v>48</v>
      </c>
      <c r="P575" t="s">
        <v>49</v>
      </c>
      <c r="Q575" t="s">
        <v>49</v>
      </c>
      <c r="R575" t="s">
        <v>1951</v>
      </c>
      <c r="S575" t="s">
        <v>49</v>
      </c>
      <c r="T575" t="s">
        <v>1952</v>
      </c>
      <c r="U575" t="s">
        <v>1976</v>
      </c>
      <c r="V575" t="s">
        <v>53</v>
      </c>
      <c r="W575" t="s">
        <v>2898</v>
      </c>
      <c r="X575" t="s">
        <v>118</v>
      </c>
      <c r="Y575" t="s">
        <v>2899</v>
      </c>
      <c r="Z575" t="s">
        <v>91</v>
      </c>
    </row>
    <row r="576" spans="1:26" ht="12.75" customHeight="1" x14ac:dyDescent="0.35">
      <c r="A576">
        <v>575</v>
      </c>
      <c r="B576">
        <v>45887.508018298613</v>
      </c>
      <c r="D576" t="s">
        <v>2900</v>
      </c>
      <c r="E576" t="s">
        <v>1899</v>
      </c>
      <c r="F576" t="s">
        <v>44</v>
      </c>
      <c r="G576" t="s">
        <v>158</v>
      </c>
      <c r="H576" t="s">
        <v>28</v>
      </c>
      <c r="I576" t="s">
        <v>103</v>
      </c>
      <c r="J576" t="s">
        <v>28</v>
      </c>
      <c r="K576" t="s">
        <v>28</v>
      </c>
      <c r="L576" t="s">
        <v>36</v>
      </c>
      <c r="N576" t="s">
        <v>2901</v>
      </c>
      <c r="O576" t="s">
        <v>48</v>
      </c>
      <c r="P576" t="s">
        <v>48</v>
      </c>
      <c r="Q576" t="s">
        <v>48</v>
      </c>
      <c r="R576" t="s">
        <v>2704</v>
      </c>
      <c r="S576" t="s">
        <v>48</v>
      </c>
      <c r="T576" t="s">
        <v>2705</v>
      </c>
      <c r="U576" t="s">
        <v>2706</v>
      </c>
      <c r="V576" t="s">
        <v>53</v>
      </c>
      <c r="W576" t="s">
        <v>2902</v>
      </c>
      <c r="X576" t="s">
        <v>118</v>
      </c>
      <c r="Y576" t="s">
        <v>2903</v>
      </c>
      <c r="Z576" t="s">
        <v>91</v>
      </c>
    </row>
    <row r="577" spans="1:26" ht="12.75" customHeight="1" x14ac:dyDescent="0.35">
      <c r="A577">
        <v>576</v>
      </c>
      <c r="B577">
        <v>45887.508145</v>
      </c>
      <c r="D577" t="s">
        <v>2904</v>
      </c>
      <c r="E577" t="s">
        <v>2405</v>
      </c>
      <c r="F577" t="s">
        <v>44</v>
      </c>
      <c r="G577" t="s">
        <v>28</v>
      </c>
      <c r="H577" t="s">
        <v>60</v>
      </c>
      <c r="I577" t="s">
        <v>158</v>
      </c>
      <c r="J577" t="s">
        <v>368</v>
      </c>
      <c r="K577" t="s">
        <v>28</v>
      </c>
      <c r="L577" t="s">
        <v>46</v>
      </c>
      <c r="N577" t="s">
        <v>2338</v>
      </c>
      <c r="O577" t="s">
        <v>48</v>
      </c>
      <c r="P577" t="s">
        <v>48</v>
      </c>
      <c r="Q577" t="s">
        <v>48</v>
      </c>
      <c r="R577" t="s">
        <v>1951</v>
      </c>
      <c r="S577" t="s">
        <v>48</v>
      </c>
      <c r="T577" t="s">
        <v>1952</v>
      </c>
      <c r="U577" t="s">
        <v>1976</v>
      </c>
      <c r="V577" t="s">
        <v>53</v>
      </c>
      <c r="W577" t="s">
        <v>2905</v>
      </c>
      <c r="X577" t="s">
        <v>2737</v>
      </c>
      <c r="Y577" t="s">
        <v>258</v>
      </c>
      <c r="Z577" t="s">
        <v>91</v>
      </c>
    </row>
    <row r="578" spans="1:26" ht="12.75" customHeight="1" x14ac:dyDescent="0.35">
      <c r="A578">
        <v>577</v>
      </c>
      <c r="B578">
        <v>45887.508453599541</v>
      </c>
      <c r="D578" t="s">
        <v>2906</v>
      </c>
      <c r="E578" t="s">
        <v>2155</v>
      </c>
      <c r="F578" t="s">
        <v>28</v>
      </c>
      <c r="G578" t="s">
        <v>196</v>
      </c>
      <c r="H578" t="s">
        <v>28</v>
      </c>
      <c r="I578" t="s">
        <v>28</v>
      </c>
      <c r="J578" t="s">
        <v>28</v>
      </c>
      <c r="K578" t="s">
        <v>28</v>
      </c>
      <c r="L578" t="s">
        <v>46</v>
      </c>
      <c r="N578" t="s">
        <v>2901</v>
      </c>
      <c r="O578" t="s">
        <v>49</v>
      </c>
      <c r="P578" t="s">
        <v>49</v>
      </c>
      <c r="Q578" t="s">
        <v>49</v>
      </c>
      <c r="R578" t="s">
        <v>2907</v>
      </c>
      <c r="S578" t="s">
        <v>49</v>
      </c>
      <c r="T578" t="s">
        <v>2186</v>
      </c>
      <c r="U578" t="s">
        <v>2471</v>
      </c>
      <c r="V578" t="s">
        <v>53</v>
      </c>
      <c r="W578" t="s">
        <v>2908</v>
      </c>
      <c r="X578" t="s">
        <v>118</v>
      </c>
      <c r="Y578" t="s">
        <v>2909</v>
      </c>
      <c r="Z578" t="s">
        <v>91</v>
      </c>
    </row>
    <row r="579" spans="1:26" ht="12.75" customHeight="1" x14ac:dyDescent="0.35">
      <c r="A579">
        <v>578</v>
      </c>
      <c r="B579">
        <v>45887.508949872688</v>
      </c>
      <c r="D579" t="s">
        <v>2910</v>
      </c>
      <c r="E579" t="s">
        <v>2591</v>
      </c>
      <c r="F579" t="s">
        <v>33</v>
      </c>
      <c r="G579" t="s">
        <v>33</v>
      </c>
      <c r="H579" t="s">
        <v>33</v>
      </c>
      <c r="I579" t="s">
        <v>34</v>
      </c>
      <c r="J579" t="s">
        <v>34</v>
      </c>
      <c r="K579" t="s">
        <v>74</v>
      </c>
      <c r="L579" t="s">
        <v>46</v>
      </c>
      <c r="N579" t="s">
        <v>2897</v>
      </c>
      <c r="O579" t="s">
        <v>49</v>
      </c>
      <c r="P579" t="s">
        <v>49</v>
      </c>
      <c r="Q579" t="s">
        <v>49</v>
      </c>
      <c r="R579" t="s">
        <v>1951</v>
      </c>
      <c r="S579" t="s">
        <v>49</v>
      </c>
      <c r="T579" t="s">
        <v>1952</v>
      </c>
      <c r="U579" t="s">
        <v>1976</v>
      </c>
      <c r="V579" t="s">
        <v>53</v>
      </c>
      <c r="W579" t="s">
        <v>2911</v>
      </c>
      <c r="X579" t="s">
        <v>118</v>
      </c>
      <c r="Y579" t="s">
        <v>2912</v>
      </c>
      <c r="Z579" t="s">
        <v>91</v>
      </c>
    </row>
    <row r="580" spans="1:26" ht="12.75" customHeight="1" x14ac:dyDescent="0.35">
      <c r="A580">
        <v>579</v>
      </c>
      <c r="B580">
        <v>45887.511568715279</v>
      </c>
      <c r="D580" t="s">
        <v>2913</v>
      </c>
      <c r="E580" t="s">
        <v>2405</v>
      </c>
      <c r="F580" t="s">
        <v>28</v>
      </c>
      <c r="G580" t="s">
        <v>60</v>
      </c>
      <c r="H580" t="s">
        <v>60</v>
      </c>
      <c r="I580" t="s">
        <v>28</v>
      </c>
      <c r="J580" t="s">
        <v>368</v>
      </c>
      <c r="K580" t="s">
        <v>94</v>
      </c>
      <c r="L580" t="s">
        <v>46</v>
      </c>
      <c r="N580" t="s">
        <v>2914</v>
      </c>
      <c r="O580" t="s">
        <v>48</v>
      </c>
      <c r="P580" t="s">
        <v>48</v>
      </c>
      <c r="Q580" t="s">
        <v>48</v>
      </c>
      <c r="R580" t="s">
        <v>1951</v>
      </c>
      <c r="S580" t="s">
        <v>48</v>
      </c>
      <c r="T580" t="s">
        <v>1952</v>
      </c>
      <c r="U580" t="s">
        <v>1976</v>
      </c>
      <c r="V580" t="s">
        <v>53</v>
      </c>
      <c r="W580" t="s">
        <v>2915</v>
      </c>
      <c r="X580" t="s">
        <v>2737</v>
      </c>
      <c r="Y580" t="s">
        <v>193</v>
      </c>
      <c r="Z580" t="s">
        <v>91</v>
      </c>
    </row>
    <row r="581" spans="1:26" ht="12.75" customHeight="1" x14ac:dyDescent="0.35">
      <c r="A581">
        <v>580</v>
      </c>
      <c r="B581">
        <v>45887.511867395835</v>
      </c>
      <c r="D581" t="s">
        <v>2916</v>
      </c>
      <c r="E581" t="s">
        <v>2859</v>
      </c>
      <c r="F581" t="s">
        <v>29</v>
      </c>
      <c r="G581" t="s">
        <v>29</v>
      </c>
      <c r="H581" t="s">
        <v>29</v>
      </c>
      <c r="I581" t="s">
        <v>30</v>
      </c>
      <c r="J581" t="s">
        <v>30</v>
      </c>
      <c r="K581" t="s">
        <v>61</v>
      </c>
      <c r="L581" t="s">
        <v>36</v>
      </c>
      <c r="N581" t="s">
        <v>2917</v>
      </c>
      <c r="O581" t="s">
        <v>38</v>
      </c>
      <c r="P581" t="s">
        <v>49</v>
      </c>
      <c r="Q581" t="s">
        <v>38</v>
      </c>
      <c r="R581" t="s">
        <v>2918</v>
      </c>
      <c r="S581" t="s">
        <v>49</v>
      </c>
      <c r="T581" t="s">
        <v>2919</v>
      </c>
      <c r="U581" t="s">
        <v>2920</v>
      </c>
      <c r="V581" t="s">
        <v>87</v>
      </c>
      <c r="W581" t="s">
        <v>2921</v>
      </c>
      <c r="X581" t="s">
        <v>1317</v>
      </c>
      <c r="Y581" t="s">
        <v>2922</v>
      </c>
      <c r="Z581" t="s">
        <v>91</v>
      </c>
    </row>
    <row r="582" spans="1:26" ht="12.75" customHeight="1" x14ac:dyDescent="0.35">
      <c r="A582">
        <v>581</v>
      </c>
      <c r="B582">
        <v>45887.512679583335</v>
      </c>
      <c r="D582" t="s">
        <v>2923</v>
      </c>
      <c r="E582" t="s">
        <v>1899</v>
      </c>
      <c r="F582" t="s">
        <v>28</v>
      </c>
      <c r="G582" t="s">
        <v>28</v>
      </c>
      <c r="H582" t="s">
        <v>28</v>
      </c>
      <c r="I582" t="s">
        <v>28</v>
      </c>
      <c r="J582" t="s">
        <v>103</v>
      </c>
      <c r="K582" t="s">
        <v>45</v>
      </c>
      <c r="L582" t="s">
        <v>46</v>
      </c>
      <c r="N582" t="s">
        <v>2924</v>
      </c>
      <c r="O582" t="s">
        <v>48</v>
      </c>
      <c r="P582" t="s">
        <v>48</v>
      </c>
      <c r="Q582" t="s">
        <v>48</v>
      </c>
      <c r="R582" t="s">
        <v>2704</v>
      </c>
      <c r="S582" t="s">
        <v>48</v>
      </c>
      <c r="T582" t="s">
        <v>2705</v>
      </c>
      <c r="U582" t="s">
        <v>2706</v>
      </c>
      <c r="V582" t="s">
        <v>53</v>
      </c>
      <c r="W582" t="s">
        <v>2925</v>
      </c>
      <c r="X582" t="s">
        <v>118</v>
      </c>
      <c r="Y582" t="s">
        <v>2926</v>
      </c>
      <c r="Z582" t="s">
        <v>91</v>
      </c>
    </row>
    <row r="583" spans="1:26" ht="12.75" customHeight="1" x14ac:dyDescent="0.35">
      <c r="A583">
        <v>582</v>
      </c>
      <c r="B583">
        <v>45887.51509212963</v>
      </c>
      <c r="D583" t="s">
        <v>2927</v>
      </c>
      <c r="E583" t="s">
        <v>2405</v>
      </c>
      <c r="F583" t="s">
        <v>44</v>
      </c>
      <c r="G583" t="s">
        <v>28</v>
      </c>
      <c r="H583" t="s">
        <v>206</v>
      </c>
      <c r="I583" t="s">
        <v>173</v>
      </c>
      <c r="J583" t="s">
        <v>45</v>
      </c>
      <c r="K583" t="s">
        <v>368</v>
      </c>
      <c r="L583" t="s">
        <v>46</v>
      </c>
      <c r="N583" t="s">
        <v>2525</v>
      </c>
      <c r="O583" t="s">
        <v>48</v>
      </c>
      <c r="P583" t="s">
        <v>49</v>
      </c>
      <c r="Q583" t="s">
        <v>49</v>
      </c>
      <c r="R583" t="s">
        <v>1951</v>
      </c>
      <c r="S583" t="s">
        <v>48</v>
      </c>
      <c r="T583" t="s">
        <v>1952</v>
      </c>
      <c r="U583" t="s">
        <v>1976</v>
      </c>
      <c r="V583" t="s">
        <v>53</v>
      </c>
      <c r="W583" t="s">
        <v>2928</v>
      </c>
      <c r="X583" t="s">
        <v>2737</v>
      </c>
      <c r="Y583" t="s">
        <v>193</v>
      </c>
      <c r="Z583" t="s">
        <v>91</v>
      </c>
    </row>
    <row r="584" spans="1:26" ht="12.75" customHeight="1" x14ac:dyDescent="0.35">
      <c r="A584">
        <v>583</v>
      </c>
      <c r="B584">
        <v>45887.515891759263</v>
      </c>
      <c r="D584" t="s">
        <v>2929</v>
      </c>
      <c r="E584" t="s">
        <v>2591</v>
      </c>
      <c r="F584" t="s">
        <v>33</v>
      </c>
      <c r="G584" t="s">
        <v>33</v>
      </c>
      <c r="H584" t="s">
        <v>33</v>
      </c>
      <c r="I584" t="s">
        <v>34</v>
      </c>
      <c r="J584" t="s">
        <v>34</v>
      </c>
      <c r="K584" t="s">
        <v>74</v>
      </c>
      <c r="L584" t="s">
        <v>46</v>
      </c>
      <c r="N584" t="s">
        <v>2897</v>
      </c>
      <c r="O584" t="s">
        <v>49</v>
      </c>
      <c r="P584" t="s">
        <v>48</v>
      </c>
      <c r="Q584" t="s">
        <v>48</v>
      </c>
      <c r="R584" t="s">
        <v>1951</v>
      </c>
      <c r="S584" t="s">
        <v>49</v>
      </c>
      <c r="T584" t="s">
        <v>1952</v>
      </c>
      <c r="U584" t="s">
        <v>1976</v>
      </c>
      <c r="V584" t="s">
        <v>53</v>
      </c>
      <c r="W584" t="s">
        <v>2930</v>
      </c>
      <c r="X584" t="s">
        <v>118</v>
      </c>
      <c r="Y584" t="s">
        <v>2931</v>
      </c>
      <c r="Z584" t="s">
        <v>91</v>
      </c>
    </row>
    <row r="585" spans="1:26" ht="12.75" customHeight="1" x14ac:dyDescent="0.35">
      <c r="A585">
        <v>584</v>
      </c>
      <c r="B585">
        <v>45887.517405474537</v>
      </c>
      <c r="D585" t="s">
        <v>2932</v>
      </c>
      <c r="E585" t="s">
        <v>1899</v>
      </c>
      <c r="F585" t="s">
        <v>28</v>
      </c>
      <c r="G585" t="s">
        <v>158</v>
      </c>
      <c r="H585" t="s">
        <v>44</v>
      </c>
      <c r="I585" t="s">
        <v>103</v>
      </c>
      <c r="J585" t="s">
        <v>28</v>
      </c>
      <c r="K585" t="s">
        <v>28</v>
      </c>
      <c r="L585" t="s">
        <v>46</v>
      </c>
      <c r="N585" t="s">
        <v>2897</v>
      </c>
      <c r="O585" t="s">
        <v>48</v>
      </c>
      <c r="P585" t="s">
        <v>48</v>
      </c>
      <c r="Q585" t="s">
        <v>48</v>
      </c>
      <c r="R585" t="s">
        <v>2704</v>
      </c>
      <c r="S585" t="s">
        <v>48</v>
      </c>
      <c r="T585" t="s">
        <v>2705</v>
      </c>
      <c r="U585" t="s">
        <v>2706</v>
      </c>
      <c r="V585" t="s">
        <v>53</v>
      </c>
      <c r="W585" t="s">
        <v>2933</v>
      </c>
      <c r="X585" t="s">
        <v>118</v>
      </c>
      <c r="Y585" t="s">
        <v>2934</v>
      </c>
      <c r="Z585" t="s">
        <v>170</v>
      </c>
    </row>
    <row r="586" spans="1:26" ht="12.75" customHeight="1" x14ac:dyDescent="0.35">
      <c r="A586">
        <v>585</v>
      </c>
      <c r="B586">
        <v>45887.51792017361</v>
      </c>
      <c r="D586" t="s">
        <v>2935</v>
      </c>
      <c r="E586" t="s">
        <v>2740</v>
      </c>
      <c r="F586" t="s">
        <v>449</v>
      </c>
      <c r="G586" t="s">
        <v>196</v>
      </c>
      <c r="H586" t="s">
        <v>284</v>
      </c>
      <c r="I586" t="s">
        <v>30</v>
      </c>
      <c r="J586" t="s">
        <v>45</v>
      </c>
      <c r="K586" t="s">
        <v>61</v>
      </c>
      <c r="L586" t="s">
        <v>36</v>
      </c>
      <c r="N586" t="s">
        <v>2936</v>
      </c>
      <c r="O586" t="s">
        <v>38</v>
      </c>
      <c r="P586" t="s">
        <v>39</v>
      </c>
      <c r="Q586" t="s">
        <v>49</v>
      </c>
      <c r="R586" t="s">
        <v>2937</v>
      </c>
      <c r="S586" t="s">
        <v>38</v>
      </c>
      <c r="V586" t="s">
        <v>53</v>
      </c>
      <c r="W586" t="s">
        <v>2938</v>
      </c>
      <c r="X586" t="s">
        <v>2743</v>
      </c>
      <c r="Y586" t="s">
        <v>2939</v>
      </c>
      <c r="Z586" t="s">
        <v>170</v>
      </c>
    </row>
    <row r="587" spans="1:26" ht="12.75" customHeight="1" x14ac:dyDescent="0.35">
      <c r="A587">
        <v>586</v>
      </c>
      <c r="B587">
        <v>45887.518527361113</v>
      </c>
      <c r="D587" t="s">
        <v>2940</v>
      </c>
      <c r="E587" t="s">
        <v>2405</v>
      </c>
      <c r="F587" t="s">
        <v>44</v>
      </c>
      <c r="G587" t="s">
        <v>28</v>
      </c>
      <c r="H587" t="s">
        <v>28</v>
      </c>
      <c r="I587" t="s">
        <v>103</v>
      </c>
      <c r="J587" t="s">
        <v>94</v>
      </c>
      <c r="K587" t="s">
        <v>45</v>
      </c>
      <c r="L587" t="s">
        <v>46</v>
      </c>
      <c r="N587" t="s">
        <v>2553</v>
      </c>
      <c r="O587" t="s">
        <v>49</v>
      </c>
      <c r="P587" t="s">
        <v>48</v>
      </c>
      <c r="Q587" t="s">
        <v>48</v>
      </c>
      <c r="R587" t="s">
        <v>1951</v>
      </c>
      <c r="S587" t="s">
        <v>48</v>
      </c>
      <c r="T587" t="s">
        <v>1952</v>
      </c>
      <c r="U587" t="s">
        <v>1976</v>
      </c>
      <c r="V587" t="s">
        <v>53</v>
      </c>
      <c r="W587" t="s">
        <v>2941</v>
      </c>
      <c r="X587" t="s">
        <v>2737</v>
      </c>
      <c r="Y587" t="s">
        <v>193</v>
      </c>
      <c r="Z587" t="s">
        <v>91</v>
      </c>
    </row>
    <row r="588" spans="1:26" ht="12.75" customHeight="1" x14ac:dyDescent="0.35">
      <c r="A588">
        <v>587</v>
      </c>
      <c r="B588">
        <v>45887.519209444443</v>
      </c>
      <c r="D588" t="s">
        <v>2942</v>
      </c>
      <c r="E588" t="s">
        <v>2859</v>
      </c>
      <c r="F588" t="s">
        <v>29</v>
      </c>
      <c r="G588" t="s">
        <v>29</v>
      </c>
      <c r="H588" t="s">
        <v>28</v>
      </c>
      <c r="I588" t="s">
        <v>30</v>
      </c>
      <c r="J588" t="s">
        <v>30</v>
      </c>
      <c r="K588" t="s">
        <v>28</v>
      </c>
      <c r="L588" t="s">
        <v>46</v>
      </c>
      <c r="N588" t="s">
        <v>2917</v>
      </c>
      <c r="O588" t="s">
        <v>38</v>
      </c>
      <c r="P588" t="s">
        <v>49</v>
      </c>
      <c r="Q588" t="s">
        <v>38</v>
      </c>
      <c r="R588" t="s">
        <v>2943</v>
      </c>
      <c r="S588" t="s">
        <v>49</v>
      </c>
      <c r="T588" t="s">
        <v>2944</v>
      </c>
      <c r="U588" t="s">
        <v>2945</v>
      </c>
      <c r="V588" t="s">
        <v>87</v>
      </c>
      <c r="W588" t="s">
        <v>2946</v>
      </c>
      <c r="X588" t="s">
        <v>1030</v>
      </c>
      <c r="Y588" t="s">
        <v>2947</v>
      </c>
      <c r="Z588" t="s">
        <v>91</v>
      </c>
    </row>
    <row r="589" spans="1:26" ht="12.75" customHeight="1" x14ac:dyDescent="0.35">
      <c r="A589">
        <v>588</v>
      </c>
      <c r="B589">
        <v>45887.519223657408</v>
      </c>
      <c r="D589" t="s">
        <v>2948</v>
      </c>
      <c r="E589" t="s">
        <v>2155</v>
      </c>
      <c r="F589" t="s">
        <v>28</v>
      </c>
      <c r="G589" t="s">
        <v>28</v>
      </c>
      <c r="H589" t="s">
        <v>28</v>
      </c>
      <c r="I589" t="s">
        <v>28</v>
      </c>
      <c r="J589" t="s">
        <v>28</v>
      </c>
      <c r="K589" t="s">
        <v>28</v>
      </c>
      <c r="L589" t="s">
        <v>46</v>
      </c>
      <c r="N589" t="s">
        <v>2924</v>
      </c>
      <c r="O589" t="s">
        <v>49</v>
      </c>
      <c r="P589" t="s">
        <v>49</v>
      </c>
      <c r="R589" t="s">
        <v>2195</v>
      </c>
      <c r="S589" t="s">
        <v>49</v>
      </c>
      <c r="T589" t="s">
        <v>2186</v>
      </c>
      <c r="U589" t="s">
        <v>2175</v>
      </c>
      <c r="V589" t="s">
        <v>53</v>
      </c>
      <c r="W589" t="s">
        <v>2949</v>
      </c>
      <c r="X589" t="s">
        <v>118</v>
      </c>
      <c r="Y589" t="s">
        <v>2950</v>
      </c>
      <c r="Z589" t="s">
        <v>91</v>
      </c>
    </row>
    <row r="590" spans="1:26" ht="12.75" customHeight="1" x14ac:dyDescent="0.35">
      <c r="A590">
        <v>589</v>
      </c>
      <c r="B590">
        <v>45887.522385474542</v>
      </c>
      <c r="D590" t="s">
        <v>2951</v>
      </c>
      <c r="E590" t="s">
        <v>2952</v>
      </c>
      <c r="F590" t="s">
        <v>33</v>
      </c>
      <c r="G590" t="s">
        <v>33</v>
      </c>
      <c r="H590" t="s">
        <v>33</v>
      </c>
      <c r="I590" t="s">
        <v>34</v>
      </c>
      <c r="J590" t="s">
        <v>34</v>
      </c>
      <c r="K590" t="s">
        <v>74</v>
      </c>
      <c r="L590" t="s">
        <v>46</v>
      </c>
      <c r="N590" t="s">
        <v>2924</v>
      </c>
      <c r="O590" t="s">
        <v>49</v>
      </c>
      <c r="P590" t="s">
        <v>49</v>
      </c>
      <c r="Q590" t="s">
        <v>49</v>
      </c>
      <c r="R590" t="s">
        <v>1951</v>
      </c>
      <c r="S590" t="s">
        <v>49</v>
      </c>
      <c r="T590" t="s">
        <v>1952</v>
      </c>
      <c r="U590" t="s">
        <v>1976</v>
      </c>
      <c r="V590" t="s">
        <v>53</v>
      </c>
      <c r="W590" t="s">
        <v>2953</v>
      </c>
      <c r="X590" t="s">
        <v>118</v>
      </c>
      <c r="Y590" t="s">
        <v>2954</v>
      </c>
      <c r="Z590" t="s">
        <v>91</v>
      </c>
    </row>
    <row r="591" spans="1:26" ht="12.75" customHeight="1" x14ac:dyDescent="0.35">
      <c r="A591">
        <v>590</v>
      </c>
      <c r="B591">
        <v>45887.522964074073</v>
      </c>
      <c r="D591" t="s">
        <v>2955</v>
      </c>
      <c r="E591" t="s">
        <v>1899</v>
      </c>
      <c r="F591" t="s">
        <v>28</v>
      </c>
      <c r="G591" t="s">
        <v>28</v>
      </c>
      <c r="H591" t="s">
        <v>284</v>
      </c>
      <c r="I591" t="s">
        <v>30</v>
      </c>
      <c r="J591" t="s">
        <v>28</v>
      </c>
      <c r="K591" t="s">
        <v>28</v>
      </c>
      <c r="L591" t="s">
        <v>46</v>
      </c>
      <c r="N591" t="s">
        <v>2897</v>
      </c>
      <c r="O591" t="s">
        <v>48</v>
      </c>
      <c r="P591" t="s">
        <v>48</v>
      </c>
      <c r="Q591" t="s">
        <v>48</v>
      </c>
      <c r="R591" t="s">
        <v>2704</v>
      </c>
      <c r="S591" t="s">
        <v>48</v>
      </c>
      <c r="T591" t="s">
        <v>2705</v>
      </c>
      <c r="U591" t="s">
        <v>2706</v>
      </c>
      <c r="V591" t="s">
        <v>53</v>
      </c>
      <c r="W591" t="s">
        <v>2956</v>
      </c>
      <c r="X591" t="s">
        <v>118</v>
      </c>
      <c r="Y591" t="s">
        <v>2957</v>
      </c>
      <c r="Z591" t="s">
        <v>91</v>
      </c>
    </row>
    <row r="592" spans="1:26" ht="12.75" customHeight="1" x14ac:dyDescent="0.35">
      <c r="A592">
        <v>591</v>
      </c>
      <c r="B592">
        <v>45887.523837245375</v>
      </c>
      <c r="D592" t="s">
        <v>2958</v>
      </c>
      <c r="E592" t="s">
        <v>2405</v>
      </c>
      <c r="F592" t="s">
        <v>28</v>
      </c>
      <c r="G592" t="s">
        <v>60</v>
      </c>
      <c r="H592" t="s">
        <v>29</v>
      </c>
      <c r="I592" t="s">
        <v>28</v>
      </c>
      <c r="J592" t="s">
        <v>45</v>
      </c>
      <c r="K592" t="s">
        <v>368</v>
      </c>
      <c r="L592" t="s">
        <v>36</v>
      </c>
      <c r="N592" t="s">
        <v>2553</v>
      </c>
      <c r="O592" t="s">
        <v>48</v>
      </c>
      <c r="P592" t="s">
        <v>48</v>
      </c>
      <c r="Q592" t="s">
        <v>48</v>
      </c>
      <c r="R592" t="s">
        <v>1951</v>
      </c>
      <c r="S592" t="s">
        <v>48</v>
      </c>
      <c r="T592" t="s">
        <v>1952</v>
      </c>
      <c r="U592" t="s">
        <v>1976</v>
      </c>
      <c r="V592" t="s">
        <v>53</v>
      </c>
      <c r="W592" t="s">
        <v>2959</v>
      </c>
      <c r="X592" t="s">
        <v>2737</v>
      </c>
      <c r="Y592" t="s">
        <v>193</v>
      </c>
      <c r="Z592" t="s">
        <v>91</v>
      </c>
    </row>
    <row r="593" spans="1:26" ht="12.75" customHeight="1" x14ac:dyDescent="0.35">
      <c r="A593">
        <v>592</v>
      </c>
      <c r="B593">
        <v>45887.524800358791</v>
      </c>
      <c r="D593" t="s">
        <v>2960</v>
      </c>
      <c r="E593" t="s">
        <v>2155</v>
      </c>
      <c r="F593" t="s">
        <v>28</v>
      </c>
      <c r="G593" t="s">
        <v>28</v>
      </c>
      <c r="H593" t="s">
        <v>28</v>
      </c>
      <c r="I593" t="s">
        <v>158</v>
      </c>
      <c r="J593" t="s">
        <v>28</v>
      </c>
      <c r="K593" t="s">
        <v>28</v>
      </c>
      <c r="L593" t="s">
        <v>46</v>
      </c>
      <c r="N593" t="s">
        <v>2924</v>
      </c>
      <c r="O593" t="s">
        <v>38</v>
      </c>
      <c r="P593" t="s">
        <v>49</v>
      </c>
      <c r="Q593" t="s">
        <v>38</v>
      </c>
      <c r="R593" t="s">
        <v>2173</v>
      </c>
      <c r="S593" t="s">
        <v>38</v>
      </c>
      <c r="T593" t="s">
        <v>2186</v>
      </c>
      <c r="U593" t="s">
        <v>2175</v>
      </c>
      <c r="V593" t="s">
        <v>53</v>
      </c>
      <c r="W593" t="s">
        <v>2961</v>
      </c>
      <c r="X593" t="s">
        <v>118</v>
      </c>
      <c r="Y593" t="s">
        <v>2962</v>
      </c>
      <c r="Z593" t="s">
        <v>91</v>
      </c>
    </row>
    <row r="594" spans="1:26" ht="12.75" customHeight="1" x14ac:dyDescent="0.35">
      <c r="A594">
        <v>593</v>
      </c>
      <c r="B594">
        <v>45887.526217164355</v>
      </c>
      <c r="D594" t="s">
        <v>2963</v>
      </c>
      <c r="E594" t="s">
        <v>2859</v>
      </c>
      <c r="F594" t="s">
        <v>29</v>
      </c>
      <c r="G594" t="s">
        <v>29</v>
      </c>
      <c r="H594" t="s">
        <v>28</v>
      </c>
      <c r="I594" t="s">
        <v>196</v>
      </c>
      <c r="J594" t="s">
        <v>30</v>
      </c>
      <c r="K594" t="s">
        <v>94</v>
      </c>
      <c r="L594" t="s">
        <v>46</v>
      </c>
      <c r="N594" t="s">
        <v>2917</v>
      </c>
      <c r="O594" t="s">
        <v>38</v>
      </c>
      <c r="P594" t="s">
        <v>49</v>
      </c>
      <c r="Q594" t="s">
        <v>38</v>
      </c>
      <c r="R594" t="s">
        <v>2943</v>
      </c>
      <c r="S594" t="s">
        <v>49</v>
      </c>
      <c r="T594" t="s">
        <v>2964</v>
      </c>
      <c r="U594" t="s">
        <v>2965</v>
      </c>
      <c r="V594" t="s">
        <v>53</v>
      </c>
      <c r="W594" t="s">
        <v>2966</v>
      </c>
      <c r="X594" t="s">
        <v>1030</v>
      </c>
      <c r="Y594" t="s">
        <v>2967</v>
      </c>
      <c r="Z594" t="s">
        <v>91</v>
      </c>
    </row>
    <row r="595" spans="1:26" ht="12.75" customHeight="1" x14ac:dyDescent="0.35">
      <c r="A595">
        <v>594</v>
      </c>
      <c r="B595">
        <v>45887.526628101856</v>
      </c>
      <c r="D595" t="s">
        <v>2968</v>
      </c>
      <c r="E595" t="s">
        <v>1899</v>
      </c>
      <c r="F595" t="s">
        <v>28</v>
      </c>
      <c r="G595" t="s">
        <v>28</v>
      </c>
      <c r="H595" t="s">
        <v>28</v>
      </c>
      <c r="I595" t="s">
        <v>28</v>
      </c>
      <c r="J595" t="s">
        <v>28</v>
      </c>
      <c r="K595" t="s">
        <v>28</v>
      </c>
      <c r="L595" t="s">
        <v>46</v>
      </c>
      <c r="N595" t="s">
        <v>2792</v>
      </c>
      <c r="O595" t="s">
        <v>48</v>
      </c>
      <c r="P595" t="s">
        <v>48</v>
      </c>
      <c r="Q595" t="s">
        <v>48</v>
      </c>
      <c r="R595" t="s">
        <v>2704</v>
      </c>
      <c r="S595" t="s">
        <v>48</v>
      </c>
      <c r="T595" t="s">
        <v>2705</v>
      </c>
      <c r="U595" t="s">
        <v>2706</v>
      </c>
      <c r="V595" t="s">
        <v>53</v>
      </c>
      <c r="W595" t="s">
        <v>2969</v>
      </c>
      <c r="X595" t="s">
        <v>118</v>
      </c>
      <c r="Y595" t="s">
        <v>2970</v>
      </c>
      <c r="Z595" t="s">
        <v>129</v>
      </c>
    </row>
    <row r="596" spans="1:26" ht="12.75" customHeight="1" x14ac:dyDescent="0.35">
      <c r="A596">
        <v>595</v>
      </c>
      <c r="B596">
        <v>45887.526741122681</v>
      </c>
      <c r="D596" t="s">
        <v>2971</v>
      </c>
      <c r="E596" t="s">
        <v>2405</v>
      </c>
      <c r="F596" t="s">
        <v>28</v>
      </c>
      <c r="G596" t="s">
        <v>60</v>
      </c>
      <c r="H596" t="s">
        <v>29</v>
      </c>
      <c r="I596" t="s">
        <v>196</v>
      </c>
      <c r="J596" t="s">
        <v>368</v>
      </c>
      <c r="K596" t="s">
        <v>28</v>
      </c>
      <c r="L596" t="s">
        <v>36</v>
      </c>
      <c r="N596" t="s">
        <v>2972</v>
      </c>
      <c r="O596" t="s">
        <v>48</v>
      </c>
      <c r="P596" t="s">
        <v>48</v>
      </c>
      <c r="Q596" t="s">
        <v>48</v>
      </c>
      <c r="R596" t="s">
        <v>1951</v>
      </c>
      <c r="S596" t="s">
        <v>49</v>
      </c>
      <c r="T596" t="s">
        <v>1952</v>
      </c>
      <c r="U596" t="s">
        <v>1976</v>
      </c>
      <c r="V596" t="s">
        <v>53</v>
      </c>
      <c r="W596" t="s">
        <v>2973</v>
      </c>
      <c r="X596" t="s">
        <v>2737</v>
      </c>
      <c r="Y596" t="s">
        <v>193</v>
      </c>
      <c r="Z596" t="s">
        <v>91</v>
      </c>
    </row>
    <row r="597" spans="1:26" ht="12.75" customHeight="1" x14ac:dyDescent="0.35">
      <c r="A597">
        <v>596</v>
      </c>
      <c r="B597">
        <v>45887.528181168978</v>
      </c>
      <c r="D597" t="s">
        <v>2974</v>
      </c>
      <c r="E597" t="s">
        <v>2591</v>
      </c>
      <c r="F597" t="s">
        <v>33</v>
      </c>
      <c r="G597" t="s">
        <v>33</v>
      </c>
      <c r="H597" t="s">
        <v>33</v>
      </c>
      <c r="I597" t="s">
        <v>34</v>
      </c>
      <c r="J597" t="s">
        <v>34</v>
      </c>
      <c r="K597" t="s">
        <v>74</v>
      </c>
      <c r="L597" t="s">
        <v>36</v>
      </c>
      <c r="N597" t="s">
        <v>2901</v>
      </c>
      <c r="O597" t="s">
        <v>49</v>
      </c>
      <c r="P597" t="s">
        <v>48</v>
      </c>
      <c r="Q597" t="s">
        <v>49</v>
      </c>
      <c r="R597" t="s">
        <v>1951</v>
      </c>
      <c r="S597" t="s">
        <v>48</v>
      </c>
      <c r="T597" t="s">
        <v>1952</v>
      </c>
      <c r="U597" t="s">
        <v>1976</v>
      </c>
      <c r="V597" t="s">
        <v>53</v>
      </c>
      <c r="W597" t="s">
        <v>2975</v>
      </c>
      <c r="X597" t="s">
        <v>118</v>
      </c>
      <c r="Y597" t="s">
        <v>2976</v>
      </c>
      <c r="Z597" t="s">
        <v>91</v>
      </c>
    </row>
    <row r="598" spans="1:26" ht="12.75" customHeight="1" x14ac:dyDescent="0.35">
      <c r="A598">
        <v>597</v>
      </c>
      <c r="B598">
        <v>45887.529474085648</v>
      </c>
      <c r="D598" t="s">
        <v>2977</v>
      </c>
      <c r="E598" t="s">
        <v>2155</v>
      </c>
      <c r="F598" t="s">
        <v>28</v>
      </c>
      <c r="G598" t="s">
        <v>197</v>
      </c>
      <c r="H598" t="s">
        <v>28</v>
      </c>
      <c r="I598" t="s">
        <v>28</v>
      </c>
      <c r="J598" t="s">
        <v>28</v>
      </c>
      <c r="K598" t="s">
        <v>28</v>
      </c>
      <c r="L598" t="s">
        <v>46</v>
      </c>
      <c r="N598" t="s">
        <v>2897</v>
      </c>
      <c r="O598" t="s">
        <v>49</v>
      </c>
      <c r="P598" t="s">
        <v>49</v>
      </c>
      <c r="Q598" t="s">
        <v>49</v>
      </c>
      <c r="R598" t="s">
        <v>2253</v>
      </c>
      <c r="S598" t="s">
        <v>49</v>
      </c>
      <c r="T598" t="s">
        <v>2244</v>
      </c>
      <c r="U598" t="s">
        <v>2461</v>
      </c>
      <c r="V598" t="s">
        <v>53</v>
      </c>
      <c r="W598" t="s">
        <v>2978</v>
      </c>
      <c r="X598" t="s">
        <v>118</v>
      </c>
      <c r="Y598" t="s">
        <v>2979</v>
      </c>
      <c r="Z598" t="s">
        <v>91</v>
      </c>
    </row>
    <row r="599" spans="1:26" ht="12.75" customHeight="1" x14ac:dyDescent="0.35">
      <c r="A599">
        <v>598</v>
      </c>
      <c r="B599">
        <v>45887.53013694445</v>
      </c>
      <c r="D599" t="s">
        <v>2980</v>
      </c>
      <c r="E599" t="s">
        <v>2591</v>
      </c>
      <c r="F599" t="s">
        <v>33</v>
      </c>
      <c r="G599" t="s">
        <v>33</v>
      </c>
      <c r="H599" t="s">
        <v>33</v>
      </c>
      <c r="I599" t="s">
        <v>34</v>
      </c>
      <c r="J599" t="s">
        <v>34</v>
      </c>
      <c r="K599" t="s">
        <v>74</v>
      </c>
      <c r="L599" t="s">
        <v>46</v>
      </c>
      <c r="N599" t="s">
        <v>2901</v>
      </c>
      <c r="O599" t="s">
        <v>49</v>
      </c>
      <c r="P599" t="s">
        <v>49</v>
      </c>
      <c r="Q599" t="s">
        <v>49</v>
      </c>
      <c r="R599" t="s">
        <v>1951</v>
      </c>
      <c r="S599" t="s">
        <v>49</v>
      </c>
      <c r="T599" t="s">
        <v>1952</v>
      </c>
      <c r="U599" t="s">
        <v>1976</v>
      </c>
      <c r="V599" t="s">
        <v>53</v>
      </c>
      <c r="W599" t="s">
        <v>2981</v>
      </c>
      <c r="X599" t="s">
        <v>118</v>
      </c>
      <c r="Y599" t="s">
        <v>2982</v>
      </c>
      <c r="Z599" t="s">
        <v>91</v>
      </c>
    </row>
    <row r="600" spans="1:26" ht="12.75" customHeight="1" x14ac:dyDescent="0.35">
      <c r="A600">
        <v>599</v>
      </c>
      <c r="B600">
        <v>45887.531801076388</v>
      </c>
      <c r="D600" t="s">
        <v>2983</v>
      </c>
      <c r="E600" t="s">
        <v>2155</v>
      </c>
      <c r="F600" t="s">
        <v>344</v>
      </c>
      <c r="G600" t="s">
        <v>29</v>
      </c>
      <c r="H600" t="s">
        <v>29</v>
      </c>
      <c r="I600" t="s">
        <v>30</v>
      </c>
      <c r="J600" t="s">
        <v>28</v>
      </c>
      <c r="K600" t="s">
        <v>94</v>
      </c>
      <c r="L600" t="s">
        <v>46</v>
      </c>
      <c r="N600" t="s">
        <v>2984</v>
      </c>
      <c r="O600" t="s">
        <v>38</v>
      </c>
      <c r="P600" t="s">
        <v>49</v>
      </c>
      <c r="Q600" t="s">
        <v>38</v>
      </c>
      <c r="R600" t="s">
        <v>2822</v>
      </c>
      <c r="S600" t="s">
        <v>49</v>
      </c>
      <c r="T600" t="s">
        <v>2823</v>
      </c>
      <c r="U600" t="s">
        <v>2985</v>
      </c>
      <c r="V600" t="s">
        <v>53</v>
      </c>
      <c r="W600" t="s">
        <v>2986</v>
      </c>
      <c r="X600" t="s">
        <v>2987</v>
      </c>
      <c r="Y600" t="s">
        <v>2988</v>
      </c>
      <c r="Z600" t="s">
        <v>91</v>
      </c>
    </row>
    <row r="601" spans="1:26" ht="12.75" customHeight="1" x14ac:dyDescent="0.35">
      <c r="A601">
        <v>600</v>
      </c>
      <c r="B601">
        <v>45887.532917037039</v>
      </c>
      <c r="D601" t="s">
        <v>2989</v>
      </c>
      <c r="E601" t="s">
        <v>1899</v>
      </c>
      <c r="F601" t="s">
        <v>28</v>
      </c>
      <c r="G601" t="s">
        <v>28</v>
      </c>
      <c r="H601" t="s">
        <v>28</v>
      </c>
      <c r="I601" t="s">
        <v>28</v>
      </c>
      <c r="J601" t="s">
        <v>28</v>
      </c>
      <c r="K601" t="s">
        <v>28</v>
      </c>
      <c r="L601" t="s">
        <v>46</v>
      </c>
      <c r="N601" t="s">
        <v>2990</v>
      </c>
      <c r="O601" t="s">
        <v>48</v>
      </c>
      <c r="P601" t="s">
        <v>48</v>
      </c>
      <c r="Q601" t="s">
        <v>48</v>
      </c>
      <c r="R601" t="s">
        <v>2704</v>
      </c>
      <c r="S601" t="s">
        <v>48</v>
      </c>
      <c r="T601" t="s">
        <v>2705</v>
      </c>
      <c r="U601" t="s">
        <v>2706</v>
      </c>
      <c r="V601" t="s">
        <v>53</v>
      </c>
      <c r="W601" t="s">
        <v>2991</v>
      </c>
      <c r="X601" t="s">
        <v>118</v>
      </c>
      <c r="Y601" t="s">
        <v>2992</v>
      </c>
      <c r="Z601" t="s">
        <v>91</v>
      </c>
    </row>
    <row r="602" spans="1:26" ht="12.75" customHeight="1" x14ac:dyDescent="0.35">
      <c r="A602">
        <v>601</v>
      </c>
      <c r="B602">
        <v>45887.532954479168</v>
      </c>
      <c r="D602" t="s">
        <v>2993</v>
      </c>
      <c r="E602" t="s">
        <v>2405</v>
      </c>
      <c r="F602" t="s">
        <v>28</v>
      </c>
      <c r="G602" t="s">
        <v>60</v>
      </c>
      <c r="H602" t="s">
        <v>28</v>
      </c>
      <c r="I602" t="s">
        <v>197</v>
      </c>
      <c r="J602" t="s">
        <v>368</v>
      </c>
      <c r="K602" t="s">
        <v>28</v>
      </c>
      <c r="L602" t="s">
        <v>46</v>
      </c>
      <c r="N602" t="s">
        <v>2994</v>
      </c>
      <c r="O602" t="s">
        <v>49</v>
      </c>
      <c r="P602" t="s">
        <v>49</v>
      </c>
      <c r="Q602" t="s">
        <v>48</v>
      </c>
      <c r="R602" t="s">
        <v>1951</v>
      </c>
      <c r="S602" t="s">
        <v>49</v>
      </c>
      <c r="T602" t="s">
        <v>1952</v>
      </c>
      <c r="U602" t="s">
        <v>1976</v>
      </c>
      <c r="V602" t="s">
        <v>53</v>
      </c>
      <c r="W602" t="s">
        <v>2995</v>
      </c>
      <c r="X602" t="s">
        <v>2737</v>
      </c>
      <c r="Y602" t="s">
        <v>193</v>
      </c>
      <c r="Z602" t="s">
        <v>91</v>
      </c>
    </row>
    <row r="603" spans="1:26" ht="12.75" customHeight="1" x14ac:dyDescent="0.35">
      <c r="A603">
        <v>602</v>
      </c>
      <c r="B603">
        <v>45887.533305173609</v>
      </c>
      <c r="D603" t="s">
        <v>2996</v>
      </c>
      <c r="E603" t="s">
        <v>2591</v>
      </c>
      <c r="F603" t="s">
        <v>33</v>
      </c>
      <c r="G603" t="s">
        <v>33</v>
      </c>
      <c r="H603" t="s">
        <v>33</v>
      </c>
      <c r="I603" t="s">
        <v>34</v>
      </c>
      <c r="J603" t="s">
        <v>34</v>
      </c>
      <c r="K603" t="s">
        <v>74</v>
      </c>
      <c r="L603" t="s">
        <v>46</v>
      </c>
      <c r="N603" t="s">
        <v>2828</v>
      </c>
      <c r="O603" t="s">
        <v>49</v>
      </c>
      <c r="P603" t="s">
        <v>48</v>
      </c>
      <c r="Q603" t="s">
        <v>48</v>
      </c>
      <c r="R603" t="s">
        <v>1951</v>
      </c>
      <c r="S603" t="s">
        <v>48</v>
      </c>
      <c r="T603" t="s">
        <v>1952</v>
      </c>
      <c r="U603" t="s">
        <v>1976</v>
      </c>
      <c r="V603" t="s">
        <v>53</v>
      </c>
      <c r="W603" t="s">
        <v>2997</v>
      </c>
      <c r="X603" t="s">
        <v>118</v>
      </c>
      <c r="Y603" t="s">
        <v>2998</v>
      </c>
      <c r="Z603" t="s">
        <v>91</v>
      </c>
    </row>
    <row r="604" spans="1:26" ht="12.75" customHeight="1" x14ac:dyDescent="0.35">
      <c r="A604">
        <v>603</v>
      </c>
      <c r="B604">
        <v>45887.534244317125</v>
      </c>
      <c r="D604" t="s">
        <v>2999</v>
      </c>
      <c r="E604" t="s">
        <v>2155</v>
      </c>
      <c r="F604" t="s">
        <v>28</v>
      </c>
      <c r="G604" t="s">
        <v>60</v>
      </c>
      <c r="H604" t="s">
        <v>28</v>
      </c>
      <c r="I604" t="s">
        <v>28</v>
      </c>
      <c r="J604" t="s">
        <v>28</v>
      </c>
      <c r="K604" t="s">
        <v>28</v>
      </c>
      <c r="L604" t="s">
        <v>46</v>
      </c>
      <c r="N604" t="s">
        <v>2897</v>
      </c>
      <c r="O604" t="s">
        <v>38</v>
      </c>
      <c r="Q604" t="s">
        <v>38</v>
      </c>
      <c r="R604" t="s">
        <v>2253</v>
      </c>
      <c r="S604" t="s">
        <v>49</v>
      </c>
      <c r="T604" t="s">
        <v>2244</v>
      </c>
      <c r="U604" t="s">
        <v>2461</v>
      </c>
      <c r="V604" t="s">
        <v>53</v>
      </c>
      <c r="W604" t="s">
        <v>3000</v>
      </c>
      <c r="X604" t="s">
        <v>118</v>
      </c>
      <c r="Y604" t="s">
        <v>3001</v>
      </c>
      <c r="Z604" t="s">
        <v>91</v>
      </c>
    </row>
    <row r="605" spans="1:26" ht="12.75" customHeight="1" x14ac:dyDescent="0.35">
      <c r="A605">
        <v>604</v>
      </c>
      <c r="B605">
        <v>45887.536474097222</v>
      </c>
      <c r="D605" t="s">
        <v>3002</v>
      </c>
      <c r="E605" t="s">
        <v>2405</v>
      </c>
      <c r="F605" t="s">
        <v>28</v>
      </c>
      <c r="G605" t="s">
        <v>60</v>
      </c>
      <c r="H605" t="s">
        <v>284</v>
      </c>
      <c r="I605" t="s">
        <v>30</v>
      </c>
      <c r="J605" t="s">
        <v>94</v>
      </c>
      <c r="K605" t="s">
        <v>28</v>
      </c>
      <c r="L605" t="s">
        <v>36</v>
      </c>
      <c r="N605" t="s">
        <v>2599</v>
      </c>
      <c r="O605" t="s">
        <v>49</v>
      </c>
      <c r="P605" t="s">
        <v>48</v>
      </c>
      <c r="Q605" t="s">
        <v>48</v>
      </c>
      <c r="R605" t="s">
        <v>1951</v>
      </c>
      <c r="S605" t="s">
        <v>49</v>
      </c>
      <c r="T605" t="s">
        <v>1952</v>
      </c>
      <c r="U605" t="s">
        <v>1976</v>
      </c>
      <c r="V605" t="s">
        <v>53</v>
      </c>
      <c r="W605" t="s">
        <v>3003</v>
      </c>
      <c r="X605" t="s">
        <v>2737</v>
      </c>
      <c r="Y605" t="s">
        <v>193</v>
      </c>
      <c r="Z605" t="s">
        <v>91</v>
      </c>
    </row>
    <row r="606" spans="1:26" ht="12.75" customHeight="1" x14ac:dyDescent="0.35">
      <c r="A606">
        <v>605</v>
      </c>
      <c r="B606">
        <v>45887.536777928239</v>
      </c>
      <c r="D606" t="s">
        <v>3004</v>
      </c>
      <c r="E606" t="s">
        <v>1899</v>
      </c>
      <c r="F606" t="s">
        <v>28</v>
      </c>
      <c r="G606" t="s">
        <v>28</v>
      </c>
      <c r="H606" t="s">
        <v>28</v>
      </c>
      <c r="I606" t="s">
        <v>28</v>
      </c>
      <c r="J606" t="s">
        <v>28</v>
      </c>
      <c r="K606" t="s">
        <v>28</v>
      </c>
      <c r="L606" t="s">
        <v>36</v>
      </c>
      <c r="N606" t="s">
        <v>2779</v>
      </c>
      <c r="O606" t="s">
        <v>48</v>
      </c>
      <c r="P606" t="s">
        <v>48</v>
      </c>
      <c r="Q606" t="s">
        <v>48</v>
      </c>
      <c r="R606" t="s">
        <v>2704</v>
      </c>
      <c r="S606" t="s">
        <v>48</v>
      </c>
      <c r="T606" t="s">
        <v>2705</v>
      </c>
      <c r="U606" t="s">
        <v>2706</v>
      </c>
      <c r="V606" t="s">
        <v>53</v>
      </c>
      <c r="W606" t="s">
        <v>3005</v>
      </c>
      <c r="X606" t="s">
        <v>118</v>
      </c>
      <c r="Y606" t="s">
        <v>3006</v>
      </c>
      <c r="Z606" t="s">
        <v>91</v>
      </c>
    </row>
    <row r="607" spans="1:26" ht="12.75" customHeight="1" x14ac:dyDescent="0.35">
      <c r="A607">
        <v>606</v>
      </c>
      <c r="B607">
        <v>45887.537915347217</v>
      </c>
      <c r="D607" t="s">
        <v>3007</v>
      </c>
      <c r="E607" t="s">
        <v>2155</v>
      </c>
      <c r="F607" t="s">
        <v>71</v>
      </c>
      <c r="G607" t="s">
        <v>33</v>
      </c>
      <c r="H607" t="s">
        <v>29</v>
      </c>
      <c r="I607" t="s">
        <v>30</v>
      </c>
      <c r="J607" t="s">
        <v>30</v>
      </c>
      <c r="K607" t="s">
        <v>368</v>
      </c>
      <c r="L607" t="s">
        <v>46</v>
      </c>
      <c r="N607" t="s">
        <v>3008</v>
      </c>
      <c r="O607" t="s">
        <v>49</v>
      </c>
      <c r="P607" t="s">
        <v>49</v>
      </c>
      <c r="Q607" t="s">
        <v>49</v>
      </c>
      <c r="R607" t="s">
        <v>2943</v>
      </c>
      <c r="S607" t="s">
        <v>49</v>
      </c>
      <c r="T607" t="s">
        <v>2964</v>
      </c>
      <c r="U607" t="s">
        <v>2945</v>
      </c>
      <c r="V607" t="s">
        <v>53</v>
      </c>
      <c r="W607" t="s">
        <v>3009</v>
      </c>
      <c r="X607" t="s">
        <v>3010</v>
      </c>
      <c r="Y607" t="s">
        <v>3011</v>
      </c>
      <c r="Z607" t="s">
        <v>91</v>
      </c>
    </row>
    <row r="608" spans="1:26" ht="12.75" customHeight="1" x14ac:dyDescent="0.35">
      <c r="A608">
        <v>607</v>
      </c>
      <c r="B608">
        <v>45887.538709097222</v>
      </c>
      <c r="D608" t="s">
        <v>3012</v>
      </c>
      <c r="E608" t="s">
        <v>2591</v>
      </c>
      <c r="F608" t="s">
        <v>33</v>
      </c>
      <c r="G608" t="s">
        <v>33</v>
      </c>
      <c r="H608" t="s">
        <v>33</v>
      </c>
      <c r="I608" t="s">
        <v>30</v>
      </c>
      <c r="J608" t="s">
        <v>30</v>
      </c>
      <c r="K608" t="s">
        <v>292</v>
      </c>
      <c r="L608" t="s">
        <v>36</v>
      </c>
      <c r="N608" t="s">
        <v>2828</v>
      </c>
      <c r="O608" t="s">
        <v>49</v>
      </c>
      <c r="P608" t="s">
        <v>48</v>
      </c>
      <c r="Q608" t="s">
        <v>49</v>
      </c>
      <c r="R608" t="s">
        <v>1951</v>
      </c>
      <c r="S608" t="s">
        <v>48</v>
      </c>
      <c r="T608" t="s">
        <v>1952</v>
      </c>
      <c r="U608" t="s">
        <v>1976</v>
      </c>
      <c r="V608" t="s">
        <v>53</v>
      </c>
      <c r="W608" t="s">
        <v>3013</v>
      </c>
      <c r="X608" t="s">
        <v>118</v>
      </c>
      <c r="Y608" t="s">
        <v>3014</v>
      </c>
      <c r="Z608" t="s">
        <v>91</v>
      </c>
    </row>
    <row r="609" spans="1:26" ht="12.75" customHeight="1" x14ac:dyDescent="0.35">
      <c r="A609">
        <v>608</v>
      </c>
      <c r="B609">
        <v>45887.539998298613</v>
      </c>
      <c r="D609" t="s">
        <v>3015</v>
      </c>
      <c r="E609" t="s">
        <v>2405</v>
      </c>
      <c r="F609" t="s">
        <v>28</v>
      </c>
      <c r="G609" t="s">
        <v>44</v>
      </c>
      <c r="H609" t="s">
        <v>206</v>
      </c>
      <c r="I609" t="s">
        <v>30</v>
      </c>
      <c r="J609" t="s">
        <v>173</v>
      </c>
      <c r="K609" t="s">
        <v>28</v>
      </c>
      <c r="L609" t="s">
        <v>46</v>
      </c>
      <c r="N609" t="s">
        <v>2635</v>
      </c>
      <c r="O609" t="s">
        <v>48</v>
      </c>
      <c r="P609" t="s">
        <v>48</v>
      </c>
      <c r="Q609" t="s">
        <v>49</v>
      </c>
      <c r="R609" t="s">
        <v>1951</v>
      </c>
      <c r="S609" t="s">
        <v>48</v>
      </c>
      <c r="T609" t="s">
        <v>1952</v>
      </c>
      <c r="U609" t="s">
        <v>1976</v>
      </c>
      <c r="V609" t="s">
        <v>53</v>
      </c>
      <c r="W609" t="s">
        <v>3016</v>
      </c>
      <c r="X609" t="s">
        <v>2737</v>
      </c>
      <c r="Y609" t="s">
        <v>193</v>
      </c>
      <c r="Z609" t="s">
        <v>91</v>
      </c>
    </row>
    <row r="610" spans="1:26" ht="12.75" customHeight="1" x14ac:dyDescent="0.35">
      <c r="A610">
        <v>609</v>
      </c>
      <c r="B610">
        <v>45887.540004432871</v>
      </c>
      <c r="D610" t="s">
        <v>3017</v>
      </c>
      <c r="E610" t="s">
        <v>2155</v>
      </c>
      <c r="F610" t="s">
        <v>44</v>
      </c>
      <c r="G610" t="s">
        <v>28</v>
      </c>
      <c r="H610" t="s">
        <v>28</v>
      </c>
      <c r="I610" t="s">
        <v>28</v>
      </c>
      <c r="J610" t="s">
        <v>28</v>
      </c>
      <c r="K610" t="s">
        <v>28</v>
      </c>
      <c r="L610" t="s">
        <v>36</v>
      </c>
      <c r="N610" t="s">
        <v>2897</v>
      </c>
      <c r="O610" t="s">
        <v>38</v>
      </c>
      <c r="P610" t="s">
        <v>38</v>
      </c>
      <c r="Q610" t="s">
        <v>49</v>
      </c>
      <c r="R610" t="s">
        <v>2253</v>
      </c>
      <c r="S610" t="s">
        <v>38</v>
      </c>
      <c r="T610" t="s">
        <v>2411</v>
      </c>
      <c r="U610" t="s">
        <v>2461</v>
      </c>
      <c r="V610" t="s">
        <v>53</v>
      </c>
      <c r="W610" t="s">
        <v>3018</v>
      </c>
      <c r="X610" t="s">
        <v>118</v>
      </c>
      <c r="Y610" t="s">
        <v>3019</v>
      </c>
      <c r="Z610" t="s">
        <v>91</v>
      </c>
    </row>
    <row r="611" spans="1:26" ht="12.75" customHeight="1" x14ac:dyDescent="0.35">
      <c r="A611">
        <v>610</v>
      </c>
      <c r="B611">
        <v>45887.5413109375</v>
      </c>
      <c r="D611" t="s">
        <v>3020</v>
      </c>
      <c r="E611" t="s">
        <v>1899</v>
      </c>
      <c r="F611" t="s">
        <v>28</v>
      </c>
      <c r="G611" t="s">
        <v>28</v>
      </c>
      <c r="H611" t="s">
        <v>28</v>
      </c>
      <c r="I611" t="s">
        <v>28</v>
      </c>
      <c r="J611" t="s">
        <v>28</v>
      </c>
      <c r="K611" t="s">
        <v>28</v>
      </c>
      <c r="L611" t="s">
        <v>46</v>
      </c>
      <c r="N611" t="s">
        <v>2673</v>
      </c>
      <c r="O611" t="s">
        <v>48</v>
      </c>
      <c r="P611" t="s">
        <v>48</v>
      </c>
      <c r="Q611" t="s">
        <v>48</v>
      </c>
      <c r="R611" t="s">
        <v>2704</v>
      </c>
      <c r="S611" t="s">
        <v>48</v>
      </c>
      <c r="T611" t="s">
        <v>2705</v>
      </c>
      <c r="U611" t="s">
        <v>2706</v>
      </c>
      <c r="V611" t="s">
        <v>53</v>
      </c>
      <c r="W611" t="s">
        <v>3021</v>
      </c>
      <c r="X611" t="s">
        <v>118</v>
      </c>
      <c r="Y611" t="s">
        <v>3022</v>
      </c>
      <c r="Z611" t="s">
        <v>170</v>
      </c>
    </row>
    <row r="612" spans="1:26" ht="12.75" customHeight="1" x14ac:dyDescent="0.35">
      <c r="A612">
        <v>611</v>
      </c>
      <c r="B612">
        <v>45887.541808483795</v>
      </c>
      <c r="D612" t="s">
        <v>3023</v>
      </c>
      <c r="E612" t="s">
        <v>2591</v>
      </c>
      <c r="F612" t="s">
        <v>33</v>
      </c>
      <c r="G612" t="s">
        <v>29</v>
      </c>
      <c r="H612" t="s">
        <v>33</v>
      </c>
      <c r="I612" t="s">
        <v>34</v>
      </c>
      <c r="J612" t="s">
        <v>34</v>
      </c>
      <c r="K612" t="s">
        <v>74</v>
      </c>
      <c r="L612" t="s">
        <v>36</v>
      </c>
      <c r="N612" t="s">
        <v>2828</v>
      </c>
      <c r="O612" t="s">
        <v>49</v>
      </c>
      <c r="P612" t="s">
        <v>49</v>
      </c>
      <c r="Q612" t="s">
        <v>48</v>
      </c>
      <c r="R612" t="s">
        <v>1951</v>
      </c>
      <c r="S612" t="s">
        <v>48</v>
      </c>
      <c r="T612" t="s">
        <v>1952</v>
      </c>
      <c r="U612" t="s">
        <v>1976</v>
      </c>
      <c r="V612" t="s">
        <v>53</v>
      </c>
      <c r="W612" t="s">
        <v>3024</v>
      </c>
      <c r="X612" t="s">
        <v>118</v>
      </c>
      <c r="Y612" t="s">
        <v>2962</v>
      </c>
      <c r="Z612" t="s">
        <v>91</v>
      </c>
    </row>
    <row r="613" spans="1:26" ht="12.75" customHeight="1" x14ac:dyDescent="0.35">
      <c r="A613">
        <v>612</v>
      </c>
      <c r="B613">
        <v>45887.543110659724</v>
      </c>
      <c r="D613" t="s">
        <v>3025</v>
      </c>
      <c r="E613" t="s">
        <v>2859</v>
      </c>
      <c r="F613" t="s">
        <v>71</v>
      </c>
      <c r="G613" t="s">
        <v>29</v>
      </c>
      <c r="H613" t="s">
        <v>29</v>
      </c>
      <c r="I613" t="s">
        <v>34</v>
      </c>
      <c r="J613" t="s">
        <v>34</v>
      </c>
      <c r="K613" t="s">
        <v>28</v>
      </c>
      <c r="L613" t="s">
        <v>46</v>
      </c>
      <c r="N613" t="s">
        <v>3008</v>
      </c>
      <c r="O613" t="s">
        <v>38</v>
      </c>
      <c r="P613" t="s">
        <v>38</v>
      </c>
      <c r="Q613" t="s">
        <v>38</v>
      </c>
      <c r="R613" t="s">
        <v>3026</v>
      </c>
      <c r="S613" t="s">
        <v>38</v>
      </c>
      <c r="T613" t="s">
        <v>2872</v>
      </c>
      <c r="U613" t="s">
        <v>2985</v>
      </c>
      <c r="V613" t="s">
        <v>53</v>
      </c>
      <c r="W613" t="s">
        <v>3027</v>
      </c>
      <c r="X613" t="s">
        <v>3028</v>
      </c>
      <c r="Y613" t="s">
        <v>3029</v>
      </c>
      <c r="Z613" t="s">
        <v>91</v>
      </c>
    </row>
    <row r="614" spans="1:26" ht="12.75" customHeight="1" x14ac:dyDescent="0.35">
      <c r="A614">
        <v>613</v>
      </c>
      <c r="B614">
        <v>45887.544948923613</v>
      </c>
      <c r="D614" t="s">
        <v>3030</v>
      </c>
      <c r="E614" t="s">
        <v>1899</v>
      </c>
      <c r="F614" t="s">
        <v>28</v>
      </c>
      <c r="G614" t="s">
        <v>28</v>
      </c>
      <c r="H614" t="s">
        <v>284</v>
      </c>
      <c r="I614" t="s">
        <v>158</v>
      </c>
      <c r="J614" t="s">
        <v>103</v>
      </c>
      <c r="K614" t="s">
        <v>28</v>
      </c>
      <c r="L614" t="s">
        <v>46</v>
      </c>
      <c r="N614" t="s">
        <v>2673</v>
      </c>
      <c r="O614" t="s">
        <v>48</v>
      </c>
      <c r="P614" t="s">
        <v>48</v>
      </c>
      <c r="Q614" t="s">
        <v>48</v>
      </c>
      <c r="R614" t="s">
        <v>2839</v>
      </c>
      <c r="S614" t="s">
        <v>48</v>
      </c>
      <c r="T614" t="s">
        <v>2705</v>
      </c>
      <c r="U614" t="s">
        <v>2840</v>
      </c>
      <c r="V614" t="s">
        <v>53</v>
      </c>
      <c r="W614" t="s">
        <v>3031</v>
      </c>
      <c r="X614" t="s">
        <v>118</v>
      </c>
      <c r="Y614" t="s">
        <v>3032</v>
      </c>
      <c r="Z614" t="s">
        <v>170</v>
      </c>
    </row>
    <row r="615" spans="1:26" ht="12.75" customHeight="1" x14ac:dyDescent="0.35">
      <c r="A615">
        <v>614</v>
      </c>
      <c r="B615">
        <v>45887.545787974537</v>
      </c>
      <c r="D615" t="s">
        <v>3033</v>
      </c>
      <c r="E615" t="s">
        <v>2591</v>
      </c>
      <c r="F615" t="s">
        <v>33</v>
      </c>
      <c r="G615" t="s">
        <v>33</v>
      </c>
      <c r="H615" t="s">
        <v>33</v>
      </c>
      <c r="I615" t="s">
        <v>34</v>
      </c>
      <c r="J615" t="s">
        <v>34</v>
      </c>
      <c r="K615" t="s">
        <v>74</v>
      </c>
      <c r="L615" t="s">
        <v>46</v>
      </c>
      <c r="N615" t="s">
        <v>2756</v>
      </c>
      <c r="O615" t="s">
        <v>48</v>
      </c>
      <c r="P615" t="s">
        <v>48</v>
      </c>
      <c r="Q615" t="s">
        <v>48</v>
      </c>
      <c r="R615" t="s">
        <v>1951</v>
      </c>
      <c r="S615" t="s">
        <v>48</v>
      </c>
      <c r="T615" t="s">
        <v>1952</v>
      </c>
      <c r="U615" t="s">
        <v>1976</v>
      </c>
      <c r="V615" t="s">
        <v>53</v>
      </c>
      <c r="W615" t="s">
        <v>3034</v>
      </c>
      <c r="X615" t="s">
        <v>118</v>
      </c>
      <c r="Y615" t="s">
        <v>3035</v>
      </c>
      <c r="Z615" t="s">
        <v>91</v>
      </c>
    </row>
    <row r="616" spans="1:26" ht="12.75" customHeight="1" x14ac:dyDescent="0.35">
      <c r="A616">
        <v>615</v>
      </c>
      <c r="B616">
        <v>45887.546372210651</v>
      </c>
      <c r="D616" t="s">
        <v>3036</v>
      </c>
      <c r="E616" t="s">
        <v>2155</v>
      </c>
      <c r="F616" t="s">
        <v>28</v>
      </c>
      <c r="G616" t="s">
        <v>28</v>
      </c>
      <c r="H616" t="s">
        <v>28</v>
      </c>
      <c r="I616" t="s">
        <v>28</v>
      </c>
      <c r="J616" t="s">
        <v>28</v>
      </c>
      <c r="K616" t="s">
        <v>28</v>
      </c>
      <c r="L616" t="s">
        <v>36</v>
      </c>
      <c r="N616" t="s">
        <v>2792</v>
      </c>
      <c r="O616" t="s">
        <v>38</v>
      </c>
      <c r="P616" t="s">
        <v>49</v>
      </c>
      <c r="Q616" t="s">
        <v>49</v>
      </c>
      <c r="R616" t="s">
        <v>2253</v>
      </c>
      <c r="S616" t="s">
        <v>38</v>
      </c>
      <c r="T616" t="s">
        <v>2244</v>
      </c>
      <c r="U616" t="s">
        <v>2461</v>
      </c>
      <c r="V616" t="s">
        <v>53</v>
      </c>
      <c r="W616" t="s">
        <v>3037</v>
      </c>
      <c r="X616" t="s">
        <v>118</v>
      </c>
      <c r="Y616" t="s">
        <v>3038</v>
      </c>
      <c r="Z616" t="s">
        <v>91</v>
      </c>
    </row>
    <row r="617" spans="1:26" ht="12.75" customHeight="1" x14ac:dyDescent="0.35">
      <c r="A617">
        <v>616</v>
      </c>
      <c r="B617">
        <v>45887.548719143517</v>
      </c>
      <c r="D617" t="s">
        <v>3039</v>
      </c>
      <c r="E617" t="s">
        <v>2591</v>
      </c>
      <c r="F617" t="s">
        <v>33</v>
      </c>
      <c r="G617" t="s">
        <v>33</v>
      </c>
      <c r="H617" t="s">
        <v>33</v>
      </c>
      <c r="I617" t="s">
        <v>34</v>
      </c>
      <c r="J617" t="s">
        <v>34</v>
      </c>
      <c r="K617" t="s">
        <v>74</v>
      </c>
      <c r="L617" t="s">
        <v>46</v>
      </c>
      <c r="N617" t="s">
        <v>2756</v>
      </c>
      <c r="O617" t="s">
        <v>48</v>
      </c>
      <c r="P617" t="s">
        <v>48</v>
      </c>
      <c r="Q617" t="s">
        <v>49</v>
      </c>
      <c r="R617" t="s">
        <v>1951</v>
      </c>
      <c r="S617" t="s">
        <v>49</v>
      </c>
      <c r="T617" t="s">
        <v>1952</v>
      </c>
      <c r="U617" t="s">
        <v>1976</v>
      </c>
      <c r="V617" t="s">
        <v>53</v>
      </c>
      <c r="W617" t="s">
        <v>3040</v>
      </c>
      <c r="X617" t="s">
        <v>118</v>
      </c>
      <c r="Y617" t="s">
        <v>3041</v>
      </c>
      <c r="Z617" t="s">
        <v>91</v>
      </c>
    </row>
    <row r="618" spans="1:26" ht="12.75" customHeight="1" x14ac:dyDescent="0.35">
      <c r="A618">
        <v>617</v>
      </c>
      <c r="B618">
        <v>45887.549066377316</v>
      </c>
      <c r="D618" t="s">
        <v>3042</v>
      </c>
      <c r="E618" t="s">
        <v>1899</v>
      </c>
      <c r="F618" t="s">
        <v>28</v>
      </c>
      <c r="G618" t="s">
        <v>28</v>
      </c>
      <c r="H618" t="s">
        <v>28</v>
      </c>
      <c r="I618" t="s">
        <v>28</v>
      </c>
      <c r="J618" t="s">
        <v>28</v>
      </c>
      <c r="K618" t="s">
        <v>28</v>
      </c>
      <c r="L618" t="s">
        <v>46</v>
      </c>
      <c r="N618" t="s">
        <v>3043</v>
      </c>
      <c r="O618" t="s">
        <v>48</v>
      </c>
      <c r="P618" t="s">
        <v>48</v>
      </c>
      <c r="Q618" t="s">
        <v>48</v>
      </c>
      <c r="R618" t="s">
        <v>2839</v>
      </c>
      <c r="S618" t="s">
        <v>48</v>
      </c>
      <c r="T618" t="s">
        <v>2705</v>
      </c>
      <c r="U618" t="s">
        <v>2840</v>
      </c>
      <c r="V618" t="s">
        <v>53</v>
      </c>
      <c r="W618" t="s">
        <v>3044</v>
      </c>
      <c r="X618" t="s">
        <v>1030</v>
      </c>
      <c r="Y618" t="s">
        <v>3045</v>
      </c>
      <c r="Z618" t="s">
        <v>170</v>
      </c>
    </row>
    <row r="619" spans="1:26" ht="12.75" customHeight="1" x14ac:dyDescent="0.35">
      <c r="A619">
        <v>618</v>
      </c>
      <c r="B619">
        <v>45887.550405254631</v>
      </c>
      <c r="D619" t="s">
        <v>3046</v>
      </c>
      <c r="E619" t="s">
        <v>2155</v>
      </c>
      <c r="F619" t="s">
        <v>28</v>
      </c>
      <c r="G619" t="s">
        <v>28</v>
      </c>
      <c r="H619" t="s">
        <v>28</v>
      </c>
      <c r="I619" t="s">
        <v>28</v>
      </c>
      <c r="J619" t="s">
        <v>28</v>
      </c>
      <c r="K619" t="s">
        <v>35</v>
      </c>
      <c r="L619" t="s">
        <v>46</v>
      </c>
      <c r="N619" t="s">
        <v>2779</v>
      </c>
      <c r="O619" t="s">
        <v>49</v>
      </c>
      <c r="P619" t="s">
        <v>48</v>
      </c>
      <c r="Q619" t="s">
        <v>48</v>
      </c>
      <c r="R619" t="s">
        <v>2173</v>
      </c>
      <c r="S619" t="s">
        <v>49</v>
      </c>
      <c r="T619" t="s">
        <v>2244</v>
      </c>
      <c r="U619" t="s">
        <v>2461</v>
      </c>
      <c r="V619" t="s">
        <v>53</v>
      </c>
      <c r="W619" t="s">
        <v>3047</v>
      </c>
      <c r="X619" t="s">
        <v>118</v>
      </c>
      <c r="Y619" t="s">
        <v>3048</v>
      </c>
      <c r="Z619" t="s">
        <v>91</v>
      </c>
    </row>
    <row r="620" spans="1:26" ht="12.75" customHeight="1" x14ac:dyDescent="0.35">
      <c r="A620">
        <v>619</v>
      </c>
      <c r="B620">
        <v>45887.551696203707</v>
      </c>
      <c r="D620" t="s">
        <v>3049</v>
      </c>
      <c r="E620" t="s">
        <v>2591</v>
      </c>
      <c r="F620" t="s">
        <v>60</v>
      </c>
      <c r="G620" t="s">
        <v>29</v>
      </c>
      <c r="H620" t="s">
        <v>29</v>
      </c>
      <c r="I620" t="s">
        <v>103</v>
      </c>
      <c r="J620" t="s">
        <v>28</v>
      </c>
      <c r="K620" t="s">
        <v>35</v>
      </c>
      <c r="L620" t="s">
        <v>46</v>
      </c>
      <c r="N620" t="s">
        <v>2756</v>
      </c>
      <c r="O620" t="s">
        <v>48</v>
      </c>
      <c r="P620" t="s">
        <v>49</v>
      </c>
      <c r="Q620" t="s">
        <v>49</v>
      </c>
      <c r="R620" t="s">
        <v>1951</v>
      </c>
      <c r="S620" t="s">
        <v>49</v>
      </c>
      <c r="T620" t="s">
        <v>1952</v>
      </c>
      <c r="U620" t="s">
        <v>1976</v>
      </c>
      <c r="V620" t="s">
        <v>53</v>
      </c>
      <c r="W620" t="s">
        <v>3050</v>
      </c>
      <c r="X620" t="s">
        <v>118</v>
      </c>
      <c r="Y620" t="s">
        <v>3051</v>
      </c>
      <c r="Z620" t="s">
        <v>91</v>
      </c>
    </row>
    <row r="621" spans="1:26" ht="12.75" customHeight="1" x14ac:dyDescent="0.35">
      <c r="A621">
        <v>620</v>
      </c>
      <c r="B621">
        <v>45887.553094247683</v>
      </c>
      <c r="D621" t="s">
        <v>3052</v>
      </c>
      <c r="E621" t="s">
        <v>1899</v>
      </c>
      <c r="F621" t="s">
        <v>28</v>
      </c>
      <c r="G621" t="s">
        <v>28</v>
      </c>
      <c r="H621" t="s">
        <v>28</v>
      </c>
      <c r="I621" t="s">
        <v>28</v>
      </c>
      <c r="J621" t="s">
        <v>28</v>
      </c>
      <c r="K621" t="s">
        <v>28</v>
      </c>
      <c r="L621" t="s">
        <v>46</v>
      </c>
      <c r="N621" t="s">
        <v>2640</v>
      </c>
      <c r="O621" t="s">
        <v>48</v>
      </c>
      <c r="P621" t="s">
        <v>48</v>
      </c>
      <c r="Q621" t="s">
        <v>48</v>
      </c>
      <c r="R621" t="s">
        <v>2839</v>
      </c>
      <c r="S621" t="s">
        <v>48</v>
      </c>
      <c r="T621" t="s">
        <v>2705</v>
      </c>
      <c r="U621" t="s">
        <v>2840</v>
      </c>
      <c r="V621" t="s">
        <v>53</v>
      </c>
      <c r="W621" t="s">
        <v>3053</v>
      </c>
      <c r="X621" t="s">
        <v>1030</v>
      </c>
      <c r="Y621" t="s">
        <v>3054</v>
      </c>
      <c r="Z621" t="s">
        <v>91</v>
      </c>
    </row>
    <row r="622" spans="1:26" ht="12.75" customHeight="1" x14ac:dyDescent="0.35">
      <c r="A622">
        <v>621</v>
      </c>
      <c r="B622">
        <v>45887.555039953702</v>
      </c>
      <c r="D622" t="s">
        <v>3055</v>
      </c>
      <c r="E622" t="s">
        <v>2591</v>
      </c>
      <c r="F622" t="s">
        <v>33</v>
      </c>
      <c r="G622" t="s">
        <v>33</v>
      </c>
      <c r="H622" t="s">
        <v>33</v>
      </c>
      <c r="I622" t="s">
        <v>34</v>
      </c>
      <c r="J622" t="s">
        <v>34</v>
      </c>
      <c r="K622" t="s">
        <v>74</v>
      </c>
      <c r="L622" t="s">
        <v>36</v>
      </c>
      <c r="N622" t="s">
        <v>2756</v>
      </c>
      <c r="O622" t="s">
        <v>48</v>
      </c>
      <c r="P622" t="s">
        <v>49</v>
      </c>
      <c r="Q622" t="s">
        <v>48</v>
      </c>
      <c r="R622" t="s">
        <v>1951</v>
      </c>
      <c r="S622" t="s">
        <v>49</v>
      </c>
      <c r="T622" t="s">
        <v>1952</v>
      </c>
      <c r="U622" t="s">
        <v>1976</v>
      </c>
      <c r="V622" t="s">
        <v>53</v>
      </c>
      <c r="W622" t="s">
        <v>3056</v>
      </c>
      <c r="X622" t="s">
        <v>118</v>
      </c>
      <c r="Y622" t="s">
        <v>3057</v>
      </c>
      <c r="Z622" t="s">
        <v>91</v>
      </c>
    </row>
    <row r="623" spans="1:26" ht="12.75" customHeight="1" x14ac:dyDescent="0.35">
      <c r="A623">
        <v>622</v>
      </c>
      <c r="B623">
        <v>45887.55637795139</v>
      </c>
      <c r="D623" t="s">
        <v>2616</v>
      </c>
      <c r="E623" t="s">
        <v>1899</v>
      </c>
      <c r="F623" t="s">
        <v>28</v>
      </c>
      <c r="G623" t="s">
        <v>158</v>
      </c>
      <c r="H623" t="s">
        <v>28</v>
      </c>
      <c r="I623" t="s">
        <v>158</v>
      </c>
      <c r="J623" t="s">
        <v>28</v>
      </c>
      <c r="K623" t="s">
        <v>28</v>
      </c>
      <c r="L623" t="s">
        <v>36</v>
      </c>
      <c r="N623" t="s">
        <v>2592</v>
      </c>
      <c r="O623" t="s">
        <v>48</v>
      </c>
      <c r="P623" t="s">
        <v>48</v>
      </c>
      <c r="Q623" t="s">
        <v>48</v>
      </c>
      <c r="R623" t="s">
        <v>2839</v>
      </c>
      <c r="S623" t="s">
        <v>48</v>
      </c>
      <c r="T623" t="s">
        <v>2705</v>
      </c>
      <c r="U623" t="s">
        <v>2840</v>
      </c>
      <c r="V623" t="s">
        <v>53</v>
      </c>
      <c r="W623" t="s">
        <v>3058</v>
      </c>
      <c r="X623" t="s">
        <v>1030</v>
      </c>
      <c r="Y623" t="s">
        <v>3059</v>
      </c>
      <c r="Z623" t="s">
        <v>129</v>
      </c>
    </row>
    <row r="624" spans="1:26" ht="12.75" customHeight="1" x14ac:dyDescent="0.35">
      <c r="A624">
        <v>623</v>
      </c>
      <c r="B624">
        <v>45887.5570233912</v>
      </c>
      <c r="D624" t="s">
        <v>3060</v>
      </c>
      <c r="E624" t="s">
        <v>2155</v>
      </c>
      <c r="F624" t="s">
        <v>28</v>
      </c>
      <c r="G624" t="s">
        <v>28</v>
      </c>
      <c r="H624" t="s">
        <v>28</v>
      </c>
      <c r="I624" t="s">
        <v>173</v>
      </c>
      <c r="J624" t="s">
        <v>28</v>
      </c>
      <c r="K624" t="s">
        <v>35</v>
      </c>
      <c r="L624" t="s">
        <v>46</v>
      </c>
      <c r="N624" t="s">
        <v>2673</v>
      </c>
      <c r="O624" t="s">
        <v>38</v>
      </c>
      <c r="P624" t="s">
        <v>38</v>
      </c>
      <c r="Q624" t="s">
        <v>49</v>
      </c>
      <c r="R624" t="s">
        <v>2253</v>
      </c>
      <c r="S624" t="s">
        <v>49</v>
      </c>
      <c r="T624" t="s">
        <v>3061</v>
      </c>
      <c r="U624" t="s">
        <v>3062</v>
      </c>
      <c r="V624" t="s">
        <v>53</v>
      </c>
      <c r="W624" t="s">
        <v>3063</v>
      </c>
      <c r="X624" t="s">
        <v>118</v>
      </c>
      <c r="Y624" t="s">
        <v>3064</v>
      </c>
      <c r="Z624" t="s">
        <v>91</v>
      </c>
    </row>
    <row r="625" spans="1:26" ht="12.75" customHeight="1" x14ac:dyDescent="0.35">
      <c r="A625">
        <v>624</v>
      </c>
      <c r="B625">
        <v>45887.559358125</v>
      </c>
      <c r="D625" t="s">
        <v>3065</v>
      </c>
      <c r="E625" t="s">
        <v>1899</v>
      </c>
      <c r="F625" t="s">
        <v>28</v>
      </c>
      <c r="G625" t="s">
        <v>28</v>
      </c>
      <c r="H625" t="s">
        <v>28</v>
      </c>
      <c r="I625" t="s">
        <v>28</v>
      </c>
      <c r="J625" t="s">
        <v>28</v>
      </c>
      <c r="K625" t="s">
        <v>28</v>
      </c>
      <c r="L625" t="s">
        <v>36</v>
      </c>
      <c r="N625" t="s">
        <v>2592</v>
      </c>
      <c r="O625" t="s">
        <v>48</v>
      </c>
      <c r="P625" t="s">
        <v>48</v>
      </c>
      <c r="Q625" t="s">
        <v>48</v>
      </c>
      <c r="R625" t="s">
        <v>2839</v>
      </c>
      <c r="S625" t="s">
        <v>48</v>
      </c>
      <c r="T625" t="s">
        <v>2705</v>
      </c>
      <c r="U625" t="s">
        <v>2840</v>
      </c>
      <c r="V625" t="s">
        <v>53</v>
      </c>
      <c r="W625" t="s">
        <v>3066</v>
      </c>
      <c r="X625" t="s">
        <v>1030</v>
      </c>
      <c r="Y625" t="s">
        <v>3067</v>
      </c>
      <c r="Z625" t="s">
        <v>91</v>
      </c>
    </row>
    <row r="626" spans="1:26" ht="12.75" customHeight="1" x14ac:dyDescent="0.35">
      <c r="A626">
        <v>625</v>
      </c>
      <c r="B626">
        <v>45887.559448738422</v>
      </c>
      <c r="D626" t="s">
        <v>3007</v>
      </c>
      <c r="E626" t="s">
        <v>2155</v>
      </c>
      <c r="F626" t="s">
        <v>71</v>
      </c>
      <c r="G626" t="s">
        <v>29</v>
      </c>
      <c r="H626" t="s">
        <v>29</v>
      </c>
      <c r="I626" t="s">
        <v>34</v>
      </c>
      <c r="J626" t="s">
        <v>34</v>
      </c>
      <c r="K626" t="s">
        <v>28</v>
      </c>
      <c r="L626" t="s">
        <v>46</v>
      </c>
      <c r="N626" t="s">
        <v>2984</v>
      </c>
      <c r="O626" t="s">
        <v>49</v>
      </c>
      <c r="P626" t="s">
        <v>49</v>
      </c>
      <c r="Q626" t="s">
        <v>38</v>
      </c>
      <c r="R626" t="s">
        <v>2943</v>
      </c>
      <c r="S626" t="s">
        <v>38</v>
      </c>
      <c r="T626" t="s">
        <v>2964</v>
      </c>
      <c r="U626" t="s">
        <v>2945</v>
      </c>
      <c r="V626" t="s">
        <v>53</v>
      </c>
      <c r="W626" t="s">
        <v>3009</v>
      </c>
      <c r="X626" t="s">
        <v>3028</v>
      </c>
      <c r="Y626" t="s">
        <v>3068</v>
      </c>
      <c r="Z626" t="s">
        <v>91</v>
      </c>
    </row>
    <row r="627" spans="1:26" ht="12.75" customHeight="1" x14ac:dyDescent="0.35">
      <c r="A627">
        <v>626</v>
      </c>
      <c r="B627">
        <v>45887.562088842591</v>
      </c>
      <c r="D627" t="s">
        <v>3069</v>
      </c>
      <c r="E627" t="s">
        <v>2155</v>
      </c>
      <c r="F627" t="s">
        <v>28</v>
      </c>
      <c r="G627" t="s">
        <v>28</v>
      </c>
      <c r="H627" t="s">
        <v>28</v>
      </c>
      <c r="I627" t="s">
        <v>28</v>
      </c>
      <c r="J627" t="s">
        <v>28</v>
      </c>
      <c r="K627" t="s">
        <v>28</v>
      </c>
      <c r="L627" t="s">
        <v>46</v>
      </c>
      <c r="N627" t="s">
        <v>2673</v>
      </c>
      <c r="O627" t="s">
        <v>49</v>
      </c>
      <c r="P627" t="s">
        <v>49</v>
      </c>
      <c r="Q627" t="s">
        <v>49</v>
      </c>
      <c r="R627" t="s">
        <v>2253</v>
      </c>
      <c r="S627" t="s">
        <v>49</v>
      </c>
      <c r="T627" t="s">
        <v>3070</v>
      </c>
      <c r="U627" t="s">
        <v>2461</v>
      </c>
      <c r="V627" t="s">
        <v>53</v>
      </c>
      <c r="W627" t="s">
        <v>3071</v>
      </c>
      <c r="X627" t="s">
        <v>118</v>
      </c>
      <c r="Y627" t="s">
        <v>3072</v>
      </c>
      <c r="Z627" t="s">
        <v>91</v>
      </c>
    </row>
    <row r="628" spans="1:26" ht="12.75" customHeight="1" x14ac:dyDescent="0.35">
      <c r="A628">
        <v>627</v>
      </c>
      <c r="B628">
        <v>45887.562342187499</v>
      </c>
      <c r="D628" t="s">
        <v>3073</v>
      </c>
      <c r="E628" t="s">
        <v>1875</v>
      </c>
      <c r="F628" t="s">
        <v>377</v>
      </c>
      <c r="G628" t="s">
        <v>158</v>
      </c>
      <c r="H628" t="s">
        <v>28</v>
      </c>
      <c r="I628" t="s">
        <v>103</v>
      </c>
      <c r="J628" t="s">
        <v>45</v>
      </c>
      <c r="K628" t="s">
        <v>45</v>
      </c>
      <c r="L628" t="s">
        <v>36</v>
      </c>
      <c r="N628" t="s">
        <v>2276</v>
      </c>
      <c r="O628" t="s">
        <v>49</v>
      </c>
      <c r="P628" t="s">
        <v>38</v>
      </c>
      <c r="Q628" t="s">
        <v>49</v>
      </c>
      <c r="R628" t="s">
        <v>3074</v>
      </c>
      <c r="S628" t="s">
        <v>48</v>
      </c>
      <c r="T628" t="s">
        <v>3075</v>
      </c>
      <c r="U628" t="s">
        <v>3076</v>
      </c>
      <c r="V628" t="s">
        <v>53</v>
      </c>
      <c r="W628" t="s">
        <v>3077</v>
      </c>
      <c r="X628" t="s">
        <v>118</v>
      </c>
      <c r="Y628" t="s">
        <v>3078</v>
      </c>
      <c r="Z628" t="s">
        <v>91</v>
      </c>
    </row>
    <row r="629" spans="1:26" ht="12.75" customHeight="1" x14ac:dyDescent="0.35">
      <c r="A629">
        <v>628</v>
      </c>
      <c r="B629">
        <v>45887.563654861107</v>
      </c>
      <c r="D629" t="s">
        <v>3079</v>
      </c>
      <c r="E629" t="s">
        <v>2155</v>
      </c>
      <c r="F629" t="s">
        <v>33</v>
      </c>
      <c r="G629" t="s">
        <v>33</v>
      </c>
      <c r="H629" t="s">
        <v>33</v>
      </c>
      <c r="I629" t="s">
        <v>34</v>
      </c>
      <c r="J629" t="s">
        <v>34</v>
      </c>
      <c r="K629" t="s">
        <v>74</v>
      </c>
      <c r="L629" t="s">
        <v>46</v>
      </c>
      <c r="N629" t="s">
        <v>2984</v>
      </c>
      <c r="O629" t="s">
        <v>49</v>
      </c>
      <c r="P629" t="s">
        <v>49</v>
      </c>
      <c r="Q629" t="s">
        <v>49</v>
      </c>
      <c r="R629" t="s">
        <v>2822</v>
      </c>
      <c r="S629" t="s">
        <v>49</v>
      </c>
      <c r="T629" t="s">
        <v>2823</v>
      </c>
      <c r="U629" t="s">
        <v>3080</v>
      </c>
      <c r="V629" t="s">
        <v>53</v>
      </c>
      <c r="W629" t="s">
        <v>3081</v>
      </c>
      <c r="X629" t="s">
        <v>3028</v>
      </c>
      <c r="Y629" t="s">
        <v>3082</v>
      </c>
      <c r="Z629" t="s">
        <v>91</v>
      </c>
    </row>
    <row r="630" spans="1:26" ht="12.75" customHeight="1" x14ac:dyDescent="0.35">
      <c r="A630">
        <v>629</v>
      </c>
      <c r="B630">
        <v>45887.565722928237</v>
      </c>
      <c r="D630" t="s">
        <v>2316</v>
      </c>
      <c r="E630" t="s">
        <v>1875</v>
      </c>
      <c r="F630" t="s">
        <v>44</v>
      </c>
      <c r="G630" t="s">
        <v>28</v>
      </c>
      <c r="H630" t="s">
        <v>60</v>
      </c>
      <c r="I630" t="s">
        <v>103</v>
      </c>
      <c r="J630" t="s">
        <v>45</v>
      </c>
      <c r="K630" t="s">
        <v>45</v>
      </c>
      <c r="L630" t="s">
        <v>46</v>
      </c>
      <c r="N630" t="s">
        <v>2317</v>
      </c>
      <c r="O630" t="s">
        <v>49</v>
      </c>
      <c r="P630" t="s">
        <v>49</v>
      </c>
      <c r="Q630" t="s">
        <v>49</v>
      </c>
      <c r="R630" t="s">
        <v>3083</v>
      </c>
      <c r="S630" t="s">
        <v>49</v>
      </c>
      <c r="T630" t="s">
        <v>3084</v>
      </c>
      <c r="U630" t="s">
        <v>3085</v>
      </c>
      <c r="V630" t="s">
        <v>53</v>
      </c>
      <c r="W630" t="s">
        <v>2320</v>
      </c>
      <c r="X630" t="s">
        <v>118</v>
      </c>
      <c r="Y630" t="s">
        <v>2321</v>
      </c>
      <c r="Z630" t="s">
        <v>91</v>
      </c>
    </row>
    <row r="631" spans="1:26" ht="12.75" customHeight="1" x14ac:dyDescent="0.35">
      <c r="A631">
        <v>630</v>
      </c>
      <c r="B631">
        <v>45887.566620115744</v>
      </c>
      <c r="D631" t="s">
        <v>3086</v>
      </c>
      <c r="E631" t="s">
        <v>1899</v>
      </c>
      <c r="F631" t="s">
        <v>28</v>
      </c>
      <c r="G631" t="s">
        <v>28</v>
      </c>
      <c r="H631" t="s">
        <v>28</v>
      </c>
      <c r="I631" t="s">
        <v>28</v>
      </c>
      <c r="J631" t="s">
        <v>28</v>
      </c>
      <c r="K631" t="s">
        <v>28</v>
      </c>
      <c r="L631" t="s">
        <v>36</v>
      </c>
      <c r="N631" t="s">
        <v>3087</v>
      </c>
      <c r="O631" t="s">
        <v>48</v>
      </c>
      <c r="P631" t="s">
        <v>48</v>
      </c>
      <c r="Q631" t="s">
        <v>48</v>
      </c>
      <c r="R631" t="s">
        <v>2839</v>
      </c>
      <c r="S631" t="s">
        <v>48</v>
      </c>
      <c r="T631" t="s">
        <v>2705</v>
      </c>
      <c r="U631" t="s">
        <v>2840</v>
      </c>
      <c r="V631" t="s">
        <v>53</v>
      </c>
      <c r="W631" t="s">
        <v>3088</v>
      </c>
      <c r="X631" t="s">
        <v>1030</v>
      </c>
      <c r="Y631" t="s">
        <v>3089</v>
      </c>
      <c r="Z631" t="s">
        <v>91</v>
      </c>
    </row>
    <row r="632" spans="1:26" ht="12.75" customHeight="1" x14ac:dyDescent="0.35">
      <c r="A632">
        <v>631</v>
      </c>
      <c r="B632">
        <v>45887.566945520834</v>
      </c>
      <c r="D632" t="s">
        <v>3090</v>
      </c>
      <c r="E632" t="s">
        <v>2155</v>
      </c>
      <c r="F632" t="s">
        <v>28</v>
      </c>
      <c r="G632" t="s">
        <v>28</v>
      </c>
      <c r="H632" t="s">
        <v>28</v>
      </c>
      <c r="I632" t="s">
        <v>28</v>
      </c>
      <c r="J632" t="s">
        <v>28</v>
      </c>
      <c r="K632" t="s">
        <v>28</v>
      </c>
      <c r="L632" t="s">
        <v>46</v>
      </c>
      <c r="N632" t="s">
        <v>2673</v>
      </c>
      <c r="O632" t="s">
        <v>38</v>
      </c>
      <c r="P632" t="s">
        <v>38</v>
      </c>
      <c r="Q632" t="s">
        <v>49</v>
      </c>
      <c r="R632" t="s">
        <v>2253</v>
      </c>
      <c r="S632" t="s">
        <v>38</v>
      </c>
      <c r="T632" t="s">
        <v>2411</v>
      </c>
      <c r="U632" t="s">
        <v>2461</v>
      </c>
      <c r="V632" t="s">
        <v>53</v>
      </c>
      <c r="W632" t="s">
        <v>3091</v>
      </c>
      <c r="X632" t="s">
        <v>118</v>
      </c>
      <c r="Y632" t="s">
        <v>3092</v>
      </c>
      <c r="Z632" t="s">
        <v>91</v>
      </c>
    </row>
    <row r="633" spans="1:26" ht="12.75" customHeight="1" x14ac:dyDescent="0.35">
      <c r="A633">
        <v>632</v>
      </c>
      <c r="B633">
        <v>45887.568171909719</v>
      </c>
      <c r="D633" t="s">
        <v>3093</v>
      </c>
      <c r="E633" t="s">
        <v>2859</v>
      </c>
      <c r="F633" t="s">
        <v>71</v>
      </c>
      <c r="G633" t="s">
        <v>33</v>
      </c>
      <c r="H633" t="s">
        <v>33</v>
      </c>
      <c r="I633" t="s">
        <v>34</v>
      </c>
      <c r="J633" t="s">
        <v>34</v>
      </c>
      <c r="K633" t="s">
        <v>73</v>
      </c>
      <c r="L633" t="s">
        <v>46</v>
      </c>
      <c r="N633" t="s">
        <v>3008</v>
      </c>
      <c r="O633" t="s">
        <v>38</v>
      </c>
      <c r="P633" t="s">
        <v>38</v>
      </c>
      <c r="Q633" t="s">
        <v>38</v>
      </c>
      <c r="R633" t="s">
        <v>3094</v>
      </c>
      <c r="S633" t="s">
        <v>38</v>
      </c>
      <c r="T633" t="s">
        <v>2944</v>
      </c>
      <c r="U633" t="s">
        <v>2824</v>
      </c>
      <c r="V633" t="s">
        <v>53</v>
      </c>
      <c r="W633" t="s">
        <v>3095</v>
      </c>
      <c r="X633" t="s">
        <v>3028</v>
      </c>
      <c r="Y633" t="s">
        <v>3096</v>
      </c>
      <c r="Z633" t="s">
        <v>91</v>
      </c>
    </row>
    <row r="634" spans="1:26" ht="12.75" customHeight="1" x14ac:dyDescent="0.35">
      <c r="A634">
        <v>633</v>
      </c>
      <c r="B634">
        <v>45887.569026249999</v>
      </c>
      <c r="D634" t="s">
        <v>3097</v>
      </c>
      <c r="E634" t="s">
        <v>1875</v>
      </c>
      <c r="F634" t="s">
        <v>44</v>
      </c>
      <c r="G634" t="s">
        <v>158</v>
      </c>
      <c r="H634" t="s">
        <v>157</v>
      </c>
      <c r="I634" t="s">
        <v>158</v>
      </c>
      <c r="J634" t="s">
        <v>45</v>
      </c>
      <c r="K634" t="s">
        <v>45</v>
      </c>
      <c r="L634" t="s">
        <v>46</v>
      </c>
      <c r="N634" t="s">
        <v>2317</v>
      </c>
      <c r="O634" t="s">
        <v>49</v>
      </c>
      <c r="P634" t="s">
        <v>48</v>
      </c>
      <c r="Q634" t="s">
        <v>38</v>
      </c>
      <c r="R634" t="s">
        <v>3098</v>
      </c>
      <c r="S634" t="s">
        <v>49</v>
      </c>
      <c r="T634" t="s">
        <v>3099</v>
      </c>
      <c r="U634" t="s">
        <v>3100</v>
      </c>
      <c r="V634" t="s">
        <v>53</v>
      </c>
      <c r="W634" t="s">
        <v>3101</v>
      </c>
      <c r="X634" t="s">
        <v>118</v>
      </c>
      <c r="Y634" t="s">
        <v>3102</v>
      </c>
      <c r="Z634" t="s">
        <v>91</v>
      </c>
    </row>
    <row r="635" spans="1:26" ht="12.75" customHeight="1" x14ac:dyDescent="0.35">
      <c r="A635">
        <v>634</v>
      </c>
      <c r="B635">
        <v>45887.570306099537</v>
      </c>
      <c r="D635" t="s">
        <v>3103</v>
      </c>
      <c r="E635" t="s">
        <v>3104</v>
      </c>
      <c r="F635" t="s">
        <v>33</v>
      </c>
      <c r="G635" t="s">
        <v>33</v>
      </c>
      <c r="H635" t="s">
        <v>33</v>
      </c>
      <c r="I635" t="s">
        <v>34</v>
      </c>
      <c r="J635" t="s">
        <v>34</v>
      </c>
      <c r="K635" t="s">
        <v>74</v>
      </c>
      <c r="L635" t="s">
        <v>46</v>
      </c>
      <c r="N635" t="s">
        <v>2756</v>
      </c>
      <c r="O635" t="s">
        <v>49</v>
      </c>
      <c r="P635" t="s">
        <v>49</v>
      </c>
      <c r="Q635" t="s">
        <v>49</v>
      </c>
      <c r="R635" t="s">
        <v>1951</v>
      </c>
      <c r="S635" t="s">
        <v>49</v>
      </c>
      <c r="T635" t="s">
        <v>1952</v>
      </c>
      <c r="U635" t="s">
        <v>1976</v>
      </c>
      <c r="V635" t="s">
        <v>53</v>
      </c>
      <c r="W635" t="s">
        <v>3105</v>
      </c>
      <c r="X635" t="s">
        <v>118</v>
      </c>
      <c r="Y635" t="s">
        <v>3106</v>
      </c>
      <c r="Z635" t="s">
        <v>91</v>
      </c>
    </row>
    <row r="636" spans="1:26" ht="12.75" customHeight="1" x14ac:dyDescent="0.35">
      <c r="A636">
        <v>635</v>
      </c>
      <c r="B636">
        <v>45887.57332674769</v>
      </c>
      <c r="D636" t="s">
        <v>3107</v>
      </c>
      <c r="E636" t="s">
        <v>1875</v>
      </c>
      <c r="F636" t="s">
        <v>377</v>
      </c>
      <c r="G636" t="s">
        <v>44</v>
      </c>
      <c r="H636" t="s">
        <v>157</v>
      </c>
      <c r="I636" t="s">
        <v>173</v>
      </c>
      <c r="J636" t="s">
        <v>28</v>
      </c>
      <c r="K636" t="s">
        <v>45</v>
      </c>
      <c r="L636" t="s">
        <v>46</v>
      </c>
      <c r="N636" t="s">
        <v>2338</v>
      </c>
      <c r="O636" t="s">
        <v>49</v>
      </c>
      <c r="P636" t="s">
        <v>48</v>
      </c>
      <c r="Q636" t="s">
        <v>49</v>
      </c>
      <c r="R636" t="s">
        <v>3108</v>
      </c>
      <c r="S636" t="s">
        <v>49</v>
      </c>
      <c r="T636" t="s">
        <v>3109</v>
      </c>
      <c r="U636" t="s">
        <v>3110</v>
      </c>
      <c r="V636" t="s">
        <v>53</v>
      </c>
      <c r="W636" t="s">
        <v>3111</v>
      </c>
      <c r="X636" t="s">
        <v>118</v>
      </c>
      <c r="Y636" t="s">
        <v>3112</v>
      </c>
      <c r="Z636" t="s">
        <v>91</v>
      </c>
    </row>
    <row r="637" spans="1:26" ht="12.75" customHeight="1" x14ac:dyDescent="0.35">
      <c r="A637">
        <v>636</v>
      </c>
      <c r="B637">
        <v>45887.573668622688</v>
      </c>
      <c r="D637" t="s">
        <v>3113</v>
      </c>
      <c r="E637" t="s">
        <v>2591</v>
      </c>
      <c r="F637" t="s">
        <v>33</v>
      </c>
      <c r="G637" t="s">
        <v>33</v>
      </c>
      <c r="H637" t="s">
        <v>33</v>
      </c>
      <c r="I637" t="s">
        <v>34</v>
      </c>
      <c r="J637" t="s">
        <v>34</v>
      </c>
      <c r="K637" t="s">
        <v>74</v>
      </c>
      <c r="L637" t="s">
        <v>36</v>
      </c>
      <c r="N637" t="s">
        <v>2635</v>
      </c>
      <c r="O637" t="s">
        <v>48</v>
      </c>
      <c r="P637" t="s">
        <v>48</v>
      </c>
      <c r="Q637" t="s">
        <v>48</v>
      </c>
      <c r="R637" t="s">
        <v>1951</v>
      </c>
      <c r="S637" t="s">
        <v>48</v>
      </c>
      <c r="T637" t="s">
        <v>1952</v>
      </c>
      <c r="U637" t="s">
        <v>1976</v>
      </c>
      <c r="V637" t="s">
        <v>53</v>
      </c>
      <c r="W637" t="s">
        <v>3114</v>
      </c>
      <c r="X637" t="s">
        <v>118</v>
      </c>
      <c r="Y637" t="s">
        <v>3115</v>
      </c>
      <c r="Z637" t="s">
        <v>91</v>
      </c>
    </row>
    <row r="638" spans="1:26" ht="12.75" customHeight="1" x14ac:dyDescent="0.35">
      <c r="A638">
        <v>637</v>
      </c>
      <c r="B638">
        <v>45887.575424143521</v>
      </c>
      <c r="D638" t="s">
        <v>3116</v>
      </c>
      <c r="E638" t="s">
        <v>1899</v>
      </c>
      <c r="F638" t="s">
        <v>28</v>
      </c>
      <c r="G638" t="s">
        <v>28</v>
      </c>
      <c r="H638" t="s">
        <v>28</v>
      </c>
      <c r="I638" t="s">
        <v>28</v>
      </c>
      <c r="J638" t="s">
        <v>28</v>
      </c>
      <c r="K638" t="s">
        <v>28</v>
      </c>
      <c r="L638" t="s">
        <v>46</v>
      </c>
      <c r="N638" t="s">
        <v>2577</v>
      </c>
      <c r="O638" t="s">
        <v>48</v>
      </c>
      <c r="P638" t="s">
        <v>48</v>
      </c>
      <c r="Q638" t="s">
        <v>48</v>
      </c>
      <c r="R638" t="s">
        <v>2839</v>
      </c>
      <c r="S638" t="s">
        <v>48</v>
      </c>
      <c r="T638" t="s">
        <v>2705</v>
      </c>
      <c r="U638" t="s">
        <v>2840</v>
      </c>
      <c r="V638" t="s">
        <v>53</v>
      </c>
      <c r="W638" t="s">
        <v>3117</v>
      </c>
      <c r="X638" t="s">
        <v>1030</v>
      </c>
      <c r="Y638" t="s">
        <v>3118</v>
      </c>
      <c r="Z638" t="s">
        <v>91</v>
      </c>
    </row>
    <row r="639" spans="1:26" ht="12.75" customHeight="1" x14ac:dyDescent="0.35">
      <c r="A639">
        <v>638</v>
      </c>
      <c r="B639">
        <v>45887.576019629632</v>
      </c>
      <c r="D639" t="s">
        <v>3119</v>
      </c>
      <c r="E639" t="s">
        <v>2155</v>
      </c>
      <c r="F639" t="s">
        <v>28</v>
      </c>
      <c r="G639" t="s">
        <v>28</v>
      </c>
      <c r="H639" t="s">
        <v>28</v>
      </c>
      <c r="I639" t="s">
        <v>28</v>
      </c>
      <c r="J639" t="s">
        <v>28</v>
      </c>
      <c r="K639" t="s">
        <v>28</v>
      </c>
      <c r="L639" t="s">
        <v>46</v>
      </c>
      <c r="N639" t="s">
        <v>2640</v>
      </c>
      <c r="O639" t="s">
        <v>38</v>
      </c>
      <c r="P639" t="s">
        <v>49</v>
      </c>
      <c r="Q639" t="s">
        <v>38</v>
      </c>
      <c r="R639" t="s">
        <v>2796</v>
      </c>
      <c r="S639" t="s">
        <v>49</v>
      </c>
      <c r="T639" t="s">
        <v>2244</v>
      </c>
      <c r="U639" t="s">
        <v>2175</v>
      </c>
      <c r="V639" t="s">
        <v>53</v>
      </c>
      <c r="W639" t="s">
        <v>3120</v>
      </c>
      <c r="X639" t="s">
        <v>1030</v>
      </c>
      <c r="Y639" t="s">
        <v>3121</v>
      </c>
      <c r="Z639" t="s">
        <v>91</v>
      </c>
    </row>
    <row r="640" spans="1:26" ht="12.75" customHeight="1" x14ac:dyDescent="0.35">
      <c r="A640">
        <v>639</v>
      </c>
      <c r="B640">
        <v>45887.576403148152</v>
      </c>
      <c r="D640" t="s">
        <v>3122</v>
      </c>
      <c r="E640" t="s">
        <v>2591</v>
      </c>
      <c r="F640" t="s">
        <v>33</v>
      </c>
      <c r="G640" t="s">
        <v>29</v>
      </c>
      <c r="H640" t="s">
        <v>33</v>
      </c>
      <c r="I640" t="s">
        <v>34</v>
      </c>
      <c r="J640" t="s">
        <v>34</v>
      </c>
      <c r="K640" t="s">
        <v>74</v>
      </c>
      <c r="L640" t="s">
        <v>36</v>
      </c>
      <c r="N640" t="s">
        <v>2635</v>
      </c>
      <c r="O640" t="s">
        <v>49</v>
      </c>
      <c r="P640" t="s">
        <v>48</v>
      </c>
      <c r="Q640" t="s">
        <v>49</v>
      </c>
      <c r="R640" t="s">
        <v>1951</v>
      </c>
      <c r="S640" t="s">
        <v>48</v>
      </c>
      <c r="T640" t="s">
        <v>1952</v>
      </c>
      <c r="U640" t="s">
        <v>1976</v>
      </c>
      <c r="V640" t="s">
        <v>53</v>
      </c>
      <c r="W640" t="s">
        <v>3123</v>
      </c>
      <c r="X640" t="s">
        <v>118</v>
      </c>
      <c r="Y640" t="s">
        <v>3124</v>
      </c>
      <c r="Z640" t="s">
        <v>91</v>
      </c>
    </row>
    <row r="641" spans="1:26" ht="12.75" customHeight="1" x14ac:dyDescent="0.35">
      <c r="A641">
        <v>640</v>
      </c>
      <c r="B641">
        <v>45887.57805048611</v>
      </c>
      <c r="D641" t="s">
        <v>3125</v>
      </c>
      <c r="E641" t="s">
        <v>1875</v>
      </c>
      <c r="F641" t="s">
        <v>44</v>
      </c>
      <c r="G641" t="s">
        <v>60</v>
      </c>
      <c r="H641" t="s">
        <v>157</v>
      </c>
      <c r="I641" t="s">
        <v>28</v>
      </c>
      <c r="J641" t="s">
        <v>368</v>
      </c>
      <c r="K641" t="s">
        <v>94</v>
      </c>
      <c r="L641" t="s">
        <v>36</v>
      </c>
      <c r="N641" t="s">
        <v>2338</v>
      </c>
      <c r="O641" t="s">
        <v>49</v>
      </c>
      <c r="P641" t="s">
        <v>49</v>
      </c>
      <c r="Q641" t="s">
        <v>49</v>
      </c>
      <c r="R641" t="s">
        <v>3126</v>
      </c>
      <c r="S641" t="s">
        <v>49</v>
      </c>
      <c r="T641" t="s">
        <v>3127</v>
      </c>
      <c r="U641" t="s">
        <v>3128</v>
      </c>
      <c r="V641" t="s">
        <v>53</v>
      </c>
      <c r="W641" t="s">
        <v>3129</v>
      </c>
      <c r="X641" t="s">
        <v>118</v>
      </c>
      <c r="Y641" t="s">
        <v>3130</v>
      </c>
      <c r="Z641" t="s">
        <v>91</v>
      </c>
    </row>
    <row r="642" spans="1:26" ht="12.75" customHeight="1" x14ac:dyDescent="0.35">
      <c r="A642">
        <v>641</v>
      </c>
      <c r="B642">
        <v>45887.579300393518</v>
      </c>
      <c r="D642" t="s">
        <v>3131</v>
      </c>
      <c r="E642" t="s">
        <v>2591</v>
      </c>
      <c r="F642" t="s">
        <v>33</v>
      </c>
      <c r="G642" t="s">
        <v>33</v>
      </c>
      <c r="H642" t="s">
        <v>29</v>
      </c>
      <c r="I642" t="s">
        <v>173</v>
      </c>
      <c r="J642" t="s">
        <v>30</v>
      </c>
      <c r="K642" t="s">
        <v>35</v>
      </c>
      <c r="L642" t="s">
        <v>46</v>
      </c>
      <c r="N642" t="s">
        <v>2635</v>
      </c>
      <c r="O642" t="s">
        <v>49</v>
      </c>
      <c r="P642" t="s">
        <v>49</v>
      </c>
      <c r="Q642" t="s">
        <v>49</v>
      </c>
      <c r="R642" t="s">
        <v>1951</v>
      </c>
      <c r="S642" t="s">
        <v>49</v>
      </c>
      <c r="T642" t="s">
        <v>1952</v>
      </c>
      <c r="U642" t="s">
        <v>1976</v>
      </c>
      <c r="V642" t="s">
        <v>53</v>
      </c>
      <c r="W642" t="s">
        <v>3132</v>
      </c>
      <c r="X642" t="s">
        <v>118</v>
      </c>
      <c r="Y642" t="s">
        <v>3133</v>
      </c>
      <c r="Z642" t="s">
        <v>91</v>
      </c>
    </row>
    <row r="643" spans="1:26" ht="12.75" customHeight="1" x14ac:dyDescent="0.35">
      <c r="A643">
        <v>642</v>
      </c>
      <c r="B643">
        <v>45887.579541273153</v>
      </c>
      <c r="D643" t="s">
        <v>3134</v>
      </c>
      <c r="E643" t="s">
        <v>1899</v>
      </c>
      <c r="F643" t="s">
        <v>28</v>
      </c>
      <c r="G643" t="s">
        <v>28</v>
      </c>
      <c r="H643" t="s">
        <v>28</v>
      </c>
      <c r="I643" t="s">
        <v>28</v>
      </c>
      <c r="J643" t="s">
        <v>28</v>
      </c>
      <c r="K643" t="s">
        <v>28</v>
      </c>
      <c r="L643" t="s">
        <v>46</v>
      </c>
      <c r="N643" t="s">
        <v>2577</v>
      </c>
      <c r="O643" t="s">
        <v>48</v>
      </c>
      <c r="P643" t="s">
        <v>48</v>
      </c>
      <c r="Q643" t="s">
        <v>48</v>
      </c>
      <c r="R643" t="s">
        <v>2839</v>
      </c>
      <c r="S643" t="s">
        <v>48</v>
      </c>
      <c r="T643" t="s">
        <v>2705</v>
      </c>
      <c r="U643" t="s">
        <v>2840</v>
      </c>
      <c r="V643" t="s">
        <v>53</v>
      </c>
      <c r="W643" t="s">
        <v>3135</v>
      </c>
      <c r="X643" t="s">
        <v>1030</v>
      </c>
      <c r="Y643" t="s">
        <v>3136</v>
      </c>
      <c r="Z643" t="s">
        <v>91</v>
      </c>
    </row>
    <row r="644" spans="1:26" ht="12.75" customHeight="1" x14ac:dyDescent="0.35">
      <c r="A644">
        <v>643</v>
      </c>
      <c r="B644">
        <v>45887.582755451389</v>
      </c>
      <c r="D644" t="s">
        <v>3137</v>
      </c>
      <c r="E644" t="s">
        <v>1875</v>
      </c>
      <c r="F644" t="s">
        <v>377</v>
      </c>
      <c r="G644" t="s">
        <v>60</v>
      </c>
      <c r="H644" t="s">
        <v>157</v>
      </c>
      <c r="I644" t="s">
        <v>103</v>
      </c>
      <c r="J644" t="s">
        <v>173</v>
      </c>
      <c r="K644" t="s">
        <v>368</v>
      </c>
      <c r="L644" t="s">
        <v>46</v>
      </c>
      <c r="N644" t="s">
        <v>2338</v>
      </c>
      <c r="O644" t="s">
        <v>49</v>
      </c>
      <c r="P644" t="s">
        <v>49</v>
      </c>
      <c r="Q644" t="s">
        <v>49</v>
      </c>
      <c r="R644" t="s">
        <v>3138</v>
      </c>
      <c r="S644" t="s">
        <v>49</v>
      </c>
      <c r="T644" t="s">
        <v>3139</v>
      </c>
      <c r="U644" t="s">
        <v>3140</v>
      </c>
      <c r="V644" t="s">
        <v>53</v>
      </c>
      <c r="W644" t="s">
        <v>3141</v>
      </c>
      <c r="X644" t="s">
        <v>118</v>
      </c>
      <c r="Y644" t="s">
        <v>3142</v>
      </c>
      <c r="Z644" t="s">
        <v>91</v>
      </c>
    </row>
    <row r="645" spans="1:26" ht="12.75" customHeight="1" x14ac:dyDescent="0.35">
      <c r="A645">
        <v>644</v>
      </c>
      <c r="B645">
        <v>45887.58310207176</v>
      </c>
      <c r="D645" t="s">
        <v>3143</v>
      </c>
      <c r="E645" t="s">
        <v>1899</v>
      </c>
      <c r="F645" t="s">
        <v>28</v>
      </c>
      <c r="G645" t="s">
        <v>28</v>
      </c>
      <c r="H645" t="s">
        <v>28</v>
      </c>
      <c r="I645" t="s">
        <v>28</v>
      </c>
      <c r="J645" t="s">
        <v>28</v>
      </c>
      <c r="K645" t="s">
        <v>28</v>
      </c>
      <c r="L645" t="s">
        <v>36</v>
      </c>
      <c r="N645" t="s">
        <v>2540</v>
      </c>
      <c r="O645" t="s">
        <v>48</v>
      </c>
      <c r="P645" t="s">
        <v>48</v>
      </c>
      <c r="Q645" t="s">
        <v>48</v>
      </c>
      <c r="R645" t="s">
        <v>2839</v>
      </c>
      <c r="S645" t="s">
        <v>48</v>
      </c>
      <c r="T645" t="s">
        <v>2705</v>
      </c>
      <c r="U645" t="s">
        <v>2840</v>
      </c>
      <c r="V645" t="s">
        <v>53</v>
      </c>
      <c r="W645" t="s">
        <v>3144</v>
      </c>
      <c r="X645" t="s">
        <v>1030</v>
      </c>
      <c r="Y645" t="s">
        <v>3145</v>
      </c>
      <c r="Z645" t="s">
        <v>91</v>
      </c>
    </row>
    <row r="646" spans="1:26" ht="12.75" customHeight="1" x14ac:dyDescent="0.35">
      <c r="A646">
        <v>645</v>
      </c>
      <c r="B646">
        <v>45887.58550119213</v>
      </c>
      <c r="D646" t="s">
        <v>3146</v>
      </c>
      <c r="E646" t="s">
        <v>2155</v>
      </c>
      <c r="F646" t="s">
        <v>28</v>
      </c>
      <c r="G646" t="s">
        <v>28</v>
      </c>
      <c r="H646" t="s">
        <v>28</v>
      </c>
      <c r="I646" t="s">
        <v>28</v>
      </c>
      <c r="J646" t="s">
        <v>28</v>
      </c>
      <c r="K646" t="s">
        <v>28</v>
      </c>
      <c r="L646" t="s">
        <v>46</v>
      </c>
      <c r="N646" t="s">
        <v>2592</v>
      </c>
      <c r="O646" t="s">
        <v>49</v>
      </c>
      <c r="P646" t="s">
        <v>49</v>
      </c>
      <c r="Q646" t="s">
        <v>49</v>
      </c>
      <c r="R646" t="s">
        <v>2253</v>
      </c>
      <c r="S646" t="s">
        <v>49</v>
      </c>
      <c r="T646" t="s">
        <v>2244</v>
      </c>
      <c r="U646" t="s">
        <v>2461</v>
      </c>
      <c r="V646" t="s">
        <v>53</v>
      </c>
      <c r="W646" t="s">
        <v>3147</v>
      </c>
      <c r="X646" t="s">
        <v>1030</v>
      </c>
      <c r="Y646" t="s">
        <v>3148</v>
      </c>
      <c r="Z646" t="s">
        <v>91</v>
      </c>
    </row>
    <row r="647" spans="1:26" ht="12.75" customHeight="1" x14ac:dyDescent="0.35">
      <c r="A647">
        <v>646</v>
      </c>
      <c r="B647">
        <v>45887.586816828705</v>
      </c>
      <c r="D647" t="s">
        <v>3149</v>
      </c>
      <c r="E647" t="s">
        <v>1899</v>
      </c>
      <c r="F647" t="s">
        <v>28</v>
      </c>
      <c r="G647" t="s">
        <v>28</v>
      </c>
      <c r="H647" t="s">
        <v>28</v>
      </c>
      <c r="I647" t="s">
        <v>28</v>
      </c>
      <c r="J647" t="s">
        <v>28</v>
      </c>
      <c r="K647" t="s">
        <v>28</v>
      </c>
      <c r="L647" t="s">
        <v>46</v>
      </c>
      <c r="N647" t="s">
        <v>2540</v>
      </c>
      <c r="O647" t="s">
        <v>48</v>
      </c>
      <c r="P647" t="s">
        <v>48</v>
      </c>
      <c r="Q647" t="s">
        <v>48</v>
      </c>
      <c r="R647" t="s">
        <v>2839</v>
      </c>
      <c r="S647" t="s">
        <v>48</v>
      </c>
      <c r="T647" t="s">
        <v>2705</v>
      </c>
      <c r="U647" t="s">
        <v>2840</v>
      </c>
      <c r="V647" t="s">
        <v>53</v>
      </c>
      <c r="W647" t="s">
        <v>3150</v>
      </c>
      <c r="X647" t="s">
        <v>1030</v>
      </c>
      <c r="Y647" t="s">
        <v>3151</v>
      </c>
      <c r="Z647" t="s">
        <v>129</v>
      </c>
    </row>
    <row r="648" spans="1:26" ht="12.75" customHeight="1" x14ac:dyDescent="0.35">
      <c r="A648">
        <v>647</v>
      </c>
      <c r="B648">
        <v>45887.587830925928</v>
      </c>
      <c r="D648" t="s">
        <v>3152</v>
      </c>
      <c r="E648" t="s">
        <v>1875</v>
      </c>
      <c r="F648" t="s">
        <v>28</v>
      </c>
      <c r="G648" t="s">
        <v>44</v>
      </c>
      <c r="H648" t="s">
        <v>28</v>
      </c>
      <c r="I648" t="s">
        <v>173</v>
      </c>
      <c r="J648" t="s">
        <v>28</v>
      </c>
      <c r="K648" t="s">
        <v>45</v>
      </c>
      <c r="L648" t="s">
        <v>46</v>
      </c>
      <c r="N648" t="s">
        <v>2525</v>
      </c>
      <c r="O648" t="s">
        <v>49</v>
      </c>
      <c r="P648" t="s">
        <v>49</v>
      </c>
      <c r="Q648" t="s">
        <v>49</v>
      </c>
      <c r="R648" t="s">
        <v>3153</v>
      </c>
      <c r="S648" t="s">
        <v>49</v>
      </c>
      <c r="T648" t="s">
        <v>3154</v>
      </c>
      <c r="U648" t="s">
        <v>3155</v>
      </c>
      <c r="V648" t="s">
        <v>53</v>
      </c>
      <c r="W648" t="s">
        <v>3156</v>
      </c>
      <c r="X648" t="s">
        <v>118</v>
      </c>
      <c r="Y648" t="s">
        <v>3092</v>
      </c>
      <c r="Z648" t="s">
        <v>91</v>
      </c>
    </row>
    <row r="649" spans="1:26" ht="12.75" customHeight="1" x14ac:dyDescent="0.35">
      <c r="A649">
        <v>648</v>
      </c>
      <c r="B649">
        <v>45887.590793935189</v>
      </c>
      <c r="D649" t="s">
        <v>3157</v>
      </c>
      <c r="E649" t="s">
        <v>1899</v>
      </c>
      <c r="F649" t="s">
        <v>28</v>
      </c>
      <c r="G649" t="s">
        <v>28</v>
      </c>
      <c r="H649" t="s">
        <v>28</v>
      </c>
      <c r="I649" t="s">
        <v>28</v>
      </c>
      <c r="J649" t="s">
        <v>28</v>
      </c>
      <c r="K649" t="s">
        <v>28</v>
      </c>
      <c r="L649" t="s">
        <v>36</v>
      </c>
      <c r="N649" t="s">
        <v>2391</v>
      </c>
      <c r="O649" t="s">
        <v>48</v>
      </c>
      <c r="P649" t="s">
        <v>48</v>
      </c>
      <c r="Q649" t="s">
        <v>48</v>
      </c>
      <c r="R649" t="s">
        <v>2839</v>
      </c>
      <c r="S649" t="s">
        <v>48</v>
      </c>
      <c r="T649" t="s">
        <v>2705</v>
      </c>
      <c r="U649" t="s">
        <v>2840</v>
      </c>
      <c r="V649" t="s">
        <v>53</v>
      </c>
      <c r="W649" t="s">
        <v>3158</v>
      </c>
      <c r="X649" t="s">
        <v>1030</v>
      </c>
      <c r="Y649" t="s">
        <v>3159</v>
      </c>
      <c r="Z649" t="s">
        <v>91</v>
      </c>
    </row>
    <row r="650" spans="1:26" ht="12.75" customHeight="1" x14ac:dyDescent="0.35">
      <c r="A650">
        <v>649</v>
      </c>
      <c r="B650">
        <v>45887.598944942132</v>
      </c>
      <c r="D650" t="s">
        <v>3160</v>
      </c>
      <c r="E650" t="s">
        <v>1899</v>
      </c>
      <c r="F650" t="s">
        <v>28</v>
      </c>
      <c r="G650" t="s">
        <v>44</v>
      </c>
      <c r="H650" t="s">
        <v>157</v>
      </c>
      <c r="I650" t="s">
        <v>28</v>
      </c>
      <c r="J650" t="s">
        <v>28</v>
      </c>
      <c r="K650" t="s">
        <v>28</v>
      </c>
      <c r="L650" t="s">
        <v>46</v>
      </c>
      <c r="N650" t="s">
        <v>2391</v>
      </c>
      <c r="O650" t="s">
        <v>48</v>
      </c>
      <c r="P650" t="s">
        <v>48</v>
      </c>
      <c r="Q650" t="s">
        <v>48</v>
      </c>
      <c r="R650" t="s">
        <v>2839</v>
      </c>
      <c r="S650" t="s">
        <v>48</v>
      </c>
      <c r="T650" t="s">
        <v>2705</v>
      </c>
      <c r="U650" t="s">
        <v>2840</v>
      </c>
      <c r="V650" t="s">
        <v>53</v>
      </c>
      <c r="W650" t="s">
        <v>3161</v>
      </c>
      <c r="X650" t="s">
        <v>1030</v>
      </c>
      <c r="Y650" t="s">
        <v>3162</v>
      </c>
      <c r="Z650" t="s">
        <v>91</v>
      </c>
    </row>
    <row r="651" spans="1:26" ht="12.75" customHeight="1" x14ac:dyDescent="0.35">
      <c r="A651">
        <v>650</v>
      </c>
      <c r="B651">
        <v>45887.604883159722</v>
      </c>
      <c r="D651" t="s">
        <v>3163</v>
      </c>
      <c r="E651" t="s">
        <v>1899</v>
      </c>
      <c r="F651" t="s">
        <v>28</v>
      </c>
      <c r="G651" t="s">
        <v>28</v>
      </c>
      <c r="H651" t="s">
        <v>28</v>
      </c>
      <c r="I651" t="s">
        <v>28</v>
      </c>
      <c r="J651" t="s">
        <v>28</v>
      </c>
      <c r="K651" t="s">
        <v>28</v>
      </c>
      <c r="L651" t="s">
        <v>46</v>
      </c>
      <c r="N651" t="s">
        <v>2391</v>
      </c>
      <c r="O651" t="s">
        <v>48</v>
      </c>
      <c r="P651" t="s">
        <v>48</v>
      </c>
      <c r="Q651" t="s">
        <v>48</v>
      </c>
      <c r="R651" t="s">
        <v>2839</v>
      </c>
      <c r="S651" t="s">
        <v>48</v>
      </c>
      <c r="T651" t="s">
        <v>3164</v>
      </c>
      <c r="U651" t="s">
        <v>2840</v>
      </c>
      <c r="V651" t="s">
        <v>53</v>
      </c>
      <c r="W651" t="s">
        <v>3165</v>
      </c>
      <c r="X651" t="s">
        <v>1030</v>
      </c>
      <c r="Y651" t="s">
        <v>3166</v>
      </c>
      <c r="Z651" t="s">
        <v>129</v>
      </c>
    </row>
    <row r="652" spans="1:26" ht="12.75" customHeight="1" x14ac:dyDescent="0.35">
      <c r="A652">
        <v>651</v>
      </c>
      <c r="B652">
        <v>45887.61000320602</v>
      </c>
      <c r="D652" t="s">
        <v>3167</v>
      </c>
      <c r="E652" t="s">
        <v>1899</v>
      </c>
      <c r="F652" t="s">
        <v>28</v>
      </c>
      <c r="G652" t="s">
        <v>28</v>
      </c>
      <c r="H652" t="s">
        <v>28</v>
      </c>
      <c r="I652" t="s">
        <v>28</v>
      </c>
      <c r="J652" t="s">
        <v>28</v>
      </c>
      <c r="K652" t="s">
        <v>28</v>
      </c>
      <c r="L652" t="s">
        <v>36</v>
      </c>
      <c r="N652" t="s">
        <v>2391</v>
      </c>
      <c r="O652" t="s">
        <v>48</v>
      </c>
      <c r="P652" t="s">
        <v>48</v>
      </c>
      <c r="Q652" t="s">
        <v>48</v>
      </c>
      <c r="R652" t="s">
        <v>2839</v>
      </c>
      <c r="S652" t="s">
        <v>48</v>
      </c>
      <c r="T652" t="s">
        <v>3164</v>
      </c>
      <c r="U652" t="s">
        <v>2840</v>
      </c>
      <c r="V652" t="s">
        <v>53</v>
      </c>
      <c r="W652" t="s">
        <v>3168</v>
      </c>
      <c r="X652" t="s">
        <v>1030</v>
      </c>
      <c r="Y652" t="s">
        <v>3169</v>
      </c>
      <c r="Z652" t="s">
        <v>91</v>
      </c>
    </row>
    <row r="653" spans="1:26" ht="12.75" customHeight="1" x14ac:dyDescent="0.35">
      <c r="A653">
        <v>652</v>
      </c>
      <c r="B653">
        <v>45887.614906423609</v>
      </c>
      <c r="D653" t="s">
        <v>3170</v>
      </c>
      <c r="E653" t="s">
        <v>1899</v>
      </c>
      <c r="F653" t="s">
        <v>28</v>
      </c>
      <c r="G653" t="s">
        <v>28</v>
      </c>
      <c r="H653" t="s">
        <v>28</v>
      </c>
      <c r="I653" t="s">
        <v>28</v>
      </c>
      <c r="J653" t="s">
        <v>28</v>
      </c>
      <c r="K653" t="s">
        <v>28</v>
      </c>
      <c r="L653" t="s">
        <v>46</v>
      </c>
      <c r="N653" t="s">
        <v>3171</v>
      </c>
      <c r="O653" t="s">
        <v>48</v>
      </c>
      <c r="P653" t="s">
        <v>48</v>
      </c>
      <c r="Q653" t="s">
        <v>48</v>
      </c>
      <c r="R653" t="s">
        <v>2839</v>
      </c>
      <c r="S653" t="s">
        <v>48</v>
      </c>
      <c r="T653" t="s">
        <v>2705</v>
      </c>
      <c r="U653" t="s">
        <v>2840</v>
      </c>
      <c r="V653" t="s">
        <v>53</v>
      </c>
      <c r="W653" t="s">
        <v>3172</v>
      </c>
      <c r="X653" t="s">
        <v>1030</v>
      </c>
      <c r="Y653" t="s">
        <v>3173</v>
      </c>
      <c r="Z653" t="s">
        <v>129</v>
      </c>
    </row>
    <row r="654" spans="1:26" ht="12.75" customHeight="1" x14ac:dyDescent="0.35">
      <c r="A654">
        <v>653</v>
      </c>
      <c r="B654">
        <v>45887.619859525468</v>
      </c>
      <c r="D654" t="s">
        <v>3174</v>
      </c>
      <c r="E654" t="s">
        <v>2155</v>
      </c>
      <c r="F654" t="s">
        <v>28</v>
      </c>
      <c r="G654" t="s">
        <v>28</v>
      </c>
      <c r="H654" t="s">
        <v>28</v>
      </c>
      <c r="I654" t="s">
        <v>173</v>
      </c>
      <c r="J654" t="s">
        <v>28</v>
      </c>
      <c r="K654" t="s">
        <v>73</v>
      </c>
      <c r="L654" t="s">
        <v>36</v>
      </c>
      <c r="N654" t="s">
        <v>2592</v>
      </c>
      <c r="O654" t="s">
        <v>49</v>
      </c>
      <c r="Q654" t="s">
        <v>38</v>
      </c>
      <c r="R654" t="s">
        <v>2796</v>
      </c>
      <c r="S654" t="s">
        <v>48</v>
      </c>
      <c r="T654" t="s">
        <v>2636</v>
      </c>
      <c r="U654" t="s">
        <v>2175</v>
      </c>
      <c r="V654" t="s">
        <v>53</v>
      </c>
      <c r="W654" t="s">
        <v>3175</v>
      </c>
      <c r="X654" t="s">
        <v>1030</v>
      </c>
      <c r="Y654" t="s">
        <v>3176</v>
      </c>
      <c r="Z654" t="s">
        <v>91</v>
      </c>
    </row>
    <row r="655" spans="1:26" ht="12.75" customHeight="1" x14ac:dyDescent="0.35">
      <c r="A655">
        <v>654</v>
      </c>
      <c r="B655">
        <v>45887.625494097221</v>
      </c>
      <c r="D655" t="s">
        <v>3177</v>
      </c>
      <c r="E655" t="s">
        <v>2155</v>
      </c>
      <c r="F655" t="s">
        <v>28</v>
      </c>
      <c r="G655" t="s">
        <v>28</v>
      </c>
      <c r="H655" t="s">
        <v>28</v>
      </c>
      <c r="I655" t="s">
        <v>72</v>
      </c>
      <c r="J655" t="s">
        <v>368</v>
      </c>
      <c r="K655" t="s">
        <v>28</v>
      </c>
      <c r="L655" t="s">
        <v>36</v>
      </c>
      <c r="N655" t="s">
        <v>2592</v>
      </c>
      <c r="O655" t="s">
        <v>49</v>
      </c>
      <c r="P655" t="s">
        <v>38</v>
      </c>
      <c r="Q655" t="s">
        <v>48</v>
      </c>
      <c r="R655" t="s">
        <v>2253</v>
      </c>
      <c r="S655" t="s">
        <v>49</v>
      </c>
      <c r="T655" t="s">
        <v>2244</v>
      </c>
      <c r="U655" t="s">
        <v>2175</v>
      </c>
      <c r="V655" t="s">
        <v>53</v>
      </c>
      <c r="W655" t="s">
        <v>3178</v>
      </c>
      <c r="X655" t="s">
        <v>1030</v>
      </c>
      <c r="Y655" t="s">
        <v>3179</v>
      </c>
      <c r="Z655" t="s">
        <v>91</v>
      </c>
    </row>
    <row r="656" spans="1:26" ht="12.75" customHeight="1" x14ac:dyDescent="0.35">
      <c r="A656">
        <v>655</v>
      </c>
      <c r="B656">
        <v>45887.62621076389</v>
      </c>
      <c r="D656" t="s">
        <v>3180</v>
      </c>
      <c r="E656" t="s">
        <v>1899</v>
      </c>
      <c r="F656" t="s">
        <v>377</v>
      </c>
      <c r="G656" t="s">
        <v>44</v>
      </c>
      <c r="H656" t="s">
        <v>284</v>
      </c>
      <c r="I656" t="s">
        <v>103</v>
      </c>
      <c r="J656" t="s">
        <v>28</v>
      </c>
      <c r="K656" t="s">
        <v>45</v>
      </c>
      <c r="L656" t="s">
        <v>36</v>
      </c>
      <c r="N656" t="s">
        <v>2385</v>
      </c>
      <c r="O656" t="s">
        <v>48</v>
      </c>
      <c r="P656" t="s">
        <v>48</v>
      </c>
      <c r="Q656" t="s">
        <v>48</v>
      </c>
      <c r="R656" t="s">
        <v>2704</v>
      </c>
      <c r="S656" t="s">
        <v>48</v>
      </c>
      <c r="T656" t="s">
        <v>2705</v>
      </c>
      <c r="U656" t="s">
        <v>2706</v>
      </c>
      <c r="V656" t="s">
        <v>53</v>
      </c>
      <c r="W656" t="s">
        <v>3181</v>
      </c>
      <c r="X656" t="s">
        <v>1030</v>
      </c>
      <c r="Y656" t="s">
        <v>3182</v>
      </c>
      <c r="Z656" t="s">
        <v>91</v>
      </c>
    </row>
    <row r="657" spans="1:26" ht="12.75" customHeight="1" x14ac:dyDescent="0.35">
      <c r="A657">
        <v>656</v>
      </c>
      <c r="B657">
        <v>45887.629993379625</v>
      </c>
      <c r="D657" t="s">
        <v>3183</v>
      </c>
      <c r="E657" t="s">
        <v>1899</v>
      </c>
      <c r="F657" t="s">
        <v>60</v>
      </c>
      <c r="G657" t="s">
        <v>158</v>
      </c>
      <c r="H657" t="s">
        <v>284</v>
      </c>
      <c r="I657" t="s">
        <v>103</v>
      </c>
      <c r="J657" t="s">
        <v>28</v>
      </c>
      <c r="K657" t="s">
        <v>45</v>
      </c>
      <c r="L657" t="s">
        <v>46</v>
      </c>
      <c r="N657" t="s">
        <v>2369</v>
      </c>
      <c r="O657" t="s">
        <v>48</v>
      </c>
      <c r="P657" t="s">
        <v>48</v>
      </c>
      <c r="Q657" t="s">
        <v>48</v>
      </c>
      <c r="R657" t="s">
        <v>2839</v>
      </c>
      <c r="S657" t="s">
        <v>48</v>
      </c>
      <c r="T657" t="s">
        <v>2705</v>
      </c>
      <c r="U657" t="s">
        <v>2706</v>
      </c>
      <c r="V657" t="s">
        <v>53</v>
      </c>
      <c r="W657" t="s">
        <v>3184</v>
      </c>
      <c r="X657" t="s">
        <v>1030</v>
      </c>
      <c r="Y657" t="s">
        <v>3185</v>
      </c>
      <c r="Z657" t="s">
        <v>129</v>
      </c>
    </row>
    <row r="658" spans="1:26" ht="12.75" customHeight="1" x14ac:dyDescent="0.35">
      <c r="A658">
        <v>657</v>
      </c>
      <c r="B658">
        <v>45887.631283032402</v>
      </c>
      <c r="D658" t="s">
        <v>2194</v>
      </c>
      <c r="E658" t="s">
        <v>2740</v>
      </c>
      <c r="F658" t="s">
        <v>60</v>
      </c>
      <c r="G658" t="s">
        <v>28</v>
      </c>
      <c r="H658" t="s">
        <v>284</v>
      </c>
      <c r="I658" t="s">
        <v>28</v>
      </c>
      <c r="J658" t="s">
        <v>368</v>
      </c>
      <c r="K658" t="s">
        <v>61</v>
      </c>
      <c r="L658" t="s">
        <v>46</v>
      </c>
      <c r="N658" t="s">
        <v>2071</v>
      </c>
      <c r="O658" t="s">
        <v>39</v>
      </c>
      <c r="P658" t="s">
        <v>49</v>
      </c>
      <c r="Q658" t="s">
        <v>49</v>
      </c>
      <c r="R658" t="s">
        <v>3186</v>
      </c>
      <c r="S658" t="s">
        <v>49</v>
      </c>
      <c r="V658" t="s">
        <v>53</v>
      </c>
      <c r="W658" t="s">
        <v>2196</v>
      </c>
      <c r="X658" t="s">
        <v>2077</v>
      </c>
      <c r="Y658" t="s">
        <v>2197</v>
      </c>
      <c r="Z658" t="s">
        <v>170</v>
      </c>
    </row>
    <row r="659" spans="1:26" ht="12.75" customHeight="1" x14ac:dyDescent="0.35">
      <c r="A659">
        <v>658</v>
      </c>
      <c r="B659">
        <v>45887.633403958331</v>
      </c>
      <c r="D659" t="s">
        <v>3187</v>
      </c>
      <c r="E659" t="s">
        <v>1899</v>
      </c>
      <c r="F659" t="s">
        <v>44</v>
      </c>
      <c r="G659" t="s">
        <v>197</v>
      </c>
      <c r="H659" t="s">
        <v>28</v>
      </c>
      <c r="I659" t="s">
        <v>103</v>
      </c>
      <c r="J659" t="s">
        <v>368</v>
      </c>
      <c r="K659" t="s">
        <v>28</v>
      </c>
      <c r="L659" t="s">
        <v>46</v>
      </c>
      <c r="N659" t="s">
        <v>2369</v>
      </c>
      <c r="O659" t="s">
        <v>48</v>
      </c>
      <c r="P659" t="s">
        <v>48</v>
      </c>
      <c r="Q659" t="s">
        <v>48</v>
      </c>
      <c r="R659" t="s">
        <v>2704</v>
      </c>
      <c r="S659" t="s">
        <v>48</v>
      </c>
      <c r="T659" t="s">
        <v>2705</v>
      </c>
      <c r="U659" t="s">
        <v>2706</v>
      </c>
      <c r="V659" t="s">
        <v>53</v>
      </c>
      <c r="W659" t="s">
        <v>3188</v>
      </c>
      <c r="X659" t="s">
        <v>1030</v>
      </c>
      <c r="Y659" t="s">
        <v>3189</v>
      </c>
      <c r="Z659" t="s">
        <v>91</v>
      </c>
    </row>
    <row r="660" spans="1:26" ht="12.75" customHeight="1" x14ac:dyDescent="0.35">
      <c r="A660">
        <v>659</v>
      </c>
      <c r="B660">
        <v>45887.636929953704</v>
      </c>
      <c r="D660" t="s">
        <v>3190</v>
      </c>
      <c r="E660" t="s">
        <v>32</v>
      </c>
      <c r="F660" t="s">
        <v>28</v>
      </c>
      <c r="G660" t="s">
        <v>44</v>
      </c>
      <c r="H660" t="s">
        <v>157</v>
      </c>
      <c r="I660" t="s">
        <v>72</v>
      </c>
      <c r="J660" t="s">
        <v>103</v>
      </c>
      <c r="K660" t="s">
        <v>61</v>
      </c>
      <c r="L660" t="s">
        <v>46</v>
      </c>
      <c r="N660" t="s">
        <v>2071</v>
      </c>
      <c r="O660" t="s">
        <v>38</v>
      </c>
      <c r="P660" t="s">
        <v>49</v>
      </c>
      <c r="Q660" t="s">
        <v>48</v>
      </c>
      <c r="R660" t="s">
        <v>3191</v>
      </c>
      <c r="S660" t="s">
        <v>48</v>
      </c>
      <c r="V660" t="s">
        <v>53</v>
      </c>
      <c r="W660" t="s">
        <v>3192</v>
      </c>
      <c r="X660" t="s">
        <v>2077</v>
      </c>
      <c r="Y660" t="s">
        <v>3193</v>
      </c>
      <c r="Z660" t="s">
        <v>91</v>
      </c>
    </row>
    <row r="661" spans="1:26" ht="12.75" customHeight="1" x14ac:dyDescent="0.35">
      <c r="A661">
        <v>660</v>
      </c>
      <c r="B661">
        <v>45887.637202164347</v>
      </c>
      <c r="D661" t="s">
        <v>3194</v>
      </c>
      <c r="E661" t="s">
        <v>1899</v>
      </c>
      <c r="F661" t="s">
        <v>28</v>
      </c>
      <c r="G661" t="s">
        <v>44</v>
      </c>
      <c r="H661" t="s">
        <v>284</v>
      </c>
      <c r="I661" t="s">
        <v>103</v>
      </c>
      <c r="J661" t="s">
        <v>45</v>
      </c>
      <c r="K661" t="s">
        <v>28</v>
      </c>
      <c r="L661" t="s">
        <v>46</v>
      </c>
      <c r="N661" t="s">
        <v>2369</v>
      </c>
      <c r="O661" t="s">
        <v>48</v>
      </c>
      <c r="P661" t="s">
        <v>48</v>
      </c>
      <c r="Q661" t="s">
        <v>48</v>
      </c>
      <c r="R661" t="s">
        <v>2839</v>
      </c>
      <c r="S661" t="s">
        <v>48</v>
      </c>
      <c r="T661" t="s">
        <v>2705</v>
      </c>
      <c r="U661" t="s">
        <v>2706</v>
      </c>
      <c r="V661" t="s">
        <v>53</v>
      </c>
      <c r="W661" t="s">
        <v>3195</v>
      </c>
      <c r="X661" t="s">
        <v>1030</v>
      </c>
      <c r="Y661" t="s">
        <v>3196</v>
      </c>
      <c r="Z661" t="s">
        <v>91</v>
      </c>
    </row>
    <row r="662" spans="1:26" ht="12.75" customHeight="1" x14ac:dyDescent="0.35">
      <c r="A662">
        <v>661</v>
      </c>
      <c r="B662">
        <v>45887.641435636571</v>
      </c>
      <c r="D662" t="s">
        <v>3197</v>
      </c>
      <c r="E662" t="s">
        <v>1899</v>
      </c>
      <c r="F662" t="s">
        <v>28</v>
      </c>
      <c r="G662" t="s">
        <v>28</v>
      </c>
      <c r="H662" t="s">
        <v>28</v>
      </c>
      <c r="I662" t="s">
        <v>28</v>
      </c>
      <c r="J662" t="s">
        <v>28</v>
      </c>
      <c r="K662" t="s">
        <v>28</v>
      </c>
      <c r="L662" t="s">
        <v>36</v>
      </c>
      <c r="N662" t="s">
        <v>2356</v>
      </c>
      <c r="O662" t="s">
        <v>48</v>
      </c>
      <c r="P662" t="s">
        <v>48</v>
      </c>
      <c r="Q662" t="s">
        <v>49</v>
      </c>
      <c r="R662" t="s">
        <v>2704</v>
      </c>
      <c r="S662" t="s">
        <v>48</v>
      </c>
      <c r="T662" t="s">
        <v>2705</v>
      </c>
      <c r="U662" t="s">
        <v>2706</v>
      </c>
      <c r="V662" t="s">
        <v>53</v>
      </c>
      <c r="W662" t="s">
        <v>3198</v>
      </c>
      <c r="X662" t="s">
        <v>1030</v>
      </c>
      <c r="Y662" t="s">
        <v>3199</v>
      </c>
      <c r="Z662" t="s">
        <v>91</v>
      </c>
    </row>
    <row r="663" spans="1:26" ht="12.75" customHeight="1" x14ac:dyDescent="0.35">
      <c r="A663">
        <v>662</v>
      </c>
      <c r="B663">
        <v>45887.642028136572</v>
      </c>
      <c r="D663" t="s">
        <v>3200</v>
      </c>
      <c r="E663" t="s">
        <v>2055</v>
      </c>
      <c r="F663" t="s">
        <v>44</v>
      </c>
      <c r="G663" t="s">
        <v>44</v>
      </c>
      <c r="H663" t="s">
        <v>44</v>
      </c>
      <c r="I663" t="s">
        <v>28</v>
      </c>
      <c r="J663" t="s">
        <v>368</v>
      </c>
      <c r="K663" t="s">
        <v>28</v>
      </c>
      <c r="L663" t="s">
        <v>46</v>
      </c>
      <c r="N663" t="s">
        <v>3201</v>
      </c>
      <c r="O663" t="s">
        <v>48</v>
      </c>
      <c r="P663" t="s">
        <v>48</v>
      </c>
      <c r="Q663" t="s">
        <v>38</v>
      </c>
      <c r="R663" t="s">
        <v>2094</v>
      </c>
      <c r="S663" t="s">
        <v>38</v>
      </c>
      <c r="T663" t="s">
        <v>2095</v>
      </c>
      <c r="U663" t="s">
        <v>2096</v>
      </c>
      <c r="V663" t="s">
        <v>79</v>
      </c>
      <c r="W663" t="s">
        <v>3202</v>
      </c>
      <c r="X663" t="s">
        <v>2743</v>
      </c>
      <c r="Y663" t="s">
        <v>3203</v>
      </c>
      <c r="Z663" t="s">
        <v>91</v>
      </c>
    </row>
    <row r="664" spans="1:26" ht="12.75" customHeight="1" x14ac:dyDescent="0.35">
      <c r="A664">
        <v>663</v>
      </c>
      <c r="B664">
        <v>45887.646017800929</v>
      </c>
      <c r="D664" t="s">
        <v>3204</v>
      </c>
      <c r="E664" t="s">
        <v>32</v>
      </c>
      <c r="F664" t="s">
        <v>29</v>
      </c>
      <c r="G664" t="s">
        <v>44</v>
      </c>
      <c r="H664" t="s">
        <v>44</v>
      </c>
      <c r="I664" t="s">
        <v>103</v>
      </c>
      <c r="J664" t="s">
        <v>45</v>
      </c>
      <c r="K664" t="s">
        <v>368</v>
      </c>
      <c r="L664" t="s">
        <v>46</v>
      </c>
      <c r="N664" t="s">
        <v>2088</v>
      </c>
      <c r="O664" t="s">
        <v>48</v>
      </c>
      <c r="P664" t="s">
        <v>48</v>
      </c>
      <c r="Q664" t="s">
        <v>48</v>
      </c>
      <c r="R664" t="s">
        <v>3205</v>
      </c>
      <c r="S664" t="s">
        <v>48</v>
      </c>
      <c r="V664" t="s">
        <v>53</v>
      </c>
      <c r="W664" t="s">
        <v>3206</v>
      </c>
      <c r="X664" t="s">
        <v>2077</v>
      </c>
      <c r="Y664" t="s">
        <v>3207</v>
      </c>
      <c r="Z664" t="s">
        <v>170</v>
      </c>
    </row>
    <row r="665" spans="1:26" ht="12.75" customHeight="1" x14ac:dyDescent="0.35">
      <c r="A665">
        <v>664</v>
      </c>
      <c r="B665">
        <v>45887.646516666668</v>
      </c>
      <c r="D665" t="s">
        <v>3208</v>
      </c>
      <c r="E665" t="s">
        <v>2055</v>
      </c>
      <c r="F665" t="s">
        <v>44</v>
      </c>
      <c r="G665" t="s">
        <v>44</v>
      </c>
      <c r="H665" t="s">
        <v>60</v>
      </c>
      <c r="I665" t="s">
        <v>28</v>
      </c>
      <c r="J665" t="s">
        <v>28</v>
      </c>
      <c r="K665" t="s">
        <v>368</v>
      </c>
      <c r="L665" t="s">
        <v>46</v>
      </c>
      <c r="N665" t="s">
        <v>3209</v>
      </c>
      <c r="O665" t="s">
        <v>48</v>
      </c>
      <c r="P665" t="s">
        <v>48</v>
      </c>
      <c r="Q665" t="s">
        <v>38</v>
      </c>
      <c r="R665" t="s">
        <v>2094</v>
      </c>
      <c r="S665" t="s">
        <v>38</v>
      </c>
      <c r="T665" t="s">
        <v>2095</v>
      </c>
      <c r="U665" t="s">
        <v>2096</v>
      </c>
      <c r="V665" t="s">
        <v>79</v>
      </c>
      <c r="W665" t="s">
        <v>3210</v>
      </c>
      <c r="X665" t="s">
        <v>2743</v>
      </c>
      <c r="Y665" t="s">
        <v>3211</v>
      </c>
      <c r="Z665" t="s">
        <v>91</v>
      </c>
    </row>
    <row r="666" spans="1:26" ht="12.75" customHeight="1" x14ac:dyDescent="0.35">
      <c r="A666">
        <v>665</v>
      </c>
      <c r="B666">
        <v>45887.650238576389</v>
      </c>
      <c r="D666" t="s">
        <v>3212</v>
      </c>
      <c r="E666" t="s">
        <v>3213</v>
      </c>
      <c r="F666" t="s">
        <v>377</v>
      </c>
      <c r="G666" t="s">
        <v>44</v>
      </c>
      <c r="H666" t="s">
        <v>206</v>
      </c>
      <c r="I666" t="s">
        <v>34</v>
      </c>
      <c r="J666" t="s">
        <v>173</v>
      </c>
      <c r="K666" t="s">
        <v>45</v>
      </c>
      <c r="L666" t="s">
        <v>46</v>
      </c>
      <c r="N666" t="s">
        <v>2110</v>
      </c>
      <c r="O666" t="s">
        <v>49</v>
      </c>
      <c r="P666" t="s">
        <v>38</v>
      </c>
      <c r="Q666" t="s">
        <v>40</v>
      </c>
      <c r="R666" t="s">
        <v>3214</v>
      </c>
      <c r="S666" t="s">
        <v>48</v>
      </c>
      <c r="V666" t="s">
        <v>53</v>
      </c>
      <c r="W666" t="s">
        <v>3215</v>
      </c>
      <c r="X666" t="s">
        <v>2077</v>
      </c>
      <c r="Y666" t="s">
        <v>3216</v>
      </c>
      <c r="Z666" t="s">
        <v>91</v>
      </c>
    </row>
    <row r="667" spans="1:26" ht="12.75" customHeight="1" x14ac:dyDescent="0.35">
      <c r="A667">
        <v>666</v>
      </c>
      <c r="B667">
        <v>45887.650431377318</v>
      </c>
      <c r="D667" t="s">
        <v>3217</v>
      </c>
      <c r="E667" t="s">
        <v>2155</v>
      </c>
      <c r="F667" t="s">
        <v>60</v>
      </c>
      <c r="G667" t="s">
        <v>158</v>
      </c>
      <c r="H667" t="s">
        <v>28</v>
      </c>
      <c r="I667" t="s">
        <v>28</v>
      </c>
      <c r="J667" t="s">
        <v>28</v>
      </c>
      <c r="K667" t="s">
        <v>94</v>
      </c>
      <c r="L667" t="s">
        <v>46</v>
      </c>
      <c r="N667" t="s">
        <v>2577</v>
      </c>
      <c r="O667" t="s">
        <v>49</v>
      </c>
      <c r="P667" t="s">
        <v>49</v>
      </c>
      <c r="Q667" t="s">
        <v>49</v>
      </c>
      <c r="R667" t="s">
        <v>2195</v>
      </c>
      <c r="S667" t="s">
        <v>49</v>
      </c>
      <c r="T667" t="s">
        <v>2186</v>
      </c>
      <c r="U667" t="s">
        <v>2175</v>
      </c>
      <c r="V667" t="s">
        <v>53</v>
      </c>
      <c r="W667" t="s">
        <v>3218</v>
      </c>
      <c r="X667" t="s">
        <v>1030</v>
      </c>
      <c r="Y667" t="s">
        <v>3219</v>
      </c>
      <c r="Z667" t="s">
        <v>91</v>
      </c>
    </row>
    <row r="668" spans="1:26" ht="12.75" customHeight="1" x14ac:dyDescent="0.35">
      <c r="A668">
        <v>667</v>
      </c>
      <c r="B668">
        <v>45887.650873125</v>
      </c>
      <c r="D668" t="s">
        <v>3187</v>
      </c>
      <c r="E668" t="s">
        <v>2055</v>
      </c>
      <c r="F668" t="s">
        <v>44</v>
      </c>
      <c r="G668" t="s">
        <v>28</v>
      </c>
      <c r="H668" t="s">
        <v>60</v>
      </c>
      <c r="I668" t="s">
        <v>173</v>
      </c>
      <c r="J668" t="s">
        <v>28</v>
      </c>
      <c r="K668" t="s">
        <v>368</v>
      </c>
      <c r="L668" t="s">
        <v>46</v>
      </c>
      <c r="N668" t="s">
        <v>3220</v>
      </c>
      <c r="O668" t="s">
        <v>48</v>
      </c>
      <c r="P668" t="s">
        <v>48</v>
      </c>
      <c r="Q668" t="s">
        <v>49</v>
      </c>
      <c r="R668" t="s">
        <v>3221</v>
      </c>
      <c r="S668" t="s">
        <v>38</v>
      </c>
      <c r="T668" t="s">
        <v>2095</v>
      </c>
      <c r="U668" t="s">
        <v>2096</v>
      </c>
      <c r="V668" t="s">
        <v>79</v>
      </c>
      <c r="W668" t="s">
        <v>3188</v>
      </c>
      <c r="X668" t="s">
        <v>2743</v>
      </c>
      <c r="Y668" t="s">
        <v>3222</v>
      </c>
      <c r="Z668" t="s">
        <v>91</v>
      </c>
    </row>
    <row r="669" spans="1:26" ht="12.75" customHeight="1" x14ac:dyDescent="0.35">
      <c r="A669">
        <v>668</v>
      </c>
      <c r="B669">
        <v>45887.652079907406</v>
      </c>
      <c r="D669" t="s">
        <v>3223</v>
      </c>
      <c r="E669" t="s">
        <v>32</v>
      </c>
      <c r="F669" t="s">
        <v>377</v>
      </c>
      <c r="G669" t="s">
        <v>44</v>
      </c>
      <c r="H669" t="s">
        <v>73</v>
      </c>
      <c r="I669" t="s">
        <v>72</v>
      </c>
      <c r="J669" t="s">
        <v>73</v>
      </c>
      <c r="K669" t="s">
        <v>73</v>
      </c>
      <c r="L669" t="s">
        <v>36</v>
      </c>
      <c r="N669" t="s">
        <v>2110</v>
      </c>
      <c r="O669" t="s">
        <v>38</v>
      </c>
      <c r="P669" t="s">
        <v>38</v>
      </c>
      <c r="Q669" t="s">
        <v>49</v>
      </c>
      <c r="R669" t="s">
        <v>3224</v>
      </c>
      <c r="S669" t="s">
        <v>48</v>
      </c>
      <c r="V669" t="s">
        <v>53</v>
      </c>
      <c r="W669" t="s">
        <v>3225</v>
      </c>
      <c r="X669" t="s">
        <v>2077</v>
      </c>
      <c r="Y669" t="s">
        <v>2112</v>
      </c>
      <c r="Z669" t="s">
        <v>170</v>
      </c>
    </row>
    <row r="670" spans="1:26" ht="12.75" customHeight="1" x14ac:dyDescent="0.35">
      <c r="A670">
        <v>669</v>
      </c>
      <c r="B670">
        <v>45887.65521251157</v>
      </c>
      <c r="D670" t="s">
        <v>3226</v>
      </c>
      <c r="E670" t="s">
        <v>2155</v>
      </c>
      <c r="F670" t="s">
        <v>28</v>
      </c>
      <c r="G670" t="s">
        <v>28</v>
      </c>
      <c r="H670" t="s">
        <v>284</v>
      </c>
      <c r="I670" t="s">
        <v>28</v>
      </c>
      <c r="J670" t="s">
        <v>28</v>
      </c>
      <c r="K670" t="s">
        <v>28</v>
      </c>
      <c r="L670" t="s">
        <v>46</v>
      </c>
      <c r="N670" t="s">
        <v>2577</v>
      </c>
      <c r="O670" t="s">
        <v>49</v>
      </c>
      <c r="P670" t="s">
        <v>38</v>
      </c>
      <c r="Q670" t="s">
        <v>49</v>
      </c>
      <c r="R670" t="s">
        <v>2253</v>
      </c>
      <c r="S670" t="s">
        <v>49</v>
      </c>
      <c r="T670" t="s">
        <v>2244</v>
      </c>
      <c r="U670" t="s">
        <v>2175</v>
      </c>
      <c r="V670" t="s">
        <v>53</v>
      </c>
      <c r="W670" t="s">
        <v>3227</v>
      </c>
      <c r="X670" t="s">
        <v>1030</v>
      </c>
      <c r="Y670" t="s">
        <v>3228</v>
      </c>
      <c r="Z670" t="s">
        <v>91</v>
      </c>
    </row>
    <row r="671" spans="1:26" ht="12.75" customHeight="1" x14ac:dyDescent="0.35">
      <c r="A671">
        <v>670</v>
      </c>
      <c r="B671">
        <v>45887.656612245366</v>
      </c>
      <c r="D671" t="s">
        <v>3229</v>
      </c>
      <c r="E671" t="s">
        <v>2055</v>
      </c>
      <c r="F671" t="s">
        <v>44</v>
      </c>
      <c r="G671" t="s">
        <v>60</v>
      </c>
      <c r="H671" t="s">
        <v>60</v>
      </c>
      <c r="I671" t="s">
        <v>103</v>
      </c>
      <c r="J671" t="s">
        <v>28</v>
      </c>
      <c r="K671" t="s">
        <v>45</v>
      </c>
      <c r="L671" t="s">
        <v>36</v>
      </c>
      <c r="N671" t="s">
        <v>3230</v>
      </c>
      <c r="O671" t="s">
        <v>48</v>
      </c>
      <c r="P671" t="s">
        <v>48</v>
      </c>
      <c r="Q671" t="s">
        <v>38</v>
      </c>
      <c r="R671" t="s">
        <v>2094</v>
      </c>
      <c r="S671" t="s">
        <v>49</v>
      </c>
      <c r="T671" t="s">
        <v>2095</v>
      </c>
      <c r="U671" t="s">
        <v>2096</v>
      </c>
      <c r="V671" t="s">
        <v>79</v>
      </c>
      <c r="W671" t="s">
        <v>3231</v>
      </c>
      <c r="X671" t="s">
        <v>127</v>
      </c>
      <c r="Y671" t="s">
        <v>3232</v>
      </c>
      <c r="Z671" t="s">
        <v>91</v>
      </c>
    </row>
    <row r="672" spans="1:26" ht="12.75" customHeight="1" x14ac:dyDescent="0.35">
      <c r="A672">
        <v>671</v>
      </c>
      <c r="B672">
        <v>45887.660384421295</v>
      </c>
      <c r="D672" t="s">
        <v>3233</v>
      </c>
      <c r="E672" t="s">
        <v>2155</v>
      </c>
      <c r="F672" t="s">
        <v>28</v>
      </c>
      <c r="G672" t="s">
        <v>28</v>
      </c>
      <c r="H672" t="s">
        <v>28</v>
      </c>
      <c r="I672" t="s">
        <v>28</v>
      </c>
      <c r="J672" t="s">
        <v>28</v>
      </c>
      <c r="K672" t="s">
        <v>28</v>
      </c>
      <c r="L672" t="s">
        <v>46</v>
      </c>
      <c r="N672" t="s">
        <v>2540</v>
      </c>
      <c r="O672" t="s">
        <v>38</v>
      </c>
      <c r="P672" t="s">
        <v>38</v>
      </c>
      <c r="Q672" t="s">
        <v>49</v>
      </c>
      <c r="R672" t="s">
        <v>2253</v>
      </c>
      <c r="S672" t="s">
        <v>49</v>
      </c>
      <c r="T672" t="s">
        <v>2186</v>
      </c>
      <c r="U672" t="s">
        <v>2175</v>
      </c>
      <c r="V672" t="s">
        <v>53</v>
      </c>
      <c r="W672" t="s">
        <v>3234</v>
      </c>
      <c r="X672" t="s">
        <v>1030</v>
      </c>
      <c r="Y672" t="s">
        <v>3228</v>
      </c>
      <c r="Z672" t="s">
        <v>91</v>
      </c>
    </row>
    <row r="673" spans="1:26" ht="12.75" customHeight="1" x14ac:dyDescent="0.35">
      <c r="A673">
        <v>672</v>
      </c>
      <c r="B673">
        <v>45887.661214340274</v>
      </c>
      <c r="D673" t="s">
        <v>3235</v>
      </c>
      <c r="E673" t="s">
        <v>32</v>
      </c>
      <c r="F673" t="s">
        <v>29</v>
      </c>
      <c r="G673" t="s">
        <v>197</v>
      </c>
      <c r="H673" t="s">
        <v>206</v>
      </c>
      <c r="I673" t="s">
        <v>30</v>
      </c>
      <c r="J673" t="s">
        <v>45</v>
      </c>
      <c r="K673" t="s">
        <v>73</v>
      </c>
      <c r="L673" t="s">
        <v>46</v>
      </c>
      <c r="N673" t="s">
        <v>2110</v>
      </c>
      <c r="O673" t="s">
        <v>38</v>
      </c>
      <c r="P673" t="s">
        <v>48</v>
      </c>
      <c r="Q673" t="s">
        <v>40</v>
      </c>
      <c r="R673" t="s">
        <v>3236</v>
      </c>
      <c r="S673" t="s">
        <v>48</v>
      </c>
      <c r="V673" t="s">
        <v>53</v>
      </c>
      <c r="W673" t="s">
        <v>3237</v>
      </c>
      <c r="X673" t="s">
        <v>2077</v>
      </c>
      <c r="Y673" t="s">
        <v>3238</v>
      </c>
      <c r="Z673" t="s">
        <v>170</v>
      </c>
    </row>
    <row r="674" spans="1:26" ht="12.75" customHeight="1" x14ac:dyDescent="0.35">
      <c r="A674">
        <v>673</v>
      </c>
      <c r="B674">
        <v>45887.663593819445</v>
      </c>
      <c r="D674" t="s">
        <v>3239</v>
      </c>
      <c r="E674" t="s">
        <v>2055</v>
      </c>
      <c r="F674" t="s">
        <v>377</v>
      </c>
      <c r="G674" t="s">
        <v>44</v>
      </c>
      <c r="H674" t="s">
        <v>44</v>
      </c>
      <c r="I674" t="s">
        <v>103</v>
      </c>
      <c r="J674" t="s">
        <v>28</v>
      </c>
      <c r="K674" t="s">
        <v>45</v>
      </c>
      <c r="L674" t="s">
        <v>36</v>
      </c>
      <c r="N674" t="s">
        <v>3230</v>
      </c>
      <c r="O674" t="s">
        <v>48</v>
      </c>
      <c r="P674" t="s">
        <v>48</v>
      </c>
      <c r="Q674" t="s">
        <v>49</v>
      </c>
      <c r="R674" t="s">
        <v>2094</v>
      </c>
      <c r="S674" t="s">
        <v>49</v>
      </c>
      <c r="T674" t="s">
        <v>2095</v>
      </c>
      <c r="U674" t="s">
        <v>2282</v>
      </c>
      <c r="V674" t="s">
        <v>79</v>
      </c>
      <c r="W674" t="s">
        <v>3240</v>
      </c>
      <c r="X674" t="s">
        <v>127</v>
      </c>
      <c r="Y674" t="s">
        <v>3241</v>
      </c>
      <c r="Z674" t="s">
        <v>91</v>
      </c>
    </row>
    <row r="675" spans="1:26" ht="12.75" customHeight="1" x14ac:dyDescent="0.35">
      <c r="A675">
        <v>674</v>
      </c>
      <c r="B675">
        <v>45887.663862893518</v>
      </c>
      <c r="D675" t="s">
        <v>3242</v>
      </c>
      <c r="E675" t="s">
        <v>1875</v>
      </c>
      <c r="F675" t="s">
        <v>28</v>
      </c>
      <c r="G675" t="s">
        <v>60</v>
      </c>
      <c r="H675" t="s">
        <v>157</v>
      </c>
      <c r="I675" t="s">
        <v>173</v>
      </c>
      <c r="J675" t="s">
        <v>45</v>
      </c>
      <c r="K675" t="s">
        <v>45</v>
      </c>
      <c r="L675" t="s">
        <v>46</v>
      </c>
      <c r="N675" t="s">
        <v>2525</v>
      </c>
      <c r="O675" t="s">
        <v>49</v>
      </c>
      <c r="P675" t="s">
        <v>49</v>
      </c>
      <c r="Q675" t="s">
        <v>48</v>
      </c>
      <c r="R675" t="s">
        <v>3243</v>
      </c>
      <c r="S675" t="s">
        <v>49</v>
      </c>
      <c r="T675" t="s">
        <v>3244</v>
      </c>
      <c r="U675" t="s">
        <v>3245</v>
      </c>
      <c r="V675" t="s">
        <v>53</v>
      </c>
      <c r="W675" t="s">
        <v>3246</v>
      </c>
      <c r="X675" t="s">
        <v>118</v>
      </c>
      <c r="Y675" t="s">
        <v>3247</v>
      </c>
      <c r="Z675" t="s">
        <v>91</v>
      </c>
    </row>
    <row r="676" spans="1:26" ht="12.75" customHeight="1" x14ac:dyDescent="0.35">
      <c r="A676">
        <v>675</v>
      </c>
      <c r="B676">
        <v>45887.666045613427</v>
      </c>
      <c r="D676" t="s">
        <v>3248</v>
      </c>
      <c r="E676" t="s">
        <v>2155</v>
      </c>
      <c r="F676" t="s">
        <v>28</v>
      </c>
      <c r="G676" t="s">
        <v>28</v>
      </c>
      <c r="H676" t="s">
        <v>28</v>
      </c>
      <c r="I676" t="s">
        <v>28</v>
      </c>
      <c r="J676" t="s">
        <v>28</v>
      </c>
      <c r="K676" t="s">
        <v>28</v>
      </c>
      <c r="L676" t="s">
        <v>46</v>
      </c>
      <c r="N676" t="s">
        <v>2540</v>
      </c>
      <c r="O676" t="s">
        <v>48</v>
      </c>
      <c r="P676" t="s">
        <v>48</v>
      </c>
      <c r="Q676" t="s">
        <v>48</v>
      </c>
      <c r="R676" t="s">
        <v>2195</v>
      </c>
      <c r="S676" t="s">
        <v>49</v>
      </c>
      <c r="T676" t="s">
        <v>2244</v>
      </c>
      <c r="U676" t="s">
        <v>2175</v>
      </c>
      <c r="V676" t="s">
        <v>53</v>
      </c>
      <c r="W676" t="s">
        <v>3249</v>
      </c>
      <c r="X676" t="s">
        <v>1030</v>
      </c>
      <c r="Y676" t="s">
        <v>3250</v>
      </c>
      <c r="Z676" t="s">
        <v>91</v>
      </c>
    </row>
    <row r="677" spans="1:26" ht="12.75" customHeight="1" x14ac:dyDescent="0.35">
      <c r="A677">
        <v>676</v>
      </c>
      <c r="B677">
        <v>45887.666578611112</v>
      </c>
      <c r="D677" t="s">
        <v>3251</v>
      </c>
      <c r="E677" t="s">
        <v>1875</v>
      </c>
      <c r="F677" t="s">
        <v>60</v>
      </c>
      <c r="G677" t="s">
        <v>44</v>
      </c>
      <c r="H677" t="s">
        <v>157</v>
      </c>
      <c r="I677" t="s">
        <v>103</v>
      </c>
      <c r="J677" t="s">
        <v>45</v>
      </c>
      <c r="K677" t="s">
        <v>45</v>
      </c>
      <c r="L677" t="s">
        <v>46</v>
      </c>
      <c r="N677" t="s">
        <v>2525</v>
      </c>
      <c r="O677" t="s">
        <v>49</v>
      </c>
      <c r="P677" t="s">
        <v>48</v>
      </c>
      <c r="Q677" t="s">
        <v>49</v>
      </c>
      <c r="R677" t="s">
        <v>3252</v>
      </c>
      <c r="S677" t="s">
        <v>49</v>
      </c>
      <c r="T677" t="s">
        <v>3253</v>
      </c>
      <c r="U677" t="s">
        <v>3254</v>
      </c>
      <c r="V677" t="s">
        <v>53</v>
      </c>
      <c r="W677" t="s">
        <v>3255</v>
      </c>
      <c r="X677" t="s">
        <v>118</v>
      </c>
      <c r="Y677" t="s">
        <v>3256</v>
      </c>
      <c r="Z677" t="s">
        <v>91</v>
      </c>
    </row>
    <row r="678" spans="1:26" ht="12.75" customHeight="1" x14ac:dyDescent="0.35">
      <c r="A678">
        <v>677</v>
      </c>
      <c r="B678">
        <v>45887.666953587963</v>
      </c>
      <c r="D678" t="s">
        <v>3257</v>
      </c>
      <c r="E678" t="s">
        <v>32</v>
      </c>
      <c r="F678" t="s">
        <v>449</v>
      </c>
      <c r="G678" t="s">
        <v>33</v>
      </c>
      <c r="H678" t="s">
        <v>284</v>
      </c>
      <c r="I678" t="s">
        <v>158</v>
      </c>
      <c r="J678" t="s">
        <v>30</v>
      </c>
      <c r="K678" t="s">
        <v>73</v>
      </c>
      <c r="L678" t="s">
        <v>46</v>
      </c>
      <c r="N678" t="s">
        <v>2212</v>
      </c>
      <c r="O678" t="s">
        <v>48</v>
      </c>
      <c r="P678" t="s">
        <v>48</v>
      </c>
      <c r="Q678" t="s">
        <v>48</v>
      </c>
      <c r="R678" t="s">
        <v>3258</v>
      </c>
      <c r="S678" t="s">
        <v>48</v>
      </c>
      <c r="V678" t="s">
        <v>53</v>
      </c>
      <c r="W678" t="s">
        <v>3259</v>
      </c>
      <c r="X678" t="s">
        <v>2246</v>
      </c>
      <c r="Y678" t="s">
        <v>3260</v>
      </c>
      <c r="Z678" t="s">
        <v>91</v>
      </c>
    </row>
    <row r="679" spans="1:26" ht="12.75" customHeight="1" x14ac:dyDescent="0.35">
      <c r="A679">
        <v>678</v>
      </c>
      <c r="B679">
        <v>45887.669409652779</v>
      </c>
      <c r="D679" t="s">
        <v>3261</v>
      </c>
      <c r="E679" t="s">
        <v>1875</v>
      </c>
      <c r="F679" t="s">
        <v>44</v>
      </c>
      <c r="G679" t="s">
        <v>44</v>
      </c>
      <c r="H679" t="s">
        <v>60</v>
      </c>
      <c r="I679" t="s">
        <v>103</v>
      </c>
      <c r="J679" t="s">
        <v>45</v>
      </c>
      <c r="K679" t="s">
        <v>368</v>
      </c>
      <c r="L679" t="s">
        <v>36</v>
      </c>
      <c r="N679" t="s">
        <v>2553</v>
      </c>
      <c r="O679" t="s">
        <v>48</v>
      </c>
      <c r="P679" t="s">
        <v>49</v>
      </c>
      <c r="Q679" t="s">
        <v>49</v>
      </c>
      <c r="R679" t="s">
        <v>3262</v>
      </c>
      <c r="S679" t="s">
        <v>38</v>
      </c>
      <c r="T679" t="s">
        <v>3263</v>
      </c>
      <c r="U679" t="s">
        <v>3264</v>
      </c>
      <c r="V679" t="s">
        <v>53</v>
      </c>
      <c r="W679" t="s">
        <v>3265</v>
      </c>
      <c r="X679" t="s">
        <v>118</v>
      </c>
      <c r="Y679" t="s">
        <v>3266</v>
      </c>
      <c r="Z679" t="s">
        <v>91</v>
      </c>
    </row>
    <row r="680" spans="1:26" ht="12.75" customHeight="1" x14ac:dyDescent="0.35">
      <c r="A680">
        <v>679</v>
      </c>
      <c r="B680">
        <v>45887.670787650466</v>
      </c>
      <c r="D680" t="s">
        <v>3267</v>
      </c>
      <c r="E680" t="s">
        <v>2155</v>
      </c>
      <c r="F680" t="s">
        <v>28</v>
      </c>
      <c r="G680" t="s">
        <v>158</v>
      </c>
      <c r="H680" t="s">
        <v>28</v>
      </c>
      <c r="I680" t="s">
        <v>28</v>
      </c>
      <c r="J680" t="s">
        <v>28</v>
      </c>
      <c r="K680" t="s">
        <v>28</v>
      </c>
      <c r="L680" t="s">
        <v>46</v>
      </c>
      <c r="N680" t="s">
        <v>2391</v>
      </c>
      <c r="O680" t="s">
        <v>49</v>
      </c>
      <c r="P680" t="s">
        <v>38</v>
      </c>
      <c r="Q680" t="s">
        <v>49</v>
      </c>
      <c r="R680" t="s">
        <v>2195</v>
      </c>
      <c r="S680" t="s">
        <v>49</v>
      </c>
      <c r="T680" t="s">
        <v>2304</v>
      </c>
      <c r="U680" t="s">
        <v>2175</v>
      </c>
      <c r="V680" t="s">
        <v>53</v>
      </c>
      <c r="W680" t="s">
        <v>3268</v>
      </c>
      <c r="X680" t="s">
        <v>1030</v>
      </c>
      <c r="Y680" t="s">
        <v>3269</v>
      </c>
      <c r="Z680" t="s">
        <v>91</v>
      </c>
    </row>
    <row r="681" spans="1:26" ht="12.75" customHeight="1" x14ac:dyDescent="0.35">
      <c r="A681">
        <v>680</v>
      </c>
      <c r="B681">
        <v>45887.671541469907</v>
      </c>
      <c r="D681" t="s">
        <v>3270</v>
      </c>
      <c r="E681" t="s">
        <v>2055</v>
      </c>
      <c r="F681" t="s">
        <v>44</v>
      </c>
      <c r="G681" t="s">
        <v>44</v>
      </c>
      <c r="H681" t="s">
        <v>44</v>
      </c>
      <c r="I681" t="s">
        <v>103</v>
      </c>
      <c r="J681" t="s">
        <v>28</v>
      </c>
      <c r="K681" t="s">
        <v>45</v>
      </c>
      <c r="L681" t="s">
        <v>46</v>
      </c>
      <c r="N681" t="s">
        <v>132</v>
      </c>
      <c r="O681" t="s">
        <v>48</v>
      </c>
      <c r="P681" t="s">
        <v>48</v>
      </c>
      <c r="Q681" t="s">
        <v>48</v>
      </c>
      <c r="R681" t="s">
        <v>2094</v>
      </c>
      <c r="S681" t="s">
        <v>49</v>
      </c>
      <c r="T681" t="s">
        <v>2095</v>
      </c>
      <c r="U681" t="s">
        <v>2282</v>
      </c>
      <c r="V681" t="s">
        <v>79</v>
      </c>
      <c r="W681" t="s">
        <v>3271</v>
      </c>
      <c r="X681" t="s">
        <v>127</v>
      </c>
      <c r="Y681" t="s">
        <v>3272</v>
      </c>
      <c r="Z681" t="s">
        <v>91</v>
      </c>
    </row>
    <row r="682" spans="1:26" ht="12.75" customHeight="1" x14ac:dyDescent="0.35">
      <c r="A682">
        <v>681</v>
      </c>
      <c r="B682">
        <v>45887.672436342589</v>
      </c>
      <c r="D682" t="s">
        <v>3273</v>
      </c>
      <c r="E682" t="s">
        <v>1875</v>
      </c>
      <c r="F682" t="s">
        <v>28</v>
      </c>
      <c r="G682" t="s">
        <v>44</v>
      </c>
      <c r="H682" t="s">
        <v>157</v>
      </c>
      <c r="I682" t="s">
        <v>103</v>
      </c>
      <c r="J682" t="s">
        <v>45</v>
      </c>
      <c r="K682" t="s">
        <v>45</v>
      </c>
      <c r="L682" t="s">
        <v>46</v>
      </c>
      <c r="N682" t="s">
        <v>2553</v>
      </c>
      <c r="O682" t="s">
        <v>49</v>
      </c>
      <c r="P682" t="s">
        <v>49</v>
      </c>
      <c r="Q682" t="s">
        <v>49</v>
      </c>
      <c r="R682" t="s">
        <v>3274</v>
      </c>
      <c r="S682" t="s">
        <v>49</v>
      </c>
      <c r="T682" t="s">
        <v>3275</v>
      </c>
      <c r="U682" t="s">
        <v>3276</v>
      </c>
      <c r="V682" t="s">
        <v>53</v>
      </c>
      <c r="W682" t="s">
        <v>3277</v>
      </c>
      <c r="X682" t="s">
        <v>118</v>
      </c>
      <c r="Y682" t="s">
        <v>3278</v>
      </c>
      <c r="Z682" t="s">
        <v>91</v>
      </c>
    </row>
    <row r="683" spans="1:26" ht="12.75" customHeight="1" x14ac:dyDescent="0.35">
      <c r="A683">
        <v>682</v>
      </c>
      <c r="B683">
        <v>45887.672799791668</v>
      </c>
      <c r="D683" t="s">
        <v>3279</v>
      </c>
      <c r="E683" t="s">
        <v>2119</v>
      </c>
      <c r="F683" t="s">
        <v>60</v>
      </c>
      <c r="G683" t="s">
        <v>72</v>
      </c>
      <c r="H683" t="s">
        <v>28</v>
      </c>
      <c r="I683" t="s">
        <v>28</v>
      </c>
      <c r="J683" t="s">
        <v>28</v>
      </c>
      <c r="K683" t="s">
        <v>28</v>
      </c>
      <c r="L683" t="s">
        <v>46</v>
      </c>
      <c r="N683" t="s">
        <v>2212</v>
      </c>
      <c r="O683" t="s">
        <v>48</v>
      </c>
      <c r="P683" t="s">
        <v>48</v>
      </c>
      <c r="Q683" t="s">
        <v>49</v>
      </c>
      <c r="R683" t="s">
        <v>3280</v>
      </c>
      <c r="S683" t="s">
        <v>38</v>
      </c>
      <c r="V683" t="s">
        <v>53</v>
      </c>
      <c r="W683" t="s">
        <v>3281</v>
      </c>
      <c r="X683" t="s">
        <v>2246</v>
      </c>
      <c r="Y683" t="s">
        <v>3282</v>
      </c>
      <c r="Z683" t="s">
        <v>170</v>
      </c>
    </row>
    <row r="684" spans="1:26" ht="12.75" customHeight="1" x14ac:dyDescent="0.35">
      <c r="A684">
        <v>683</v>
      </c>
      <c r="B684">
        <v>45887.675270787033</v>
      </c>
      <c r="D684" t="s">
        <v>3283</v>
      </c>
      <c r="E684" t="s">
        <v>1875</v>
      </c>
      <c r="F684" t="s">
        <v>28</v>
      </c>
      <c r="G684" t="s">
        <v>44</v>
      </c>
      <c r="H684" t="s">
        <v>157</v>
      </c>
      <c r="I684" t="s">
        <v>103</v>
      </c>
      <c r="J684" t="s">
        <v>45</v>
      </c>
      <c r="K684" t="s">
        <v>45</v>
      </c>
      <c r="L684" t="s">
        <v>36</v>
      </c>
      <c r="N684" t="s">
        <v>2553</v>
      </c>
      <c r="O684" t="s">
        <v>49</v>
      </c>
      <c r="P684" t="s">
        <v>48</v>
      </c>
      <c r="Q684" t="s">
        <v>49</v>
      </c>
      <c r="R684" t="s">
        <v>3284</v>
      </c>
      <c r="S684" t="s">
        <v>49</v>
      </c>
      <c r="T684" t="s">
        <v>3285</v>
      </c>
      <c r="U684" t="s">
        <v>3286</v>
      </c>
      <c r="V684" t="s">
        <v>53</v>
      </c>
      <c r="W684" t="s">
        <v>3287</v>
      </c>
      <c r="X684" t="s">
        <v>118</v>
      </c>
      <c r="Y684" t="s">
        <v>3288</v>
      </c>
      <c r="Z684" t="s">
        <v>91</v>
      </c>
    </row>
    <row r="685" spans="1:26" ht="12.75" customHeight="1" x14ac:dyDescent="0.35">
      <c r="A685">
        <v>684</v>
      </c>
      <c r="B685">
        <v>45887.676663634258</v>
      </c>
      <c r="D685" t="s">
        <v>3289</v>
      </c>
      <c r="E685" t="s">
        <v>2155</v>
      </c>
      <c r="F685" t="s">
        <v>28</v>
      </c>
      <c r="G685" t="s">
        <v>28</v>
      </c>
      <c r="H685" t="s">
        <v>28</v>
      </c>
      <c r="I685" t="s">
        <v>196</v>
      </c>
      <c r="J685" t="s">
        <v>28</v>
      </c>
      <c r="K685" t="s">
        <v>28</v>
      </c>
      <c r="L685" t="s">
        <v>46</v>
      </c>
      <c r="N685" t="s">
        <v>2391</v>
      </c>
      <c r="O685" t="s">
        <v>38</v>
      </c>
      <c r="P685" t="s">
        <v>38</v>
      </c>
      <c r="Q685" t="s">
        <v>49</v>
      </c>
      <c r="R685" t="s">
        <v>2195</v>
      </c>
      <c r="S685" t="s">
        <v>38</v>
      </c>
      <c r="T685" t="s">
        <v>2244</v>
      </c>
      <c r="U685" t="s">
        <v>2175</v>
      </c>
      <c r="V685" t="s">
        <v>53</v>
      </c>
      <c r="W685" t="s">
        <v>3290</v>
      </c>
      <c r="X685" t="s">
        <v>1030</v>
      </c>
      <c r="Y685" t="s">
        <v>3291</v>
      </c>
      <c r="Z685" t="s">
        <v>91</v>
      </c>
    </row>
    <row r="686" spans="1:26" ht="12.75" customHeight="1" x14ac:dyDescent="0.35">
      <c r="A686">
        <v>685</v>
      </c>
      <c r="B686">
        <v>45887.677725405098</v>
      </c>
      <c r="D686" t="s">
        <v>3292</v>
      </c>
      <c r="E686" t="s">
        <v>2859</v>
      </c>
      <c r="F686" t="s">
        <v>44</v>
      </c>
      <c r="G686" t="s">
        <v>44</v>
      </c>
      <c r="H686" t="s">
        <v>44</v>
      </c>
      <c r="I686" t="s">
        <v>103</v>
      </c>
      <c r="J686" t="s">
        <v>103</v>
      </c>
      <c r="K686" t="s">
        <v>28</v>
      </c>
      <c r="L686" t="s">
        <v>46</v>
      </c>
      <c r="N686" t="s">
        <v>3293</v>
      </c>
      <c r="O686" t="s">
        <v>48</v>
      </c>
      <c r="P686" t="s">
        <v>48</v>
      </c>
      <c r="Q686" t="s">
        <v>38</v>
      </c>
      <c r="R686" t="s">
        <v>2094</v>
      </c>
      <c r="S686" t="s">
        <v>49</v>
      </c>
      <c r="T686" t="s">
        <v>2095</v>
      </c>
      <c r="U686" t="s">
        <v>2282</v>
      </c>
      <c r="V686" t="s">
        <v>53</v>
      </c>
      <c r="W686" t="s">
        <v>3294</v>
      </c>
      <c r="X686" t="s">
        <v>127</v>
      </c>
      <c r="Y686" t="s">
        <v>3295</v>
      </c>
      <c r="Z686" t="s">
        <v>91</v>
      </c>
    </row>
    <row r="687" spans="1:26" ht="12.75" customHeight="1" x14ac:dyDescent="0.35">
      <c r="A687">
        <v>686</v>
      </c>
      <c r="B687">
        <v>45887.678411296292</v>
      </c>
      <c r="D687" t="s">
        <v>3296</v>
      </c>
      <c r="E687" t="s">
        <v>1875</v>
      </c>
      <c r="F687" t="s">
        <v>28</v>
      </c>
      <c r="G687" t="s">
        <v>44</v>
      </c>
      <c r="H687" t="s">
        <v>157</v>
      </c>
      <c r="I687" t="s">
        <v>103</v>
      </c>
      <c r="J687" t="s">
        <v>45</v>
      </c>
      <c r="K687" t="s">
        <v>45</v>
      </c>
      <c r="L687" t="s">
        <v>36</v>
      </c>
      <c r="N687" t="s">
        <v>2599</v>
      </c>
      <c r="O687" t="s">
        <v>49</v>
      </c>
      <c r="P687" t="s">
        <v>49</v>
      </c>
      <c r="Q687" t="s">
        <v>48</v>
      </c>
      <c r="R687" t="s">
        <v>15</v>
      </c>
      <c r="S687" t="s">
        <v>49</v>
      </c>
      <c r="T687" t="s">
        <v>3297</v>
      </c>
      <c r="U687" t="s">
        <v>3298</v>
      </c>
      <c r="V687" t="s">
        <v>53</v>
      </c>
      <c r="W687" t="s">
        <v>3299</v>
      </c>
      <c r="X687" t="s">
        <v>118</v>
      </c>
      <c r="Y687" t="s">
        <v>3300</v>
      </c>
      <c r="Z687" t="s">
        <v>91</v>
      </c>
    </row>
    <row r="688" spans="1:26" ht="12.75" customHeight="1" x14ac:dyDescent="0.35">
      <c r="A688">
        <v>687</v>
      </c>
      <c r="B688">
        <v>45887.678510578698</v>
      </c>
      <c r="D688" t="s">
        <v>3301</v>
      </c>
      <c r="E688" t="s">
        <v>493</v>
      </c>
      <c r="F688" t="s">
        <v>60</v>
      </c>
      <c r="G688" t="s">
        <v>29</v>
      </c>
      <c r="H688" t="s">
        <v>60</v>
      </c>
      <c r="I688" t="s">
        <v>173</v>
      </c>
      <c r="J688" t="s">
        <v>34</v>
      </c>
      <c r="K688" t="s">
        <v>292</v>
      </c>
      <c r="L688" t="s">
        <v>36</v>
      </c>
      <c r="N688" t="s">
        <v>2212</v>
      </c>
      <c r="P688" t="s">
        <v>48</v>
      </c>
      <c r="Q688" t="s">
        <v>49</v>
      </c>
      <c r="R688" t="s">
        <v>3302</v>
      </c>
      <c r="S688" t="s">
        <v>49</v>
      </c>
      <c r="V688" t="s">
        <v>53</v>
      </c>
      <c r="W688" t="s">
        <v>3303</v>
      </c>
      <c r="X688" t="s">
        <v>2246</v>
      </c>
      <c r="Y688" t="s">
        <v>3304</v>
      </c>
      <c r="Z688" t="s">
        <v>170</v>
      </c>
    </row>
    <row r="689" spans="1:26" ht="12.75" customHeight="1" x14ac:dyDescent="0.35">
      <c r="A689">
        <v>688</v>
      </c>
      <c r="B689">
        <v>45887.681522777777</v>
      </c>
      <c r="D689" t="s">
        <v>3305</v>
      </c>
      <c r="E689" t="s">
        <v>1875</v>
      </c>
      <c r="F689" t="s">
        <v>44</v>
      </c>
      <c r="G689" t="s">
        <v>44</v>
      </c>
      <c r="H689" t="s">
        <v>44</v>
      </c>
      <c r="I689" t="s">
        <v>173</v>
      </c>
      <c r="J689" t="s">
        <v>103</v>
      </c>
      <c r="K689" t="s">
        <v>45</v>
      </c>
      <c r="L689" t="s">
        <v>46</v>
      </c>
      <c r="N689" t="s">
        <v>2635</v>
      </c>
      <c r="O689" t="s">
        <v>49</v>
      </c>
      <c r="P689" t="s">
        <v>49</v>
      </c>
      <c r="Q689" t="s">
        <v>49</v>
      </c>
      <c r="R689" t="s">
        <v>3306</v>
      </c>
      <c r="S689" t="s">
        <v>48</v>
      </c>
      <c r="T689" t="s">
        <v>3307</v>
      </c>
      <c r="U689" t="s">
        <v>3308</v>
      </c>
      <c r="V689" t="s">
        <v>53</v>
      </c>
      <c r="W689" t="s">
        <v>3309</v>
      </c>
      <c r="X689" t="s">
        <v>118</v>
      </c>
      <c r="Y689" t="s">
        <v>3310</v>
      </c>
      <c r="Z689" t="s">
        <v>91</v>
      </c>
    </row>
    <row r="690" spans="1:26" ht="12.75" customHeight="1" x14ac:dyDescent="0.35">
      <c r="A690">
        <v>689</v>
      </c>
      <c r="B690">
        <v>45887.68355710648</v>
      </c>
      <c r="D690" t="s">
        <v>3311</v>
      </c>
      <c r="E690" t="s">
        <v>3312</v>
      </c>
      <c r="F690" t="s">
        <v>344</v>
      </c>
      <c r="G690" t="s">
        <v>33</v>
      </c>
      <c r="H690" t="s">
        <v>29</v>
      </c>
      <c r="I690" t="s">
        <v>72</v>
      </c>
      <c r="J690" t="s">
        <v>30</v>
      </c>
      <c r="K690" t="s">
        <v>73</v>
      </c>
      <c r="L690" t="s">
        <v>36</v>
      </c>
      <c r="N690" t="s">
        <v>2235</v>
      </c>
      <c r="O690" t="s">
        <v>48</v>
      </c>
      <c r="P690" t="s">
        <v>48</v>
      </c>
      <c r="Q690" t="s">
        <v>48</v>
      </c>
      <c r="R690" t="s">
        <v>3313</v>
      </c>
      <c r="S690" t="s">
        <v>48</v>
      </c>
      <c r="V690" t="s">
        <v>53</v>
      </c>
      <c r="W690" t="s">
        <v>3314</v>
      </c>
      <c r="X690" t="s">
        <v>2246</v>
      </c>
      <c r="Y690" t="s">
        <v>3315</v>
      </c>
      <c r="Z690" t="s">
        <v>91</v>
      </c>
    </row>
    <row r="691" spans="1:26" ht="12.75" customHeight="1" x14ac:dyDescent="0.35">
      <c r="A691">
        <v>690</v>
      </c>
      <c r="B691">
        <v>45887.68587321759</v>
      </c>
      <c r="D691" t="s">
        <v>3316</v>
      </c>
      <c r="E691" t="s">
        <v>1875</v>
      </c>
      <c r="F691" t="s">
        <v>377</v>
      </c>
      <c r="G691" t="s">
        <v>158</v>
      </c>
      <c r="H691" t="s">
        <v>157</v>
      </c>
      <c r="I691" t="s">
        <v>103</v>
      </c>
      <c r="J691" t="s">
        <v>103</v>
      </c>
      <c r="K691" t="s">
        <v>35</v>
      </c>
      <c r="L691" t="s">
        <v>46</v>
      </c>
      <c r="N691" t="s">
        <v>2635</v>
      </c>
      <c r="O691" t="s">
        <v>49</v>
      </c>
      <c r="P691" t="s">
        <v>49</v>
      </c>
      <c r="Q691" t="s">
        <v>48</v>
      </c>
      <c r="R691" t="s">
        <v>3317</v>
      </c>
      <c r="S691" t="s">
        <v>49</v>
      </c>
      <c r="T691" t="s">
        <v>3318</v>
      </c>
      <c r="U691" t="s">
        <v>3319</v>
      </c>
      <c r="V691" t="s">
        <v>53</v>
      </c>
      <c r="W691" t="s">
        <v>3320</v>
      </c>
      <c r="X691" t="s">
        <v>118</v>
      </c>
      <c r="Y691" t="s">
        <v>3321</v>
      </c>
      <c r="Z691" t="s">
        <v>91</v>
      </c>
    </row>
    <row r="692" spans="1:26" ht="12.75" customHeight="1" x14ac:dyDescent="0.35">
      <c r="A692">
        <v>691</v>
      </c>
      <c r="B692">
        <v>45887.686720532409</v>
      </c>
      <c r="D692" t="s">
        <v>3322</v>
      </c>
      <c r="E692" t="s">
        <v>2155</v>
      </c>
      <c r="F692" t="s">
        <v>28</v>
      </c>
      <c r="G692" t="s">
        <v>196</v>
      </c>
      <c r="H692" t="s">
        <v>28</v>
      </c>
      <c r="I692" t="s">
        <v>28</v>
      </c>
      <c r="J692" t="s">
        <v>28</v>
      </c>
      <c r="K692" t="s">
        <v>28</v>
      </c>
      <c r="L692" t="s">
        <v>46</v>
      </c>
      <c r="N692" t="s">
        <v>2391</v>
      </c>
      <c r="O692" t="s">
        <v>38</v>
      </c>
      <c r="P692" t="s">
        <v>49</v>
      </c>
      <c r="Q692" t="s">
        <v>49</v>
      </c>
      <c r="R692" t="s">
        <v>2195</v>
      </c>
      <c r="S692" t="s">
        <v>49</v>
      </c>
      <c r="T692" t="s">
        <v>2244</v>
      </c>
      <c r="U692" t="s">
        <v>2175</v>
      </c>
      <c r="V692" t="s">
        <v>53</v>
      </c>
      <c r="W692" t="s">
        <v>3323</v>
      </c>
      <c r="X692" t="s">
        <v>1030</v>
      </c>
      <c r="Y692" t="s">
        <v>3324</v>
      </c>
      <c r="Z692" t="s">
        <v>91</v>
      </c>
    </row>
    <row r="693" spans="1:26" ht="12.75" customHeight="1" x14ac:dyDescent="0.35">
      <c r="A693">
        <v>692</v>
      </c>
      <c r="B693">
        <v>45887.688049641205</v>
      </c>
      <c r="D693" t="s">
        <v>3325</v>
      </c>
      <c r="E693" t="s">
        <v>1883</v>
      </c>
      <c r="F693" t="s">
        <v>29</v>
      </c>
      <c r="G693" t="s">
        <v>29</v>
      </c>
      <c r="H693" t="s">
        <v>29</v>
      </c>
      <c r="I693" t="s">
        <v>30</v>
      </c>
      <c r="J693" t="s">
        <v>30</v>
      </c>
      <c r="K693" t="s">
        <v>28</v>
      </c>
      <c r="L693" t="s">
        <v>46</v>
      </c>
      <c r="N693" t="s">
        <v>2984</v>
      </c>
      <c r="O693" t="s">
        <v>38</v>
      </c>
      <c r="P693" t="s">
        <v>38</v>
      </c>
      <c r="Q693" t="s">
        <v>38</v>
      </c>
      <c r="R693" t="s">
        <v>3326</v>
      </c>
      <c r="S693" t="s">
        <v>38</v>
      </c>
      <c r="T693" t="s">
        <v>3327</v>
      </c>
      <c r="U693" t="s">
        <v>3328</v>
      </c>
      <c r="V693" t="s">
        <v>53</v>
      </c>
      <c r="W693" t="s">
        <v>3329</v>
      </c>
      <c r="X693" t="s">
        <v>3028</v>
      </c>
      <c r="Y693" t="s">
        <v>3330</v>
      </c>
      <c r="Z693" t="s">
        <v>91</v>
      </c>
    </row>
    <row r="694" spans="1:26" ht="12.75" customHeight="1" x14ac:dyDescent="0.35">
      <c r="A694">
        <v>693</v>
      </c>
      <c r="B694">
        <v>45887.691656597221</v>
      </c>
      <c r="D694" t="s">
        <v>2032</v>
      </c>
      <c r="E694" t="s">
        <v>2155</v>
      </c>
      <c r="F694" t="s">
        <v>28</v>
      </c>
      <c r="G694" t="s">
        <v>60</v>
      </c>
      <c r="H694" t="s">
        <v>28</v>
      </c>
      <c r="I694" t="s">
        <v>28</v>
      </c>
      <c r="J694" t="s">
        <v>28</v>
      </c>
      <c r="K694" t="s">
        <v>28</v>
      </c>
      <c r="L694" t="s">
        <v>46</v>
      </c>
      <c r="N694" t="s">
        <v>2391</v>
      </c>
      <c r="O694" t="s">
        <v>38</v>
      </c>
      <c r="P694" t="s">
        <v>48</v>
      </c>
      <c r="Q694" t="s">
        <v>49</v>
      </c>
      <c r="R694" t="s">
        <v>2253</v>
      </c>
      <c r="S694" t="s">
        <v>48</v>
      </c>
      <c r="T694" t="s">
        <v>2244</v>
      </c>
      <c r="U694" t="s">
        <v>2461</v>
      </c>
      <c r="V694" t="s">
        <v>53</v>
      </c>
      <c r="W694" t="s">
        <v>3331</v>
      </c>
      <c r="X694" t="s">
        <v>1030</v>
      </c>
      <c r="Y694" t="s">
        <v>3332</v>
      </c>
      <c r="Z694" t="s">
        <v>91</v>
      </c>
    </row>
    <row r="695" spans="1:26" ht="12.75" customHeight="1" x14ac:dyDescent="0.35">
      <c r="A695">
        <v>694</v>
      </c>
      <c r="B695">
        <v>45887.692484386571</v>
      </c>
      <c r="D695" t="s">
        <v>3333</v>
      </c>
      <c r="E695" t="s">
        <v>1875</v>
      </c>
      <c r="F695" t="s">
        <v>44</v>
      </c>
      <c r="G695" t="s">
        <v>28</v>
      </c>
      <c r="H695" t="s">
        <v>44</v>
      </c>
      <c r="I695" t="s">
        <v>103</v>
      </c>
      <c r="J695" t="s">
        <v>103</v>
      </c>
      <c r="K695" t="s">
        <v>45</v>
      </c>
      <c r="L695" t="s">
        <v>46</v>
      </c>
      <c r="N695" t="s">
        <v>2635</v>
      </c>
      <c r="O695" t="s">
        <v>49</v>
      </c>
      <c r="P695" t="s">
        <v>38</v>
      </c>
      <c r="Q695" t="s">
        <v>38</v>
      </c>
      <c r="R695" t="s">
        <v>3334</v>
      </c>
      <c r="S695" t="s">
        <v>49</v>
      </c>
      <c r="T695" t="s">
        <v>3335</v>
      </c>
      <c r="U695" t="s">
        <v>3336</v>
      </c>
      <c r="V695" t="s">
        <v>53</v>
      </c>
      <c r="W695" t="s">
        <v>3337</v>
      </c>
      <c r="X695" t="s">
        <v>118</v>
      </c>
      <c r="Y695" t="s">
        <v>3338</v>
      </c>
      <c r="Z695" t="s">
        <v>91</v>
      </c>
    </row>
    <row r="696" spans="1:26" ht="12.75" customHeight="1" x14ac:dyDescent="0.35">
      <c r="A696">
        <v>695</v>
      </c>
      <c r="B696">
        <v>45887.696440324071</v>
      </c>
      <c r="D696" t="s">
        <v>3339</v>
      </c>
      <c r="E696" t="s">
        <v>2155</v>
      </c>
      <c r="F696" t="s">
        <v>28</v>
      </c>
      <c r="G696" t="s">
        <v>28</v>
      </c>
      <c r="H696" t="s">
        <v>28</v>
      </c>
      <c r="I696" t="s">
        <v>158</v>
      </c>
      <c r="J696" t="s">
        <v>28</v>
      </c>
      <c r="K696" t="s">
        <v>28</v>
      </c>
      <c r="L696" t="s">
        <v>46</v>
      </c>
      <c r="N696" t="s">
        <v>3171</v>
      </c>
      <c r="O696" t="s">
        <v>38</v>
      </c>
      <c r="P696" t="s">
        <v>38</v>
      </c>
      <c r="Q696" t="s">
        <v>49</v>
      </c>
      <c r="R696" t="s">
        <v>2253</v>
      </c>
      <c r="S696" t="s">
        <v>49</v>
      </c>
      <c r="T696" t="s">
        <v>2244</v>
      </c>
      <c r="U696" t="s">
        <v>2175</v>
      </c>
      <c r="V696" t="s">
        <v>53</v>
      </c>
      <c r="W696" t="s">
        <v>3340</v>
      </c>
      <c r="X696" t="s">
        <v>1030</v>
      </c>
      <c r="Y696" t="s">
        <v>3341</v>
      </c>
      <c r="Z696" t="s">
        <v>91</v>
      </c>
    </row>
    <row r="697" spans="1:26" ht="12.75" customHeight="1" x14ac:dyDescent="0.35">
      <c r="A697">
        <v>696</v>
      </c>
      <c r="B697">
        <v>45887.701738738426</v>
      </c>
      <c r="D697" t="s">
        <v>3342</v>
      </c>
      <c r="E697" t="s">
        <v>2155</v>
      </c>
      <c r="F697" t="s">
        <v>28</v>
      </c>
      <c r="G697" t="s">
        <v>28</v>
      </c>
      <c r="H697" t="s">
        <v>28</v>
      </c>
      <c r="I697" t="s">
        <v>28</v>
      </c>
      <c r="J697" t="s">
        <v>94</v>
      </c>
      <c r="K697" t="s">
        <v>28</v>
      </c>
      <c r="L697" t="s">
        <v>46</v>
      </c>
      <c r="N697" t="s">
        <v>2385</v>
      </c>
      <c r="O697" t="s">
        <v>49</v>
      </c>
      <c r="P697" t="s">
        <v>38</v>
      </c>
      <c r="Q697" t="s">
        <v>38</v>
      </c>
      <c r="R697" t="s">
        <v>2195</v>
      </c>
      <c r="S697" t="s">
        <v>38</v>
      </c>
      <c r="T697" t="s">
        <v>2186</v>
      </c>
      <c r="U697" t="s">
        <v>2471</v>
      </c>
      <c r="V697" t="s">
        <v>53</v>
      </c>
      <c r="W697" t="s">
        <v>3343</v>
      </c>
      <c r="X697" t="s">
        <v>1030</v>
      </c>
      <c r="Y697" t="s">
        <v>3344</v>
      </c>
      <c r="Z697" t="s">
        <v>91</v>
      </c>
    </row>
    <row r="698" spans="1:26" ht="12.75" customHeight="1" x14ac:dyDescent="0.35">
      <c r="A698">
        <v>697</v>
      </c>
      <c r="B698">
        <v>45887.707244456018</v>
      </c>
      <c r="D698" t="s">
        <v>3345</v>
      </c>
      <c r="E698" t="s">
        <v>2155</v>
      </c>
      <c r="F698" t="s">
        <v>28</v>
      </c>
      <c r="G698" t="s">
        <v>28</v>
      </c>
      <c r="H698" t="s">
        <v>28</v>
      </c>
      <c r="I698" t="s">
        <v>28</v>
      </c>
      <c r="J698" t="s">
        <v>28</v>
      </c>
      <c r="K698" t="s">
        <v>28</v>
      </c>
      <c r="L698" t="s">
        <v>46</v>
      </c>
      <c r="N698" t="s">
        <v>2379</v>
      </c>
      <c r="O698" t="s">
        <v>49</v>
      </c>
      <c r="P698" t="s">
        <v>49</v>
      </c>
      <c r="Q698" t="s">
        <v>49</v>
      </c>
      <c r="R698" t="s">
        <v>2195</v>
      </c>
      <c r="S698" t="s">
        <v>49</v>
      </c>
      <c r="T698" t="s">
        <v>2186</v>
      </c>
      <c r="U698" t="s">
        <v>2175</v>
      </c>
      <c r="V698" t="s">
        <v>53</v>
      </c>
      <c r="W698" t="s">
        <v>3346</v>
      </c>
      <c r="X698" t="s">
        <v>1030</v>
      </c>
      <c r="Y698" t="s">
        <v>3347</v>
      </c>
      <c r="Z698" t="s">
        <v>91</v>
      </c>
    </row>
    <row r="699" spans="1:26" ht="12.75" customHeight="1" x14ac:dyDescent="0.35">
      <c r="A699">
        <v>698</v>
      </c>
      <c r="B699">
        <v>45887.711350219906</v>
      </c>
      <c r="D699" t="s">
        <v>3348</v>
      </c>
      <c r="E699" t="s">
        <v>1875</v>
      </c>
      <c r="F699" t="s">
        <v>44</v>
      </c>
      <c r="G699" t="s">
        <v>44</v>
      </c>
      <c r="H699" t="s">
        <v>28</v>
      </c>
      <c r="I699" t="s">
        <v>103</v>
      </c>
      <c r="J699" t="s">
        <v>45</v>
      </c>
      <c r="K699" t="s">
        <v>45</v>
      </c>
      <c r="L699" t="s">
        <v>36</v>
      </c>
      <c r="N699" t="s">
        <v>2635</v>
      </c>
      <c r="O699" t="s">
        <v>49</v>
      </c>
      <c r="P699" t="s">
        <v>48</v>
      </c>
      <c r="Q699" t="s">
        <v>38</v>
      </c>
      <c r="R699" t="s">
        <v>3349</v>
      </c>
      <c r="S699" t="s">
        <v>49</v>
      </c>
      <c r="T699" t="s">
        <v>3350</v>
      </c>
      <c r="U699" t="s">
        <v>3351</v>
      </c>
      <c r="V699" t="s">
        <v>53</v>
      </c>
      <c r="W699" t="s">
        <v>3352</v>
      </c>
      <c r="X699" t="s">
        <v>118</v>
      </c>
      <c r="Y699" t="s">
        <v>3353</v>
      </c>
      <c r="Z699" t="s">
        <v>91</v>
      </c>
    </row>
    <row r="700" spans="1:26" ht="12.75" customHeight="1" x14ac:dyDescent="0.35">
      <c r="A700">
        <v>699</v>
      </c>
      <c r="B700">
        <v>45887.713538425931</v>
      </c>
      <c r="D700" t="s">
        <v>2871</v>
      </c>
      <c r="E700" t="s">
        <v>2155</v>
      </c>
      <c r="F700" t="s">
        <v>28</v>
      </c>
      <c r="G700" t="s">
        <v>28</v>
      </c>
      <c r="H700" t="s">
        <v>28</v>
      </c>
      <c r="I700" t="s">
        <v>28</v>
      </c>
      <c r="J700" t="s">
        <v>28</v>
      </c>
      <c r="K700" t="s">
        <v>28</v>
      </c>
      <c r="L700" t="s">
        <v>46</v>
      </c>
      <c r="N700" t="s">
        <v>2369</v>
      </c>
      <c r="O700" t="s">
        <v>48</v>
      </c>
      <c r="P700" t="s">
        <v>49</v>
      </c>
      <c r="Q700" t="s">
        <v>49</v>
      </c>
      <c r="R700" t="s">
        <v>2195</v>
      </c>
      <c r="S700" t="s">
        <v>49</v>
      </c>
      <c r="T700" t="s">
        <v>2244</v>
      </c>
      <c r="U700" t="s">
        <v>2175</v>
      </c>
      <c r="V700" t="s">
        <v>53</v>
      </c>
      <c r="W700" t="s">
        <v>2873</v>
      </c>
      <c r="X700" t="s">
        <v>1030</v>
      </c>
      <c r="Y700" t="s">
        <v>3354</v>
      </c>
      <c r="Z700" t="s">
        <v>91</v>
      </c>
    </row>
    <row r="701" spans="1:26" ht="12.75" customHeight="1" x14ac:dyDescent="0.35">
      <c r="A701">
        <v>700</v>
      </c>
      <c r="B701">
        <v>45887.71595322917</v>
      </c>
      <c r="D701" t="s">
        <v>3355</v>
      </c>
      <c r="E701" t="s">
        <v>1875</v>
      </c>
      <c r="F701" t="s">
        <v>44</v>
      </c>
      <c r="G701" t="s">
        <v>60</v>
      </c>
      <c r="H701" t="s">
        <v>60</v>
      </c>
      <c r="I701" t="s">
        <v>173</v>
      </c>
      <c r="J701" t="s">
        <v>45</v>
      </c>
      <c r="K701" t="s">
        <v>45</v>
      </c>
      <c r="L701" t="s">
        <v>46</v>
      </c>
      <c r="N701" t="s">
        <v>2756</v>
      </c>
      <c r="O701" t="s">
        <v>49</v>
      </c>
      <c r="P701" t="s">
        <v>38</v>
      </c>
      <c r="Q701" t="s">
        <v>48</v>
      </c>
      <c r="R701" t="s">
        <v>3356</v>
      </c>
      <c r="S701" t="s">
        <v>49</v>
      </c>
      <c r="T701" t="s">
        <v>3357</v>
      </c>
      <c r="U701" t="s">
        <v>3358</v>
      </c>
      <c r="V701" t="s">
        <v>53</v>
      </c>
      <c r="W701" t="s">
        <v>3359</v>
      </c>
      <c r="X701" t="s">
        <v>118</v>
      </c>
      <c r="Y701" t="s">
        <v>3360</v>
      </c>
      <c r="Z701" t="s">
        <v>91</v>
      </c>
    </row>
    <row r="702" spans="1:26" ht="12.75" customHeight="1" x14ac:dyDescent="0.35">
      <c r="A702">
        <v>701</v>
      </c>
      <c r="B702">
        <v>45887.718706354164</v>
      </c>
      <c r="D702" t="s">
        <v>3361</v>
      </c>
      <c r="E702" t="s">
        <v>2155</v>
      </c>
      <c r="F702" t="s">
        <v>28</v>
      </c>
      <c r="G702" t="s">
        <v>196</v>
      </c>
      <c r="H702" t="s">
        <v>28</v>
      </c>
      <c r="I702" t="s">
        <v>28</v>
      </c>
      <c r="J702" t="s">
        <v>28</v>
      </c>
      <c r="K702" t="s">
        <v>28</v>
      </c>
      <c r="L702" t="s">
        <v>46</v>
      </c>
      <c r="N702" t="s">
        <v>2369</v>
      </c>
      <c r="P702" t="s">
        <v>49</v>
      </c>
      <c r="Q702" t="s">
        <v>49</v>
      </c>
      <c r="R702" t="s">
        <v>2195</v>
      </c>
      <c r="S702" t="s">
        <v>49</v>
      </c>
      <c r="T702" t="s">
        <v>2244</v>
      </c>
      <c r="U702" t="s">
        <v>2175</v>
      </c>
      <c r="V702" t="s">
        <v>53</v>
      </c>
      <c r="W702" t="s">
        <v>3362</v>
      </c>
      <c r="X702" t="s">
        <v>1030</v>
      </c>
      <c r="Y702" t="s">
        <v>3363</v>
      </c>
      <c r="Z702" t="s">
        <v>91</v>
      </c>
    </row>
    <row r="703" spans="1:26" ht="12.75" customHeight="1" x14ac:dyDescent="0.35">
      <c r="A703">
        <v>702</v>
      </c>
      <c r="B703">
        <v>45887.724325046293</v>
      </c>
      <c r="D703" t="s">
        <v>3364</v>
      </c>
      <c r="E703" t="s">
        <v>2155</v>
      </c>
      <c r="F703" t="s">
        <v>377</v>
      </c>
      <c r="G703" t="s">
        <v>196</v>
      </c>
      <c r="H703" t="s">
        <v>28</v>
      </c>
      <c r="I703" t="s">
        <v>28</v>
      </c>
      <c r="J703" t="s">
        <v>28</v>
      </c>
      <c r="K703" t="s">
        <v>28</v>
      </c>
      <c r="L703" t="s">
        <v>36</v>
      </c>
      <c r="N703" t="s">
        <v>2356</v>
      </c>
      <c r="O703" t="s">
        <v>38</v>
      </c>
      <c r="P703" t="s">
        <v>38</v>
      </c>
      <c r="Q703" t="s">
        <v>38</v>
      </c>
      <c r="R703" t="s">
        <v>2195</v>
      </c>
      <c r="S703" t="s">
        <v>49</v>
      </c>
      <c r="T703" t="s">
        <v>2304</v>
      </c>
      <c r="U703" t="s">
        <v>2175</v>
      </c>
      <c r="V703" t="s">
        <v>53</v>
      </c>
      <c r="W703" t="s">
        <v>3365</v>
      </c>
      <c r="X703" t="s">
        <v>1030</v>
      </c>
      <c r="Y703" t="s">
        <v>3366</v>
      </c>
      <c r="Z703" t="s">
        <v>91</v>
      </c>
    </row>
    <row r="704" spans="1:26" ht="12.75" customHeight="1" x14ac:dyDescent="0.35">
      <c r="A704">
        <v>703</v>
      </c>
      <c r="B704">
        <v>45887.725793831021</v>
      </c>
      <c r="D704" t="s">
        <v>3367</v>
      </c>
      <c r="E704" t="s">
        <v>1875</v>
      </c>
      <c r="F704" t="s">
        <v>28</v>
      </c>
      <c r="G704" t="s">
        <v>44</v>
      </c>
      <c r="H704" t="s">
        <v>28</v>
      </c>
      <c r="I704" t="s">
        <v>103</v>
      </c>
      <c r="J704" t="s">
        <v>28</v>
      </c>
      <c r="K704" t="s">
        <v>45</v>
      </c>
      <c r="L704" t="s">
        <v>36</v>
      </c>
      <c r="N704" t="s">
        <v>2756</v>
      </c>
      <c r="O704" t="s">
        <v>49</v>
      </c>
      <c r="P704" t="s">
        <v>49</v>
      </c>
      <c r="Q704" t="s">
        <v>48</v>
      </c>
      <c r="R704" t="s">
        <v>3368</v>
      </c>
      <c r="S704" t="s">
        <v>49</v>
      </c>
      <c r="T704" t="s">
        <v>3369</v>
      </c>
      <c r="U704" t="s">
        <v>3370</v>
      </c>
      <c r="V704" t="s">
        <v>87</v>
      </c>
      <c r="W704" t="s">
        <v>3371</v>
      </c>
      <c r="X704" t="s">
        <v>118</v>
      </c>
      <c r="Y704" t="s">
        <v>3372</v>
      </c>
      <c r="Z704" t="s">
        <v>91</v>
      </c>
    </row>
    <row r="705" spans="1:26" ht="12.75" customHeight="1" x14ac:dyDescent="0.35">
      <c r="A705">
        <v>704</v>
      </c>
      <c r="B705">
        <v>45887.728153020835</v>
      </c>
      <c r="D705" t="s">
        <v>3373</v>
      </c>
      <c r="E705" t="s">
        <v>1520</v>
      </c>
      <c r="F705" t="s">
        <v>344</v>
      </c>
      <c r="G705" t="s">
        <v>29</v>
      </c>
      <c r="H705" t="s">
        <v>29</v>
      </c>
      <c r="I705" t="s">
        <v>30</v>
      </c>
      <c r="J705" t="s">
        <v>30</v>
      </c>
      <c r="K705" t="s">
        <v>94</v>
      </c>
      <c r="L705" t="s">
        <v>46</v>
      </c>
      <c r="N705" t="s">
        <v>3374</v>
      </c>
      <c r="O705" t="s">
        <v>49</v>
      </c>
      <c r="P705" t="s">
        <v>49</v>
      </c>
      <c r="Q705" t="s">
        <v>49</v>
      </c>
      <c r="R705" t="s">
        <v>3375</v>
      </c>
      <c r="S705" t="s">
        <v>49</v>
      </c>
      <c r="T705" t="s">
        <v>3376</v>
      </c>
      <c r="U705" t="s">
        <v>3377</v>
      </c>
      <c r="V705" t="s">
        <v>79</v>
      </c>
      <c r="X705" t="s">
        <v>100</v>
      </c>
      <c r="Y705" t="s">
        <v>3378</v>
      </c>
      <c r="Z705" t="s">
        <v>91</v>
      </c>
    </row>
    <row r="706" spans="1:26" ht="12.75" customHeight="1" x14ac:dyDescent="0.35">
      <c r="A706">
        <v>705</v>
      </c>
      <c r="B706">
        <v>45887.729933645838</v>
      </c>
      <c r="D706" t="s">
        <v>3379</v>
      </c>
      <c r="E706" t="s">
        <v>1875</v>
      </c>
      <c r="F706" t="s">
        <v>28</v>
      </c>
      <c r="G706" t="s">
        <v>44</v>
      </c>
      <c r="H706" t="s">
        <v>28</v>
      </c>
      <c r="I706" t="s">
        <v>103</v>
      </c>
      <c r="J706" t="s">
        <v>45</v>
      </c>
      <c r="K706" t="s">
        <v>45</v>
      </c>
      <c r="L706" t="s">
        <v>46</v>
      </c>
      <c r="N706" t="s">
        <v>2756</v>
      </c>
      <c r="O706" t="s">
        <v>49</v>
      </c>
      <c r="P706" t="s">
        <v>49</v>
      </c>
      <c r="Q706" t="s">
        <v>49</v>
      </c>
      <c r="R706" t="s">
        <v>3380</v>
      </c>
      <c r="S706" t="s">
        <v>49</v>
      </c>
      <c r="T706" t="s">
        <v>3381</v>
      </c>
      <c r="U706" t="s">
        <v>3382</v>
      </c>
      <c r="V706" t="s">
        <v>53</v>
      </c>
      <c r="W706" t="s">
        <v>3383</v>
      </c>
      <c r="X706" t="s">
        <v>118</v>
      </c>
      <c r="Y706" t="s">
        <v>3384</v>
      </c>
      <c r="Z706" t="s">
        <v>91</v>
      </c>
    </row>
    <row r="707" spans="1:26" ht="12.75" customHeight="1" x14ac:dyDescent="0.35">
      <c r="A707">
        <v>706</v>
      </c>
      <c r="B707">
        <v>45887.731160752315</v>
      </c>
      <c r="D707" t="s">
        <v>3385</v>
      </c>
      <c r="E707" t="s">
        <v>2431</v>
      </c>
      <c r="F707" t="s">
        <v>28</v>
      </c>
      <c r="G707" t="s">
        <v>28</v>
      </c>
      <c r="H707" t="s">
        <v>28</v>
      </c>
      <c r="I707" t="s">
        <v>28</v>
      </c>
      <c r="J707" t="s">
        <v>28</v>
      </c>
      <c r="K707" t="s">
        <v>28</v>
      </c>
      <c r="L707" t="s">
        <v>36</v>
      </c>
      <c r="N707" t="s">
        <v>2635</v>
      </c>
      <c r="O707" t="s">
        <v>49</v>
      </c>
      <c r="P707" t="s">
        <v>49</v>
      </c>
      <c r="Q707" t="s">
        <v>49</v>
      </c>
      <c r="R707" t="s">
        <v>3221</v>
      </c>
      <c r="S707" t="s">
        <v>49</v>
      </c>
      <c r="T707" t="s">
        <v>3386</v>
      </c>
      <c r="U707" t="s">
        <v>2282</v>
      </c>
      <c r="V707" t="s">
        <v>53</v>
      </c>
      <c r="W707" t="s">
        <v>3387</v>
      </c>
      <c r="X707" t="s">
        <v>127</v>
      </c>
      <c r="Y707" t="s">
        <v>3388</v>
      </c>
      <c r="Z707" t="s">
        <v>91</v>
      </c>
    </row>
    <row r="708" spans="1:26" ht="12.75" customHeight="1" x14ac:dyDescent="0.35">
      <c r="A708">
        <v>707</v>
      </c>
      <c r="B708">
        <v>45887.731623368054</v>
      </c>
      <c r="D708" t="s">
        <v>3389</v>
      </c>
      <c r="E708" t="s">
        <v>1534</v>
      </c>
      <c r="F708" t="s">
        <v>28</v>
      </c>
      <c r="G708" t="s">
        <v>28</v>
      </c>
      <c r="H708" t="s">
        <v>28</v>
      </c>
      <c r="I708" t="s">
        <v>28</v>
      </c>
      <c r="J708" t="s">
        <v>28</v>
      </c>
      <c r="K708" t="s">
        <v>28</v>
      </c>
      <c r="L708" t="s">
        <v>36</v>
      </c>
      <c r="N708" t="s">
        <v>3390</v>
      </c>
      <c r="O708" t="s">
        <v>49</v>
      </c>
      <c r="P708" t="s">
        <v>49</v>
      </c>
      <c r="Q708" t="s">
        <v>49</v>
      </c>
      <c r="R708" t="s">
        <v>3391</v>
      </c>
      <c r="S708" t="s">
        <v>49</v>
      </c>
      <c r="T708" t="s">
        <v>3392</v>
      </c>
      <c r="U708" t="s">
        <v>3393</v>
      </c>
      <c r="V708" t="s">
        <v>53</v>
      </c>
      <c r="X708" t="s">
        <v>100</v>
      </c>
      <c r="Y708" t="s">
        <v>3394</v>
      </c>
      <c r="Z708" t="s">
        <v>129</v>
      </c>
    </row>
    <row r="709" spans="1:26" ht="12.75" customHeight="1" x14ac:dyDescent="0.35">
      <c r="A709">
        <v>708</v>
      </c>
      <c r="B709">
        <v>45887.733152002314</v>
      </c>
      <c r="D709" t="s">
        <v>3395</v>
      </c>
      <c r="E709" t="s">
        <v>1875</v>
      </c>
      <c r="F709" t="s">
        <v>44</v>
      </c>
      <c r="G709" t="s">
        <v>60</v>
      </c>
      <c r="H709" t="s">
        <v>157</v>
      </c>
      <c r="I709" t="s">
        <v>103</v>
      </c>
      <c r="J709" t="s">
        <v>45</v>
      </c>
      <c r="K709" t="s">
        <v>368</v>
      </c>
      <c r="L709" t="s">
        <v>36</v>
      </c>
      <c r="N709" t="s">
        <v>2756</v>
      </c>
      <c r="O709" t="s">
        <v>49</v>
      </c>
      <c r="P709" t="s">
        <v>49</v>
      </c>
      <c r="Q709" t="s">
        <v>49</v>
      </c>
      <c r="R709" t="s">
        <v>3396</v>
      </c>
      <c r="S709" t="s">
        <v>49</v>
      </c>
      <c r="T709" t="s">
        <v>3397</v>
      </c>
      <c r="U709" t="s">
        <v>3398</v>
      </c>
      <c r="V709" t="s">
        <v>53</v>
      </c>
      <c r="W709" t="s">
        <v>3399</v>
      </c>
      <c r="X709" t="s">
        <v>118</v>
      </c>
      <c r="Y709" t="s">
        <v>3400</v>
      </c>
      <c r="Z709" t="s">
        <v>91</v>
      </c>
    </row>
    <row r="710" spans="1:26" ht="12.75" customHeight="1" x14ac:dyDescent="0.35">
      <c r="A710">
        <v>709</v>
      </c>
      <c r="B710">
        <v>45887.735203217591</v>
      </c>
      <c r="D710" t="s">
        <v>3401</v>
      </c>
      <c r="E710" t="s">
        <v>3402</v>
      </c>
      <c r="F710" t="s">
        <v>71</v>
      </c>
      <c r="G710" t="s">
        <v>33</v>
      </c>
      <c r="H710" t="s">
        <v>33</v>
      </c>
      <c r="I710" t="s">
        <v>72</v>
      </c>
      <c r="J710" t="s">
        <v>34</v>
      </c>
      <c r="K710" t="s">
        <v>74</v>
      </c>
      <c r="L710" t="s">
        <v>46</v>
      </c>
      <c r="N710" t="s">
        <v>3403</v>
      </c>
      <c r="O710" t="s">
        <v>48</v>
      </c>
      <c r="P710" t="s">
        <v>48</v>
      </c>
      <c r="Q710" t="s">
        <v>48</v>
      </c>
      <c r="R710" t="s">
        <v>3404</v>
      </c>
      <c r="S710" t="s">
        <v>48</v>
      </c>
      <c r="T710" t="s">
        <v>3405</v>
      </c>
      <c r="U710" t="s">
        <v>3406</v>
      </c>
      <c r="V710" t="s">
        <v>135</v>
      </c>
      <c r="X710" t="s">
        <v>81</v>
      </c>
      <c r="Y710" t="s">
        <v>3407</v>
      </c>
      <c r="Z710" t="s">
        <v>91</v>
      </c>
    </row>
    <row r="711" spans="1:26" ht="12.75" customHeight="1" x14ac:dyDescent="0.35">
      <c r="A711">
        <v>710</v>
      </c>
      <c r="B711">
        <v>45887.737308344906</v>
      </c>
      <c r="D711" t="s">
        <v>3408</v>
      </c>
      <c r="E711" t="s">
        <v>1875</v>
      </c>
      <c r="F711" t="s">
        <v>377</v>
      </c>
      <c r="G711" t="s">
        <v>44</v>
      </c>
      <c r="H711" t="s">
        <v>157</v>
      </c>
      <c r="I711" t="s">
        <v>173</v>
      </c>
      <c r="J711" t="s">
        <v>28</v>
      </c>
      <c r="K711" t="s">
        <v>368</v>
      </c>
      <c r="L711" t="s">
        <v>46</v>
      </c>
      <c r="N711" t="s">
        <v>2828</v>
      </c>
      <c r="O711" t="s">
        <v>49</v>
      </c>
      <c r="P711" t="s">
        <v>49</v>
      </c>
      <c r="Q711" t="s">
        <v>49</v>
      </c>
      <c r="R711" t="s">
        <v>3409</v>
      </c>
      <c r="S711" t="s">
        <v>49</v>
      </c>
      <c r="T711" t="s">
        <v>3410</v>
      </c>
      <c r="U711" t="s">
        <v>3411</v>
      </c>
      <c r="V711" t="s">
        <v>53</v>
      </c>
      <c r="W711" t="s">
        <v>3412</v>
      </c>
      <c r="X711" t="s">
        <v>118</v>
      </c>
      <c r="Y711" t="s">
        <v>3413</v>
      </c>
      <c r="Z711" t="s">
        <v>91</v>
      </c>
    </row>
    <row r="712" spans="1:26" ht="12.75" customHeight="1" x14ac:dyDescent="0.35">
      <c r="A712">
        <v>711</v>
      </c>
      <c r="B712">
        <v>45887.739055289348</v>
      </c>
      <c r="D712" t="s">
        <v>3414</v>
      </c>
      <c r="E712" t="s">
        <v>3415</v>
      </c>
      <c r="F712" t="s">
        <v>71</v>
      </c>
      <c r="G712" t="s">
        <v>29</v>
      </c>
      <c r="H712" t="s">
        <v>206</v>
      </c>
      <c r="I712" t="s">
        <v>30</v>
      </c>
      <c r="J712" t="s">
        <v>30</v>
      </c>
      <c r="K712" t="s">
        <v>94</v>
      </c>
      <c r="L712" t="s">
        <v>36</v>
      </c>
      <c r="N712" t="s">
        <v>3416</v>
      </c>
      <c r="O712" t="s">
        <v>48</v>
      </c>
      <c r="P712" t="s">
        <v>49</v>
      </c>
      <c r="Q712" t="s">
        <v>49</v>
      </c>
      <c r="R712" t="s">
        <v>3417</v>
      </c>
      <c r="S712" t="s">
        <v>48</v>
      </c>
      <c r="T712" t="s">
        <v>3418</v>
      </c>
      <c r="U712" t="s">
        <v>3419</v>
      </c>
      <c r="V712" t="s">
        <v>79</v>
      </c>
      <c r="X712" t="s">
        <v>834</v>
      </c>
      <c r="Y712" t="s">
        <v>3420</v>
      </c>
      <c r="Z712" t="s">
        <v>129</v>
      </c>
    </row>
    <row r="713" spans="1:26" ht="12.75" customHeight="1" x14ac:dyDescent="0.35">
      <c r="A713">
        <v>712</v>
      </c>
      <c r="B713">
        <v>45887.739220000003</v>
      </c>
      <c r="D713" t="s">
        <v>2515</v>
      </c>
      <c r="E713" t="s">
        <v>32</v>
      </c>
      <c r="F713" t="s">
        <v>449</v>
      </c>
      <c r="G713" t="s">
        <v>28</v>
      </c>
      <c r="H713" t="s">
        <v>29</v>
      </c>
      <c r="I713" t="s">
        <v>72</v>
      </c>
      <c r="J713" t="s">
        <v>94</v>
      </c>
      <c r="K713" t="s">
        <v>35</v>
      </c>
      <c r="L713" t="s">
        <v>46</v>
      </c>
      <c r="N713" t="s">
        <v>2235</v>
      </c>
      <c r="O713" t="s">
        <v>40</v>
      </c>
      <c r="P713" t="s">
        <v>48</v>
      </c>
      <c r="Q713" t="s">
        <v>48</v>
      </c>
      <c r="R713" t="s">
        <v>3421</v>
      </c>
      <c r="S713" t="s">
        <v>38</v>
      </c>
      <c r="V713" t="s">
        <v>53</v>
      </c>
      <c r="W713" t="s">
        <v>2516</v>
      </c>
      <c r="X713" t="s">
        <v>2246</v>
      </c>
      <c r="Y713" t="s">
        <v>3422</v>
      </c>
      <c r="Z713" t="s">
        <v>170</v>
      </c>
    </row>
    <row r="714" spans="1:26" ht="12.75" customHeight="1" x14ac:dyDescent="0.35">
      <c r="A714">
        <v>713</v>
      </c>
      <c r="B714">
        <v>45887.739796793983</v>
      </c>
      <c r="D714" t="s">
        <v>3423</v>
      </c>
      <c r="E714" t="s">
        <v>2431</v>
      </c>
      <c r="F714" t="s">
        <v>28</v>
      </c>
      <c r="G714" t="s">
        <v>28</v>
      </c>
      <c r="H714" t="s">
        <v>28</v>
      </c>
      <c r="I714" t="s">
        <v>28</v>
      </c>
      <c r="J714" t="s">
        <v>28</v>
      </c>
      <c r="K714" t="s">
        <v>28</v>
      </c>
      <c r="L714" t="s">
        <v>46</v>
      </c>
      <c r="N714" t="s">
        <v>3424</v>
      </c>
      <c r="O714" t="s">
        <v>49</v>
      </c>
      <c r="P714" t="s">
        <v>49</v>
      </c>
      <c r="Q714" t="s">
        <v>49</v>
      </c>
      <c r="R714" t="s">
        <v>3221</v>
      </c>
      <c r="S714" t="s">
        <v>49</v>
      </c>
      <c r="T714" t="s">
        <v>3425</v>
      </c>
      <c r="U714" t="s">
        <v>2096</v>
      </c>
      <c r="V714" t="s">
        <v>53</v>
      </c>
      <c r="W714" t="s">
        <v>3426</v>
      </c>
      <c r="X714" t="s">
        <v>127</v>
      </c>
      <c r="Y714" t="s">
        <v>3427</v>
      </c>
      <c r="Z714" t="s">
        <v>91</v>
      </c>
    </row>
    <row r="715" spans="1:26" ht="12.75" customHeight="1" x14ac:dyDescent="0.35">
      <c r="A715">
        <v>714</v>
      </c>
      <c r="B715">
        <v>45887.740874837968</v>
      </c>
      <c r="D715" t="s">
        <v>3428</v>
      </c>
      <c r="E715" t="s">
        <v>2155</v>
      </c>
      <c r="F715" t="s">
        <v>344</v>
      </c>
      <c r="G715" t="s">
        <v>29</v>
      </c>
      <c r="H715" t="s">
        <v>29</v>
      </c>
      <c r="I715" t="s">
        <v>30</v>
      </c>
      <c r="J715" t="s">
        <v>30</v>
      </c>
      <c r="K715" t="s">
        <v>61</v>
      </c>
      <c r="L715" t="s">
        <v>46</v>
      </c>
      <c r="N715" t="s">
        <v>2984</v>
      </c>
      <c r="O715" t="s">
        <v>49</v>
      </c>
      <c r="P715" t="s">
        <v>49</v>
      </c>
      <c r="Q715" t="s">
        <v>49</v>
      </c>
      <c r="R715" t="s">
        <v>3326</v>
      </c>
      <c r="S715" t="s">
        <v>49</v>
      </c>
      <c r="T715" t="s">
        <v>3429</v>
      </c>
      <c r="U715" t="s">
        <v>3328</v>
      </c>
      <c r="V715" t="s">
        <v>53</v>
      </c>
      <c r="W715" t="s">
        <v>3430</v>
      </c>
      <c r="X715" t="s">
        <v>3028</v>
      </c>
      <c r="Y715" t="s">
        <v>3431</v>
      </c>
      <c r="Z715" t="s">
        <v>91</v>
      </c>
    </row>
    <row r="716" spans="1:26" ht="12.75" customHeight="1" x14ac:dyDescent="0.35">
      <c r="A716">
        <v>715</v>
      </c>
      <c r="B716">
        <v>45887.741146493056</v>
      </c>
      <c r="D716" t="s">
        <v>3432</v>
      </c>
      <c r="E716" t="s">
        <v>1875</v>
      </c>
      <c r="F716" t="s">
        <v>28</v>
      </c>
      <c r="G716" t="s">
        <v>44</v>
      </c>
      <c r="H716" t="s">
        <v>157</v>
      </c>
      <c r="I716" t="s">
        <v>103</v>
      </c>
      <c r="J716" t="s">
        <v>45</v>
      </c>
      <c r="K716" t="s">
        <v>45</v>
      </c>
      <c r="L716" t="s">
        <v>36</v>
      </c>
      <c r="N716" t="s">
        <v>2828</v>
      </c>
      <c r="O716" t="s">
        <v>49</v>
      </c>
      <c r="P716" t="s">
        <v>49</v>
      </c>
      <c r="Q716" t="s">
        <v>49</v>
      </c>
      <c r="R716" t="s">
        <v>3433</v>
      </c>
      <c r="S716" t="s">
        <v>49</v>
      </c>
      <c r="T716" t="s">
        <v>3434</v>
      </c>
      <c r="U716" t="s">
        <v>3435</v>
      </c>
      <c r="V716" t="s">
        <v>53</v>
      </c>
      <c r="W716" t="s">
        <v>3436</v>
      </c>
      <c r="X716" t="s">
        <v>118</v>
      </c>
      <c r="Y716" t="s">
        <v>3437</v>
      </c>
      <c r="Z716" t="s">
        <v>91</v>
      </c>
    </row>
    <row r="717" spans="1:26" ht="12.75" customHeight="1" x14ac:dyDescent="0.35">
      <c r="A717">
        <v>716</v>
      </c>
      <c r="B717">
        <v>45887.742959351854</v>
      </c>
      <c r="D717" t="s">
        <v>3438</v>
      </c>
      <c r="E717" t="s">
        <v>32</v>
      </c>
      <c r="F717" t="s">
        <v>28</v>
      </c>
      <c r="G717" t="s">
        <v>197</v>
      </c>
      <c r="H717" t="s">
        <v>60</v>
      </c>
      <c r="I717" t="s">
        <v>103</v>
      </c>
      <c r="J717" t="s">
        <v>73</v>
      </c>
      <c r="K717" t="s">
        <v>73</v>
      </c>
      <c r="L717" t="s">
        <v>46</v>
      </c>
      <c r="N717" t="s">
        <v>2235</v>
      </c>
      <c r="O717" t="s">
        <v>40</v>
      </c>
      <c r="P717" t="s">
        <v>48</v>
      </c>
      <c r="Q717" t="s">
        <v>48</v>
      </c>
      <c r="R717" t="s">
        <v>3439</v>
      </c>
      <c r="S717" t="s">
        <v>48</v>
      </c>
      <c r="V717" t="s">
        <v>53</v>
      </c>
      <c r="W717" t="s">
        <v>3440</v>
      </c>
      <c r="X717" t="s">
        <v>2246</v>
      </c>
      <c r="Y717" t="s">
        <v>3441</v>
      </c>
      <c r="Z717" t="s">
        <v>91</v>
      </c>
    </row>
    <row r="718" spans="1:26" ht="12.75" customHeight="1" x14ac:dyDescent="0.35">
      <c r="A718">
        <v>717</v>
      </c>
      <c r="B718">
        <v>45887.743691400465</v>
      </c>
      <c r="D718" t="s">
        <v>3442</v>
      </c>
      <c r="E718" t="s">
        <v>1282</v>
      </c>
      <c r="F718" t="s">
        <v>71</v>
      </c>
      <c r="G718" t="s">
        <v>33</v>
      </c>
      <c r="H718" t="s">
        <v>73</v>
      </c>
      <c r="I718" t="s">
        <v>34</v>
      </c>
      <c r="J718" t="s">
        <v>34</v>
      </c>
      <c r="K718" t="s">
        <v>73</v>
      </c>
      <c r="L718" t="s">
        <v>46</v>
      </c>
      <c r="N718" t="s">
        <v>3443</v>
      </c>
      <c r="O718" t="s">
        <v>48</v>
      </c>
      <c r="P718" t="s">
        <v>48</v>
      </c>
      <c r="Q718" t="s">
        <v>48</v>
      </c>
      <c r="R718" t="s">
        <v>3444</v>
      </c>
      <c r="S718" t="s">
        <v>48</v>
      </c>
      <c r="T718" t="s">
        <v>3445</v>
      </c>
      <c r="U718" t="s">
        <v>3446</v>
      </c>
      <c r="V718" t="s">
        <v>53</v>
      </c>
      <c r="X718" t="s">
        <v>834</v>
      </c>
      <c r="Y718" t="s">
        <v>3447</v>
      </c>
      <c r="Z718" t="s">
        <v>57</v>
      </c>
    </row>
    <row r="719" spans="1:26" ht="12.75" customHeight="1" x14ac:dyDescent="0.35">
      <c r="A719">
        <v>718</v>
      </c>
      <c r="B719">
        <v>45887.743962326393</v>
      </c>
      <c r="D719" t="s">
        <v>3448</v>
      </c>
      <c r="E719" t="s">
        <v>2098</v>
      </c>
      <c r="F719" t="s">
        <v>28</v>
      </c>
      <c r="G719" t="s">
        <v>28</v>
      </c>
      <c r="H719" t="s">
        <v>28</v>
      </c>
      <c r="I719" t="s">
        <v>28</v>
      </c>
      <c r="J719" t="s">
        <v>28</v>
      </c>
      <c r="K719" t="s">
        <v>28</v>
      </c>
      <c r="L719" t="s">
        <v>46</v>
      </c>
      <c r="N719" t="s">
        <v>3424</v>
      </c>
      <c r="O719" t="s">
        <v>49</v>
      </c>
      <c r="P719" t="s">
        <v>49</v>
      </c>
      <c r="Q719" t="s">
        <v>49</v>
      </c>
      <c r="R719" t="s">
        <v>3221</v>
      </c>
      <c r="S719" t="s">
        <v>49</v>
      </c>
      <c r="T719" t="s">
        <v>3425</v>
      </c>
      <c r="U719" t="s">
        <v>2282</v>
      </c>
      <c r="V719" t="s">
        <v>53</v>
      </c>
      <c r="W719" t="s">
        <v>3449</v>
      </c>
      <c r="X719" t="s">
        <v>127</v>
      </c>
      <c r="Y719" t="s">
        <v>730</v>
      </c>
      <c r="Z719" t="s">
        <v>91</v>
      </c>
    </row>
    <row r="720" spans="1:26" ht="12.75" customHeight="1" x14ac:dyDescent="0.35">
      <c r="A720">
        <v>719</v>
      </c>
      <c r="B720">
        <v>45887.745948287033</v>
      </c>
      <c r="D720" t="s">
        <v>3450</v>
      </c>
      <c r="E720" t="s">
        <v>2155</v>
      </c>
      <c r="F720" t="s">
        <v>344</v>
      </c>
      <c r="G720" t="s">
        <v>29</v>
      </c>
      <c r="H720" t="s">
        <v>29</v>
      </c>
      <c r="I720" t="s">
        <v>196</v>
      </c>
      <c r="J720" t="s">
        <v>30</v>
      </c>
      <c r="K720" t="s">
        <v>61</v>
      </c>
      <c r="L720" t="s">
        <v>46</v>
      </c>
      <c r="N720" t="s">
        <v>3451</v>
      </c>
      <c r="O720" t="s">
        <v>38</v>
      </c>
      <c r="P720" t="s">
        <v>38</v>
      </c>
      <c r="Q720" t="s">
        <v>38</v>
      </c>
      <c r="R720" t="s">
        <v>3326</v>
      </c>
      <c r="S720" t="s">
        <v>38</v>
      </c>
      <c r="T720" t="s">
        <v>3452</v>
      </c>
      <c r="U720" t="s">
        <v>3453</v>
      </c>
      <c r="V720" t="s">
        <v>53</v>
      </c>
      <c r="W720" t="s">
        <v>3454</v>
      </c>
      <c r="X720" t="s">
        <v>3455</v>
      </c>
      <c r="Y720" t="s">
        <v>3456</v>
      </c>
      <c r="Z720" t="s">
        <v>91</v>
      </c>
    </row>
    <row r="721" spans="1:26" ht="12.75" customHeight="1" x14ac:dyDescent="0.35">
      <c r="A721">
        <v>720</v>
      </c>
      <c r="B721">
        <v>45887.74652803241</v>
      </c>
      <c r="D721" t="s">
        <v>3457</v>
      </c>
      <c r="E721" t="s">
        <v>1520</v>
      </c>
      <c r="F721" t="s">
        <v>29</v>
      </c>
      <c r="G721" t="s">
        <v>29</v>
      </c>
      <c r="H721" t="s">
        <v>29</v>
      </c>
      <c r="I721" t="s">
        <v>30</v>
      </c>
      <c r="J721" t="s">
        <v>30</v>
      </c>
      <c r="K721" t="s">
        <v>94</v>
      </c>
      <c r="L721" t="s">
        <v>36</v>
      </c>
      <c r="N721" t="s">
        <v>304</v>
      </c>
      <c r="O721" t="s">
        <v>49</v>
      </c>
      <c r="P721" t="s">
        <v>49</v>
      </c>
      <c r="Q721" t="s">
        <v>49</v>
      </c>
      <c r="R721" t="s">
        <v>3458</v>
      </c>
      <c r="S721" t="s">
        <v>49</v>
      </c>
      <c r="T721" t="s">
        <v>3459</v>
      </c>
      <c r="U721" t="s">
        <v>3460</v>
      </c>
      <c r="V721" t="s">
        <v>53</v>
      </c>
      <c r="X721" t="s">
        <v>109</v>
      </c>
      <c r="Y721" t="s">
        <v>3461</v>
      </c>
      <c r="Z721" t="s">
        <v>91</v>
      </c>
    </row>
    <row r="722" spans="1:26" ht="12.75" customHeight="1" x14ac:dyDescent="0.35">
      <c r="A722">
        <v>721</v>
      </c>
      <c r="B722">
        <v>45887.747241481484</v>
      </c>
      <c r="D722" t="s">
        <v>3462</v>
      </c>
      <c r="E722" t="s">
        <v>32</v>
      </c>
      <c r="F722" t="s">
        <v>71</v>
      </c>
      <c r="G722" t="s">
        <v>33</v>
      </c>
      <c r="H722" t="s">
        <v>73</v>
      </c>
      <c r="I722" t="s">
        <v>34</v>
      </c>
      <c r="J722" t="s">
        <v>73</v>
      </c>
      <c r="K722" t="s">
        <v>73</v>
      </c>
      <c r="L722" t="s">
        <v>46</v>
      </c>
      <c r="N722" t="s">
        <v>2276</v>
      </c>
      <c r="O722" t="s">
        <v>48</v>
      </c>
      <c r="P722" t="s">
        <v>49</v>
      </c>
      <c r="Q722" t="s">
        <v>49</v>
      </c>
      <c r="R722" t="s">
        <v>3463</v>
      </c>
      <c r="S722" t="s">
        <v>49</v>
      </c>
      <c r="V722" t="s">
        <v>53</v>
      </c>
      <c r="W722" t="s">
        <v>3464</v>
      </c>
      <c r="X722" t="s">
        <v>118</v>
      </c>
      <c r="Y722" t="s">
        <v>3465</v>
      </c>
      <c r="Z722" t="s">
        <v>170</v>
      </c>
    </row>
    <row r="723" spans="1:26" ht="12.75" customHeight="1" x14ac:dyDescent="0.35">
      <c r="A723">
        <v>722</v>
      </c>
      <c r="B723">
        <v>45887.750857638894</v>
      </c>
      <c r="D723" t="s">
        <v>3466</v>
      </c>
      <c r="E723" t="s">
        <v>2098</v>
      </c>
      <c r="F723" t="s">
        <v>28</v>
      </c>
      <c r="G723" t="s">
        <v>28</v>
      </c>
      <c r="H723" t="s">
        <v>28</v>
      </c>
      <c r="I723" t="s">
        <v>28</v>
      </c>
      <c r="J723" t="s">
        <v>28</v>
      </c>
      <c r="K723" t="s">
        <v>28</v>
      </c>
      <c r="L723" t="s">
        <v>36</v>
      </c>
      <c r="N723" t="s">
        <v>3424</v>
      </c>
      <c r="O723" t="s">
        <v>49</v>
      </c>
      <c r="P723" t="s">
        <v>49</v>
      </c>
      <c r="Q723" t="s">
        <v>49</v>
      </c>
      <c r="R723" t="s">
        <v>3221</v>
      </c>
      <c r="S723" t="s">
        <v>49</v>
      </c>
      <c r="T723" t="s">
        <v>3467</v>
      </c>
      <c r="U723" t="s">
        <v>2282</v>
      </c>
      <c r="V723" t="s">
        <v>53</v>
      </c>
      <c r="W723" t="s">
        <v>3468</v>
      </c>
      <c r="X723" t="s">
        <v>127</v>
      </c>
      <c r="Y723" t="s">
        <v>3469</v>
      </c>
      <c r="Z723" t="s">
        <v>91</v>
      </c>
    </row>
    <row r="724" spans="1:26" ht="12.75" customHeight="1" x14ac:dyDescent="0.35">
      <c r="A724">
        <v>723</v>
      </c>
      <c r="B724">
        <v>45887.751283472222</v>
      </c>
      <c r="D724" t="s">
        <v>3470</v>
      </c>
      <c r="E724" t="s">
        <v>3471</v>
      </c>
      <c r="F724" t="s">
        <v>344</v>
      </c>
      <c r="G724" t="s">
        <v>29</v>
      </c>
      <c r="H724" t="s">
        <v>29</v>
      </c>
      <c r="I724" t="s">
        <v>30</v>
      </c>
      <c r="J724" t="s">
        <v>173</v>
      </c>
      <c r="K724" t="s">
        <v>94</v>
      </c>
      <c r="L724" t="s">
        <v>46</v>
      </c>
      <c r="N724" t="s">
        <v>731</v>
      </c>
      <c r="O724" t="s">
        <v>49</v>
      </c>
      <c r="P724" t="s">
        <v>48</v>
      </c>
      <c r="Q724" t="s">
        <v>48</v>
      </c>
      <c r="R724" t="s">
        <v>3472</v>
      </c>
      <c r="S724" t="s">
        <v>49</v>
      </c>
      <c r="T724" t="s">
        <v>3473</v>
      </c>
      <c r="U724" t="s">
        <v>3474</v>
      </c>
      <c r="V724" t="s">
        <v>65</v>
      </c>
      <c r="X724" t="s">
        <v>109</v>
      </c>
      <c r="Y724" t="s">
        <v>3475</v>
      </c>
      <c r="Z724" t="s">
        <v>129</v>
      </c>
    </row>
    <row r="725" spans="1:26" ht="12.75" customHeight="1" x14ac:dyDescent="0.35">
      <c r="A725">
        <v>724</v>
      </c>
      <c r="B725">
        <v>45887.751758761573</v>
      </c>
      <c r="D725" t="s">
        <v>3476</v>
      </c>
      <c r="E725" t="s">
        <v>2155</v>
      </c>
      <c r="F725" t="s">
        <v>71</v>
      </c>
      <c r="G725" t="s">
        <v>33</v>
      </c>
      <c r="H725" t="s">
        <v>33</v>
      </c>
      <c r="I725" t="s">
        <v>34</v>
      </c>
      <c r="J725" t="s">
        <v>34</v>
      </c>
      <c r="K725" t="s">
        <v>74</v>
      </c>
      <c r="L725" t="s">
        <v>36</v>
      </c>
      <c r="N725" t="s">
        <v>3477</v>
      </c>
      <c r="O725" t="s">
        <v>40</v>
      </c>
      <c r="P725" t="s">
        <v>38</v>
      </c>
      <c r="Q725" t="s">
        <v>38</v>
      </c>
      <c r="R725" t="s">
        <v>3326</v>
      </c>
      <c r="S725" t="s">
        <v>40</v>
      </c>
      <c r="T725" t="s">
        <v>3478</v>
      </c>
      <c r="U725" t="s">
        <v>3479</v>
      </c>
      <c r="V725" t="s">
        <v>53</v>
      </c>
      <c r="W725" t="s">
        <v>3480</v>
      </c>
      <c r="X725" t="s">
        <v>3455</v>
      </c>
      <c r="Y725" t="s">
        <v>3481</v>
      </c>
      <c r="Z725" t="s">
        <v>91</v>
      </c>
    </row>
    <row r="726" spans="1:26" ht="12.75" customHeight="1" x14ac:dyDescent="0.35">
      <c r="A726">
        <v>725</v>
      </c>
      <c r="B726">
        <v>45887.752980682868</v>
      </c>
      <c r="D726" t="s">
        <v>3482</v>
      </c>
      <c r="E726" t="s">
        <v>3483</v>
      </c>
      <c r="F726" t="s">
        <v>44</v>
      </c>
      <c r="G726" t="s">
        <v>158</v>
      </c>
      <c r="H726" t="s">
        <v>73</v>
      </c>
      <c r="I726" t="s">
        <v>72</v>
      </c>
      <c r="J726" t="s">
        <v>103</v>
      </c>
      <c r="K726" t="s">
        <v>94</v>
      </c>
      <c r="L726" t="s">
        <v>46</v>
      </c>
      <c r="N726" t="s">
        <v>2276</v>
      </c>
      <c r="O726" t="s">
        <v>48</v>
      </c>
      <c r="P726" t="s">
        <v>38</v>
      </c>
      <c r="Q726" t="s">
        <v>48</v>
      </c>
      <c r="R726" t="s">
        <v>3484</v>
      </c>
      <c r="S726" t="s">
        <v>48</v>
      </c>
      <c r="V726" t="s">
        <v>53</v>
      </c>
      <c r="W726" t="s">
        <v>3485</v>
      </c>
      <c r="X726" t="s">
        <v>118</v>
      </c>
      <c r="Y726" t="s">
        <v>3486</v>
      </c>
      <c r="Z726" t="s">
        <v>91</v>
      </c>
    </row>
    <row r="727" spans="1:26" ht="12.75" customHeight="1" x14ac:dyDescent="0.35">
      <c r="A727">
        <v>726</v>
      </c>
      <c r="B727">
        <v>45887.754486342594</v>
      </c>
      <c r="D727" t="s">
        <v>3487</v>
      </c>
      <c r="E727" t="s">
        <v>2098</v>
      </c>
      <c r="F727" t="s">
        <v>28</v>
      </c>
      <c r="G727" t="s">
        <v>28</v>
      </c>
      <c r="H727" t="s">
        <v>28</v>
      </c>
      <c r="I727" t="s">
        <v>28</v>
      </c>
      <c r="J727" t="s">
        <v>28</v>
      </c>
      <c r="K727" t="s">
        <v>28</v>
      </c>
      <c r="L727" t="s">
        <v>36</v>
      </c>
      <c r="N727" t="s">
        <v>3424</v>
      </c>
      <c r="O727" t="s">
        <v>49</v>
      </c>
      <c r="P727" t="s">
        <v>49</v>
      </c>
      <c r="Q727" t="s">
        <v>49</v>
      </c>
      <c r="R727" t="s">
        <v>3221</v>
      </c>
      <c r="S727" t="s">
        <v>49</v>
      </c>
      <c r="T727" t="s">
        <v>3467</v>
      </c>
      <c r="U727" t="s">
        <v>2096</v>
      </c>
      <c r="V727" t="s">
        <v>53</v>
      </c>
      <c r="W727" t="s">
        <v>3488</v>
      </c>
      <c r="X727" t="s">
        <v>127</v>
      </c>
      <c r="Y727" t="s">
        <v>3489</v>
      </c>
      <c r="Z727" t="s">
        <v>91</v>
      </c>
    </row>
    <row r="728" spans="1:26" ht="12.75" customHeight="1" x14ac:dyDescent="0.35">
      <c r="A728">
        <v>727</v>
      </c>
      <c r="B728">
        <v>45887.7573972338</v>
      </c>
      <c r="D728" t="s">
        <v>3490</v>
      </c>
      <c r="E728" t="s">
        <v>2155</v>
      </c>
      <c r="F728" t="s">
        <v>33</v>
      </c>
      <c r="G728" t="s">
        <v>33</v>
      </c>
      <c r="H728" t="s">
        <v>33</v>
      </c>
      <c r="I728" t="s">
        <v>34</v>
      </c>
      <c r="J728" t="s">
        <v>34</v>
      </c>
      <c r="K728" t="s">
        <v>74</v>
      </c>
      <c r="L728" t="s">
        <v>36</v>
      </c>
      <c r="N728" t="s">
        <v>3477</v>
      </c>
      <c r="O728" t="s">
        <v>38</v>
      </c>
      <c r="P728" t="s">
        <v>38</v>
      </c>
      <c r="Q728" t="s">
        <v>38</v>
      </c>
      <c r="R728" t="s">
        <v>3491</v>
      </c>
      <c r="S728" t="s">
        <v>38</v>
      </c>
      <c r="T728" t="s">
        <v>3492</v>
      </c>
      <c r="U728" t="s">
        <v>3493</v>
      </c>
      <c r="V728" t="s">
        <v>53</v>
      </c>
      <c r="W728" t="s">
        <v>3494</v>
      </c>
      <c r="X728" t="s">
        <v>3455</v>
      </c>
      <c r="Y728" t="s">
        <v>3495</v>
      </c>
      <c r="Z728" t="s">
        <v>91</v>
      </c>
    </row>
    <row r="729" spans="1:26" ht="12.75" customHeight="1" x14ac:dyDescent="0.35">
      <c r="A729">
        <v>728</v>
      </c>
      <c r="B729">
        <v>45887.758786631945</v>
      </c>
      <c r="D729" t="s">
        <v>3496</v>
      </c>
      <c r="E729" t="s">
        <v>2431</v>
      </c>
      <c r="F729" t="s">
        <v>28</v>
      </c>
      <c r="G729" t="s">
        <v>28</v>
      </c>
      <c r="H729" t="s">
        <v>28</v>
      </c>
      <c r="I729" t="s">
        <v>28</v>
      </c>
      <c r="J729" t="s">
        <v>28</v>
      </c>
      <c r="K729" t="s">
        <v>28</v>
      </c>
      <c r="L729" t="s">
        <v>36</v>
      </c>
      <c r="N729" t="s">
        <v>3497</v>
      </c>
      <c r="O729" t="s">
        <v>49</v>
      </c>
      <c r="P729" t="s">
        <v>49</v>
      </c>
      <c r="Q729" t="s">
        <v>49</v>
      </c>
      <c r="R729" t="s">
        <v>3221</v>
      </c>
      <c r="S729" t="s">
        <v>49</v>
      </c>
      <c r="T729" t="s">
        <v>3467</v>
      </c>
      <c r="U729" t="s">
        <v>2096</v>
      </c>
      <c r="V729" t="s">
        <v>53</v>
      </c>
      <c r="W729" t="s">
        <v>3498</v>
      </c>
      <c r="X729" t="s">
        <v>127</v>
      </c>
      <c r="Y729" t="s">
        <v>2445</v>
      </c>
      <c r="Z729" t="s">
        <v>91</v>
      </c>
    </row>
    <row r="730" spans="1:26" ht="12.75" customHeight="1" x14ac:dyDescent="0.35">
      <c r="A730">
        <v>729</v>
      </c>
      <c r="B730">
        <v>45887.762779722223</v>
      </c>
      <c r="D730" t="s">
        <v>3499</v>
      </c>
      <c r="E730" t="s">
        <v>1345</v>
      </c>
      <c r="F730" t="s">
        <v>71</v>
      </c>
      <c r="G730" t="s">
        <v>33</v>
      </c>
      <c r="H730" t="s">
        <v>33</v>
      </c>
      <c r="I730" t="s">
        <v>34</v>
      </c>
      <c r="J730" t="s">
        <v>34</v>
      </c>
      <c r="K730" t="s">
        <v>73</v>
      </c>
      <c r="L730" t="s">
        <v>36</v>
      </c>
      <c r="N730" t="s">
        <v>3500</v>
      </c>
      <c r="O730" t="s">
        <v>48</v>
      </c>
      <c r="P730" t="s">
        <v>48</v>
      </c>
      <c r="Q730" t="s">
        <v>48</v>
      </c>
      <c r="R730" t="s">
        <v>3501</v>
      </c>
      <c r="S730" t="s">
        <v>48</v>
      </c>
      <c r="T730" t="s">
        <v>3502</v>
      </c>
      <c r="U730" t="s">
        <v>3503</v>
      </c>
      <c r="V730" t="s">
        <v>53</v>
      </c>
      <c r="X730" t="s">
        <v>109</v>
      </c>
      <c r="Y730" t="s">
        <v>3504</v>
      </c>
      <c r="Z730" t="s">
        <v>129</v>
      </c>
    </row>
    <row r="731" spans="1:26" ht="12.75" customHeight="1" x14ac:dyDescent="0.35">
      <c r="A731">
        <v>730</v>
      </c>
      <c r="B731">
        <v>45887.763975416667</v>
      </c>
      <c r="D731" t="s">
        <v>3505</v>
      </c>
      <c r="E731" t="s">
        <v>2859</v>
      </c>
      <c r="F731" t="s">
        <v>71</v>
      </c>
      <c r="G731" t="s">
        <v>33</v>
      </c>
      <c r="H731" t="s">
        <v>33</v>
      </c>
      <c r="I731" t="s">
        <v>34</v>
      </c>
      <c r="J731" t="s">
        <v>34</v>
      </c>
      <c r="K731" t="s">
        <v>73</v>
      </c>
      <c r="L731" t="s">
        <v>36</v>
      </c>
      <c r="N731" t="s">
        <v>3506</v>
      </c>
      <c r="O731" t="s">
        <v>38</v>
      </c>
      <c r="P731" t="s">
        <v>38</v>
      </c>
      <c r="Q731" t="s">
        <v>38</v>
      </c>
      <c r="R731" t="s">
        <v>3491</v>
      </c>
      <c r="S731" t="s">
        <v>38</v>
      </c>
      <c r="T731" t="s">
        <v>3507</v>
      </c>
      <c r="U731" t="s">
        <v>3508</v>
      </c>
      <c r="V731" t="s">
        <v>53</v>
      </c>
      <c r="W731" t="s">
        <v>3509</v>
      </c>
      <c r="X731" t="s">
        <v>3510</v>
      </c>
      <c r="Y731" t="s">
        <v>3511</v>
      </c>
      <c r="Z731" t="s">
        <v>91</v>
      </c>
    </row>
    <row r="732" spans="1:26" ht="12.75" customHeight="1" x14ac:dyDescent="0.35">
      <c r="A732">
        <v>731</v>
      </c>
      <c r="B732">
        <v>45887.765335219912</v>
      </c>
      <c r="D732" t="s">
        <v>3512</v>
      </c>
      <c r="E732" t="s">
        <v>1960</v>
      </c>
      <c r="F732" t="s">
        <v>44</v>
      </c>
      <c r="G732" t="s">
        <v>44</v>
      </c>
      <c r="H732" t="s">
        <v>44</v>
      </c>
      <c r="I732" t="s">
        <v>103</v>
      </c>
      <c r="J732" t="s">
        <v>45</v>
      </c>
      <c r="K732" t="s">
        <v>35</v>
      </c>
      <c r="L732" t="s">
        <v>46</v>
      </c>
      <c r="N732" t="s">
        <v>3513</v>
      </c>
      <c r="O732" t="s">
        <v>48</v>
      </c>
      <c r="P732" t="s">
        <v>48</v>
      </c>
      <c r="Q732" t="s">
        <v>38</v>
      </c>
      <c r="R732" t="s">
        <v>1885</v>
      </c>
      <c r="S732" t="s">
        <v>48</v>
      </c>
      <c r="T732" t="s">
        <v>1962</v>
      </c>
      <c r="U732" t="s">
        <v>1887</v>
      </c>
      <c r="V732" t="s">
        <v>79</v>
      </c>
      <c r="W732" t="s">
        <v>3514</v>
      </c>
      <c r="X732" t="s">
        <v>3515</v>
      </c>
      <c r="Y732" t="s">
        <v>1434</v>
      </c>
      <c r="Z732" t="s">
        <v>91</v>
      </c>
    </row>
    <row r="733" spans="1:26" ht="12.75" customHeight="1" x14ac:dyDescent="0.35">
      <c r="A733">
        <v>732</v>
      </c>
      <c r="B733">
        <v>45887.766043229167</v>
      </c>
      <c r="D733" t="s">
        <v>3516</v>
      </c>
      <c r="E733" t="s">
        <v>1447</v>
      </c>
      <c r="F733" t="s">
        <v>344</v>
      </c>
      <c r="G733" t="s">
        <v>29</v>
      </c>
      <c r="H733" t="s">
        <v>29</v>
      </c>
      <c r="I733" t="s">
        <v>30</v>
      </c>
      <c r="J733" t="s">
        <v>94</v>
      </c>
      <c r="K733" t="s">
        <v>94</v>
      </c>
      <c r="L733" t="s">
        <v>46</v>
      </c>
      <c r="N733" t="s">
        <v>3517</v>
      </c>
      <c r="O733" t="s">
        <v>49</v>
      </c>
      <c r="P733" t="s">
        <v>49</v>
      </c>
      <c r="Q733" t="s">
        <v>49</v>
      </c>
      <c r="R733" t="s">
        <v>3518</v>
      </c>
      <c r="S733" t="s">
        <v>49</v>
      </c>
      <c r="T733" t="s">
        <v>3519</v>
      </c>
      <c r="U733" t="s">
        <v>3520</v>
      </c>
      <c r="V733" t="s">
        <v>135</v>
      </c>
      <c r="X733" t="s">
        <v>109</v>
      </c>
      <c r="Y733" t="s">
        <v>3521</v>
      </c>
      <c r="Z733" t="s">
        <v>91</v>
      </c>
    </row>
    <row r="734" spans="1:26" ht="12.75" customHeight="1" x14ac:dyDescent="0.35">
      <c r="A734">
        <v>733</v>
      </c>
      <c r="B734">
        <v>45887.769903541666</v>
      </c>
      <c r="D734" t="s">
        <v>3522</v>
      </c>
      <c r="E734" t="s">
        <v>2155</v>
      </c>
      <c r="F734" t="s">
        <v>29</v>
      </c>
      <c r="G734" t="s">
        <v>29</v>
      </c>
      <c r="H734" t="s">
        <v>29</v>
      </c>
      <c r="I734" t="s">
        <v>30</v>
      </c>
      <c r="J734" t="s">
        <v>30</v>
      </c>
      <c r="K734" t="s">
        <v>94</v>
      </c>
      <c r="L734" t="s">
        <v>46</v>
      </c>
      <c r="N734" t="s">
        <v>3506</v>
      </c>
      <c r="O734" t="s">
        <v>40</v>
      </c>
      <c r="P734" t="s">
        <v>40</v>
      </c>
      <c r="Q734" t="s">
        <v>49</v>
      </c>
      <c r="R734" t="s">
        <v>3491</v>
      </c>
      <c r="S734" t="s">
        <v>49</v>
      </c>
      <c r="T734" t="s">
        <v>3523</v>
      </c>
      <c r="U734" t="s">
        <v>3524</v>
      </c>
      <c r="V734" t="s">
        <v>53</v>
      </c>
      <c r="W734" t="s">
        <v>3525</v>
      </c>
      <c r="X734" t="s">
        <v>3510</v>
      </c>
      <c r="Y734" t="s">
        <v>3526</v>
      </c>
      <c r="Z734" t="s">
        <v>91</v>
      </c>
    </row>
    <row r="735" spans="1:26" ht="12.75" customHeight="1" x14ac:dyDescent="0.35">
      <c r="A735">
        <v>734</v>
      </c>
      <c r="B735">
        <v>45887.770420439818</v>
      </c>
      <c r="D735" t="s">
        <v>3527</v>
      </c>
      <c r="E735" t="s">
        <v>1192</v>
      </c>
      <c r="F735" t="s">
        <v>344</v>
      </c>
      <c r="G735" t="s">
        <v>29</v>
      </c>
      <c r="H735" t="s">
        <v>206</v>
      </c>
      <c r="I735" t="s">
        <v>30</v>
      </c>
      <c r="J735" t="s">
        <v>94</v>
      </c>
      <c r="K735" t="s">
        <v>94</v>
      </c>
      <c r="L735" t="s">
        <v>36</v>
      </c>
      <c r="N735" t="s">
        <v>3528</v>
      </c>
      <c r="O735" t="s">
        <v>49</v>
      </c>
      <c r="P735" t="s">
        <v>48</v>
      </c>
      <c r="Q735" t="s">
        <v>49</v>
      </c>
      <c r="R735" t="s">
        <v>3529</v>
      </c>
      <c r="S735" t="s">
        <v>48</v>
      </c>
      <c r="T735" t="s">
        <v>3530</v>
      </c>
      <c r="U735" t="s">
        <v>3531</v>
      </c>
      <c r="V735" t="s">
        <v>53</v>
      </c>
      <c r="X735" t="s">
        <v>109</v>
      </c>
      <c r="Y735" t="s">
        <v>3532</v>
      </c>
      <c r="Z735" t="s">
        <v>129</v>
      </c>
    </row>
    <row r="736" spans="1:26" ht="12.75" customHeight="1" x14ac:dyDescent="0.35">
      <c r="A736">
        <v>735</v>
      </c>
      <c r="B736">
        <v>45887.771385844906</v>
      </c>
      <c r="D736" t="s">
        <v>3533</v>
      </c>
      <c r="E736" t="s">
        <v>1875</v>
      </c>
      <c r="F736" t="s">
        <v>44</v>
      </c>
      <c r="G736" t="s">
        <v>44</v>
      </c>
      <c r="H736" t="s">
        <v>157</v>
      </c>
      <c r="I736" t="s">
        <v>103</v>
      </c>
      <c r="J736" t="s">
        <v>45</v>
      </c>
      <c r="K736" t="s">
        <v>368</v>
      </c>
      <c r="L736" t="s">
        <v>46</v>
      </c>
      <c r="N736" t="s">
        <v>2828</v>
      </c>
      <c r="O736" t="s">
        <v>49</v>
      </c>
      <c r="P736" t="s">
        <v>49</v>
      </c>
      <c r="Q736" t="s">
        <v>49</v>
      </c>
      <c r="R736" t="s">
        <v>3534</v>
      </c>
      <c r="S736" t="s">
        <v>49</v>
      </c>
      <c r="T736" t="s">
        <v>3535</v>
      </c>
      <c r="U736" t="s">
        <v>3536</v>
      </c>
      <c r="V736" t="s">
        <v>53</v>
      </c>
      <c r="W736" t="s">
        <v>3537</v>
      </c>
      <c r="X736" t="s">
        <v>118</v>
      </c>
      <c r="Y736" t="s">
        <v>3538</v>
      </c>
      <c r="Z736" t="s">
        <v>91</v>
      </c>
    </row>
    <row r="737" spans="1:26" ht="12.75" customHeight="1" x14ac:dyDescent="0.35">
      <c r="A737">
        <v>736</v>
      </c>
      <c r="B737">
        <v>45887.773144583334</v>
      </c>
      <c r="D737" t="s">
        <v>3539</v>
      </c>
      <c r="E737" t="s">
        <v>32</v>
      </c>
      <c r="F737" t="s">
        <v>71</v>
      </c>
      <c r="G737" t="s">
        <v>33</v>
      </c>
      <c r="H737" t="s">
        <v>33</v>
      </c>
      <c r="I737" t="s">
        <v>103</v>
      </c>
      <c r="J737" t="s">
        <v>34</v>
      </c>
      <c r="K737" t="s">
        <v>35</v>
      </c>
      <c r="L737" t="s">
        <v>36</v>
      </c>
      <c r="N737" t="s">
        <v>2276</v>
      </c>
      <c r="O737" t="s">
        <v>48</v>
      </c>
      <c r="P737" t="s">
        <v>48</v>
      </c>
      <c r="Q737" t="s">
        <v>48</v>
      </c>
      <c r="R737" t="s">
        <v>3540</v>
      </c>
      <c r="S737" t="s">
        <v>48</v>
      </c>
      <c r="V737" t="s">
        <v>53</v>
      </c>
      <c r="W737" t="s">
        <v>3541</v>
      </c>
      <c r="X737" t="s">
        <v>118</v>
      </c>
      <c r="Y737" t="s">
        <v>3542</v>
      </c>
      <c r="Z737" t="s">
        <v>91</v>
      </c>
    </row>
    <row r="738" spans="1:26" ht="12.75" customHeight="1" x14ac:dyDescent="0.35">
      <c r="A738">
        <v>737</v>
      </c>
      <c r="B738">
        <v>45887.773861157402</v>
      </c>
      <c r="D738" t="s">
        <v>3543</v>
      </c>
      <c r="E738" t="s">
        <v>1345</v>
      </c>
      <c r="F738" t="s">
        <v>344</v>
      </c>
      <c r="G738" t="s">
        <v>29</v>
      </c>
      <c r="H738" t="s">
        <v>29</v>
      </c>
      <c r="I738" t="s">
        <v>30</v>
      </c>
      <c r="J738" t="s">
        <v>30</v>
      </c>
      <c r="K738" t="s">
        <v>94</v>
      </c>
      <c r="L738" t="s">
        <v>36</v>
      </c>
      <c r="N738" t="s">
        <v>3544</v>
      </c>
      <c r="O738" t="s">
        <v>49</v>
      </c>
      <c r="P738" t="s">
        <v>49</v>
      </c>
      <c r="Q738" t="s">
        <v>49</v>
      </c>
      <c r="R738" t="s">
        <v>3545</v>
      </c>
      <c r="S738" t="s">
        <v>49</v>
      </c>
      <c r="T738" t="s">
        <v>3546</v>
      </c>
      <c r="U738" t="s">
        <v>3547</v>
      </c>
      <c r="V738" t="s">
        <v>87</v>
      </c>
      <c r="X738" t="s">
        <v>834</v>
      </c>
      <c r="Y738" t="s">
        <v>3548</v>
      </c>
      <c r="Z738" t="s">
        <v>129</v>
      </c>
    </row>
    <row r="739" spans="1:26" ht="12.75" customHeight="1" x14ac:dyDescent="0.35">
      <c r="A739">
        <v>738</v>
      </c>
      <c r="B739">
        <v>45887.775465300925</v>
      </c>
      <c r="D739" t="s">
        <v>3549</v>
      </c>
      <c r="E739" t="s">
        <v>2155</v>
      </c>
      <c r="F739" t="s">
        <v>28</v>
      </c>
      <c r="G739" t="s">
        <v>28</v>
      </c>
      <c r="H739" t="s">
        <v>33</v>
      </c>
      <c r="I739" t="s">
        <v>28</v>
      </c>
      <c r="J739" t="s">
        <v>28</v>
      </c>
      <c r="K739" t="s">
        <v>28</v>
      </c>
      <c r="L739" t="s">
        <v>46</v>
      </c>
      <c r="N739" t="s">
        <v>3506</v>
      </c>
      <c r="O739" t="s">
        <v>38</v>
      </c>
      <c r="P739" t="s">
        <v>38</v>
      </c>
      <c r="Q739" t="s">
        <v>38</v>
      </c>
      <c r="R739" t="s">
        <v>3491</v>
      </c>
      <c r="S739" t="s">
        <v>38</v>
      </c>
      <c r="T739" t="s">
        <v>3550</v>
      </c>
      <c r="U739" t="s">
        <v>3551</v>
      </c>
      <c r="V739" t="s">
        <v>53</v>
      </c>
      <c r="W739" t="s">
        <v>3552</v>
      </c>
      <c r="X739" t="s">
        <v>3510</v>
      </c>
      <c r="Y739" t="s">
        <v>3553</v>
      </c>
      <c r="Z739" t="s">
        <v>91</v>
      </c>
    </row>
    <row r="740" spans="1:26" ht="12.75" customHeight="1" x14ac:dyDescent="0.35">
      <c r="A740">
        <v>739</v>
      </c>
      <c r="B740">
        <v>45887.778234641199</v>
      </c>
      <c r="D740" t="s">
        <v>3554</v>
      </c>
      <c r="E740" t="s">
        <v>3471</v>
      </c>
      <c r="F740" t="s">
        <v>29</v>
      </c>
      <c r="G740" t="s">
        <v>29</v>
      </c>
      <c r="H740" t="s">
        <v>29</v>
      </c>
      <c r="I740" t="s">
        <v>30</v>
      </c>
      <c r="J740" t="s">
        <v>30</v>
      </c>
      <c r="K740" t="s">
        <v>94</v>
      </c>
      <c r="L740" t="s">
        <v>46</v>
      </c>
      <c r="N740" t="s">
        <v>3555</v>
      </c>
      <c r="O740" t="s">
        <v>49</v>
      </c>
      <c r="P740" t="s">
        <v>49</v>
      </c>
      <c r="Q740" t="s">
        <v>49</v>
      </c>
      <c r="R740" t="s">
        <v>3556</v>
      </c>
      <c r="S740" t="s">
        <v>49</v>
      </c>
      <c r="T740" t="s">
        <v>3557</v>
      </c>
      <c r="U740" t="s">
        <v>3558</v>
      </c>
      <c r="V740" t="s">
        <v>79</v>
      </c>
      <c r="X740" t="s">
        <v>834</v>
      </c>
      <c r="Y740" t="s">
        <v>3559</v>
      </c>
      <c r="Z740" t="s">
        <v>57</v>
      </c>
    </row>
    <row r="741" spans="1:26" ht="12.75" customHeight="1" x14ac:dyDescent="0.35">
      <c r="A741">
        <v>740</v>
      </c>
      <c r="B741">
        <v>45887.778801458335</v>
      </c>
      <c r="D741" t="s">
        <v>3560</v>
      </c>
      <c r="E741" t="s">
        <v>1875</v>
      </c>
      <c r="F741" t="s">
        <v>28</v>
      </c>
      <c r="G741" t="s">
        <v>44</v>
      </c>
      <c r="H741" t="s">
        <v>157</v>
      </c>
      <c r="I741" t="s">
        <v>103</v>
      </c>
      <c r="J741" t="s">
        <v>45</v>
      </c>
      <c r="K741" t="s">
        <v>368</v>
      </c>
      <c r="L741" t="s">
        <v>36</v>
      </c>
      <c r="N741" t="s">
        <v>2828</v>
      </c>
      <c r="O741" t="s">
        <v>49</v>
      </c>
      <c r="P741" t="s">
        <v>49</v>
      </c>
      <c r="Q741" t="s">
        <v>49</v>
      </c>
      <c r="R741" t="s">
        <v>3561</v>
      </c>
      <c r="S741" t="s">
        <v>49</v>
      </c>
      <c r="T741" t="s">
        <v>3562</v>
      </c>
      <c r="U741" t="s">
        <v>3563</v>
      </c>
      <c r="V741" t="s">
        <v>53</v>
      </c>
      <c r="W741" t="s">
        <v>3564</v>
      </c>
      <c r="X741" t="s">
        <v>118</v>
      </c>
      <c r="Y741" t="s">
        <v>3565</v>
      </c>
      <c r="Z741" t="s">
        <v>91</v>
      </c>
    </row>
    <row r="742" spans="1:26" ht="12.75" customHeight="1" x14ac:dyDescent="0.35">
      <c r="A742">
        <v>741</v>
      </c>
      <c r="B742">
        <v>45887.780349212961</v>
      </c>
      <c r="D742" t="s">
        <v>3566</v>
      </c>
      <c r="E742" t="s">
        <v>2155</v>
      </c>
      <c r="F742" t="s">
        <v>33</v>
      </c>
      <c r="G742" t="s">
        <v>33</v>
      </c>
      <c r="H742" t="s">
        <v>33</v>
      </c>
      <c r="I742" t="s">
        <v>34</v>
      </c>
      <c r="J742" t="s">
        <v>34</v>
      </c>
      <c r="K742" t="s">
        <v>74</v>
      </c>
      <c r="L742" t="s">
        <v>36</v>
      </c>
      <c r="N742" t="s">
        <v>3506</v>
      </c>
      <c r="O742" t="s">
        <v>38</v>
      </c>
      <c r="P742" t="s">
        <v>38</v>
      </c>
      <c r="Q742" t="s">
        <v>38</v>
      </c>
      <c r="R742" t="s">
        <v>3491</v>
      </c>
      <c r="S742" t="s">
        <v>38</v>
      </c>
      <c r="T742" t="s">
        <v>3507</v>
      </c>
      <c r="U742" t="s">
        <v>3567</v>
      </c>
      <c r="V742" t="s">
        <v>53</v>
      </c>
      <c r="W742" t="s">
        <v>3568</v>
      </c>
      <c r="X742" t="s">
        <v>3510</v>
      </c>
      <c r="Y742" t="s">
        <v>3569</v>
      </c>
      <c r="Z742" t="s">
        <v>91</v>
      </c>
    </row>
    <row r="743" spans="1:26" ht="12.75" customHeight="1" x14ac:dyDescent="0.35">
      <c r="A743">
        <v>742</v>
      </c>
      <c r="B743">
        <v>45887.781547233797</v>
      </c>
      <c r="D743" t="s">
        <v>3570</v>
      </c>
      <c r="E743" t="s">
        <v>3571</v>
      </c>
      <c r="F743" t="s">
        <v>28</v>
      </c>
      <c r="G743" t="s">
        <v>28</v>
      </c>
      <c r="H743" t="s">
        <v>28</v>
      </c>
      <c r="I743" t="s">
        <v>28</v>
      </c>
      <c r="J743" t="s">
        <v>28</v>
      </c>
      <c r="K743" t="s">
        <v>28</v>
      </c>
      <c r="L743" t="s">
        <v>36</v>
      </c>
      <c r="N743" t="s">
        <v>3572</v>
      </c>
      <c r="O743" t="s">
        <v>49</v>
      </c>
      <c r="P743" t="s">
        <v>49</v>
      </c>
      <c r="Q743" t="s">
        <v>49</v>
      </c>
      <c r="R743" t="s">
        <v>3573</v>
      </c>
      <c r="S743" t="s">
        <v>49</v>
      </c>
      <c r="T743" t="s">
        <v>3574</v>
      </c>
      <c r="U743" t="s">
        <v>3575</v>
      </c>
      <c r="V743" t="s">
        <v>87</v>
      </c>
      <c r="X743" t="s">
        <v>834</v>
      </c>
      <c r="Y743" t="s">
        <v>3576</v>
      </c>
      <c r="Z743" t="s">
        <v>129</v>
      </c>
    </row>
    <row r="744" spans="1:26" ht="12.75" customHeight="1" x14ac:dyDescent="0.35">
      <c r="A744">
        <v>743</v>
      </c>
      <c r="B744">
        <v>45887.782352650465</v>
      </c>
      <c r="D744" t="s">
        <v>3577</v>
      </c>
      <c r="E744" t="s">
        <v>1875</v>
      </c>
      <c r="F744" t="s">
        <v>28</v>
      </c>
      <c r="G744" t="s">
        <v>44</v>
      </c>
      <c r="H744" t="s">
        <v>157</v>
      </c>
      <c r="I744" t="s">
        <v>103</v>
      </c>
      <c r="J744" t="s">
        <v>45</v>
      </c>
      <c r="K744" t="s">
        <v>368</v>
      </c>
      <c r="L744" t="s">
        <v>46</v>
      </c>
      <c r="N744" t="s">
        <v>2901</v>
      </c>
      <c r="O744" t="s">
        <v>49</v>
      </c>
      <c r="P744" t="s">
        <v>49</v>
      </c>
      <c r="Q744" t="s">
        <v>49</v>
      </c>
      <c r="R744" t="s">
        <v>3578</v>
      </c>
      <c r="S744" t="s">
        <v>49</v>
      </c>
      <c r="T744" t="s">
        <v>3579</v>
      </c>
      <c r="U744" t="s">
        <v>3580</v>
      </c>
      <c r="V744" t="s">
        <v>53</v>
      </c>
      <c r="W744" t="s">
        <v>3581</v>
      </c>
      <c r="X744" t="s">
        <v>118</v>
      </c>
      <c r="Y744" t="s">
        <v>3582</v>
      </c>
      <c r="Z744" t="s">
        <v>91</v>
      </c>
    </row>
    <row r="745" spans="1:26" ht="12.75" customHeight="1" x14ac:dyDescent="0.35">
      <c r="A745">
        <v>744</v>
      </c>
      <c r="B745">
        <v>45887.785049363425</v>
      </c>
      <c r="D745" t="s">
        <v>3583</v>
      </c>
      <c r="E745" t="s">
        <v>3584</v>
      </c>
      <c r="F745" t="s">
        <v>28</v>
      </c>
      <c r="G745" t="s">
        <v>28</v>
      </c>
      <c r="H745" t="s">
        <v>28</v>
      </c>
      <c r="I745" t="s">
        <v>28</v>
      </c>
      <c r="J745" t="s">
        <v>28</v>
      </c>
      <c r="K745" t="s">
        <v>28</v>
      </c>
      <c r="L745" t="s">
        <v>36</v>
      </c>
      <c r="N745" t="s">
        <v>3585</v>
      </c>
      <c r="O745" t="s">
        <v>49</v>
      </c>
      <c r="P745" t="s">
        <v>49</v>
      </c>
      <c r="Q745" t="s">
        <v>49</v>
      </c>
      <c r="R745" t="s">
        <v>3586</v>
      </c>
      <c r="S745" t="s">
        <v>49</v>
      </c>
      <c r="T745" t="s">
        <v>3587</v>
      </c>
      <c r="U745" t="s">
        <v>3588</v>
      </c>
      <c r="V745" t="s">
        <v>135</v>
      </c>
      <c r="X745" t="s">
        <v>81</v>
      </c>
      <c r="Y745" t="s">
        <v>3589</v>
      </c>
      <c r="Z745" t="s">
        <v>129</v>
      </c>
    </row>
    <row r="746" spans="1:26" ht="12.75" customHeight="1" x14ac:dyDescent="0.35">
      <c r="A746">
        <v>745</v>
      </c>
      <c r="B746">
        <v>45887.785956307867</v>
      </c>
      <c r="D746" t="s">
        <v>3590</v>
      </c>
      <c r="E746" t="s">
        <v>1875</v>
      </c>
      <c r="F746" t="s">
        <v>28</v>
      </c>
      <c r="G746" t="s">
        <v>44</v>
      </c>
      <c r="H746" t="s">
        <v>157</v>
      </c>
      <c r="I746" t="s">
        <v>103</v>
      </c>
      <c r="J746" t="s">
        <v>45</v>
      </c>
      <c r="K746" t="s">
        <v>368</v>
      </c>
      <c r="L746" t="s">
        <v>36</v>
      </c>
      <c r="N746" t="s">
        <v>2924</v>
      </c>
      <c r="O746" t="s">
        <v>49</v>
      </c>
      <c r="P746" t="s">
        <v>49</v>
      </c>
      <c r="Q746" t="s">
        <v>49</v>
      </c>
      <c r="R746" t="s">
        <v>3591</v>
      </c>
      <c r="S746" t="s">
        <v>49</v>
      </c>
      <c r="T746" t="s">
        <v>3592</v>
      </c>
      <c r="U746" t="s">
        <v>3593</v>
      </c>
      <c r="V746" t="s">
        <v>53</v>
      </c>
      <c r="W746" t="s">
        <v>3594</v>
      </c>
      <c r="X746" t="s">
        <v>118</v>
      </c>
      <c r="Y746" t="s">
        <v>3092</v>
      </c>
      <c r="Z746" t="s">
        <v>91</v>
      </c>
    </row>
    <row r="747" spans="1:26" ht="12.75" customHeight="1" x14ac:dyDescent="0.35">
      <c r="A747">
        <v>746</v>
      </c>
      <c r="B747">
        <v>45887.788697685188</v>
      </c>
      <c r="D747" t="s">
        <v>3595</v>
      </c>
      <c r="E747" t="s">
        <v>3596</v>
      </c>
      <c r="F747" t="s">
        <v>71</v>
      </c>
      <c r="G747" t="s">
        <v>33</v>
      </c>
      <c r="H747" t="s">
        <v>73</v>
      </c>
      <c r="I747" t="s">
        <v>34</v>
      </c>
      <c r="J747" t="s">
        <v>34</v>
      </c>
      <c r="K747" t="s">
        <v>73</v>
      </c>
      <c r="L747" t="s">
        <v>46</v>
      </c>
      <c r="N747" t="s">
        <v>3597</v>
      </c>
      <c r="O747" t="s">
        <v>48</v>
      </c>
      <c r="P747" t="s">
        <v>48</v>
      </c>
      <c r="Q747" t="s">
        <v>48</v>
      </c>
      <c r="R747" t="s">
        <v>3598</v>
      </c>
      <c r="S747" t="s">
        <v>48</v>
      </c>
      <c r="T747" t="s">
        <v>3599</v>
      </c>
      <c r="U747" t="s">
        <v>3600</v>
      </c>
      <c r="V747" t="s">
        <v>135</v>
      </c>
      <c r="X747" t="s">
        <v>603</v>
      </c>
      <c r="Y747" t="s">
        <v>3601</v>
      </c>
      <c r="Z747" t="s">
        <v>129</v>
      </c>
    </row>
    <row r="748" spans="1:26" ht="12.75" customHeight="1" x14ac:dyDescent="0.35">
      <c r="A748">
        <v>747</v>
      </c>
      <c r="B748">
        <v>45887.789251527778</v>
      </c>
      <c r="D748" t="s">
        <v>3602</v>
      </c>
      <c r="E748" t="s">
        <v>2155</v>
      </c>
      <c r="F748" t="s">
        <v>33</v>
      </c>
      <c r="G748" t="s">
        <v>33</v>
      </c>
      <c r="H748" t="s">
        <v>33</v>
      </c>
      <c r="I748" t="s">
        <v>34</v>
      </c>
      <c r="J748" t="s">
        <v>34</v>
      </c>
      <c r="K748" t="s">
        <v>74</v>
      </c>
      <c r="L748" t="s">
        <v>36</v>
      </c>
      <c r="N748" t="s">
        <v>3506</v>
      </c>
      <c r="O748" t="s">
        <v>38</v>
      </c>
      <c r="P748" t="s">
        <v>49</v>
      </c>
      <c r="Q748" t="s">
        <v>49</v>
      </c>
      <c r="R748" t="s">
        <v>3603</v>
      </c>
      <c r="S748" t="s">
        <v>49</v>
      </c>
      <c r="T748" t="s">
        <v>3604</v>
      </c>
      <c r="U748" t="s">
        <v>3605</v>
      </c>
      <c r="V748" t="s">
        <v>87</v>
      </c>
      <c r="W748" t="s">
        <v>3606</v>
      </c>
      <c r="X748" t="s">
        <v>3510</v>
      </c>
      <c r="Y748" t="s">
        <v>3607</v>
      </c>
      <c r="Z748" t="s">
        <v>91</v>
      </c>
    </row>
    <row r="749" spans="1:26" ht="12.75" customHeight="1" x14ac:dyDescent="0.35">
      <c r="A749">
        <v>748</v>
      </c>
      <c r="B749">
        <v>45887.791722210648</v>
      </c>
      <c r="D749" t="s">
        <v>3608</v>
      </c>
      <c r="E749" t="s">
        <v>3609</v>
      </c>
      <c r="F749" t="s">
        <v>29</v>
      </c>
      <c r="G749" t="s">
        <v>29</v>
      </c>
      <c r="H749" t="s">
        <v>29</v>
      </c>
      <c r="I749" t="s">
        <v>30</v>
      </c>
      <c r="J749" t="s">
        <v>30</v>
      </c>
      <c r="K749" t="s">
        <v>94</v>
      </c>
      <c r="L749" t="s">
        <v>36</v>
      </c>
      <c r="N749" t="s">
        <v>3610</v>
      </c>
      <c r="O749" t="s">
        <v>49</v>
      </c>
      <c r="P749" t="s">
        <v>49</v>
      </c>
      <c r="Q749" t="s">
        <v>49</v>
      </c>
      <c r="R749" t="s">
        <v>3611</v>
      </c>
      <c r="S749" t="s">
        <v>49</v>
      </c>
      <c r="T749" t="s">
        <v>3612</v>
      </c>
      <c r="U749" t="s">
        <v>3613</v>
      </c>
      <c r="V749" t="s">
        <v>53</v>
      </c>
      <c r="X749" t="s">
        <v>100</v>
      </c>
      <c r="Y749" t="s">
        <v>3614</v>
      </c>
      <c r="Z749" t="s">
        <v>91</v>
      </c>
    </row>
    <row r="750" spans="1:26" ht="12.75" customHeight="1" x14ac:dyDescent="0.35">
      <c r="A750">
        <v>749</v>
      </c>
      <c r="B750">
        <v>45887.79401701389</v>
      </c>
      <c r="D750" t="s">
        <v>2506</v>
      </c>
      <c r="E750" t="s">
        <v>2119</v>
      </c>
      <c r="F750" t="s">
        <v>44</v>
      </c>
      <c r="G750" t="s">
        <v>158</v>
      </c>
      <c r="H750" t="s">
        <v>29</v>
      </c>
      <c r="I750" t="s">
        <v>173</v>
      </c>
      <c r="J750" t="s">
        <v>103</v>
      </c>
      <c r="K750" t="s">
        <v>74</v>
      </c>
      <c r="L750" t="s">
        <v>46</v>
      </c>
      <c r="N750" t="s">
        <v>2317</v>
      </c>
      <c r="O750" t="s">
        <v>48</v>
      </c>
      <c r="P750" t="s">
        <v>48</v>
      </c>
      <c r="Q750" t="s">
        <v>40</v>
      </c>
      <c r="R750" t="s">
        <v>3615</v>
      </c>
      <c r="S750" t="s">
        <v>48</v>
      </c>
      <c r="V750" t="s">
        <v>53</v>
      </c>
      <c r="W750" t="s">
        <v>2507</v>
      </c>
      <c r="X750" t="s">
        <v>118</v>
      </c>
      <c r="Y750" t="s">
        <v>2508</v>
      </c>
      <c r="Z750" t="s">
        <v>91</v>
      </c>
    </row>
    <row r="751" spans="1:26" ht="12.75" customHeight="1" x14ac:dyDescent="0.35">
      <c r="A751">
        <v>750</v>
      </c>
      <c r="B751">
        <v>45887.795188101853</v>
      </c>
      <c r="D751" t="s">
        <v>3616</v>
      </c>
      <c r="E751" t="s">
        <v>1339</v>
      </c>
      <c r="F751" t="s">
        <v>28</v>
      </c>
      <c r="G751" t="s">
        <v>28</v>
      </c>
      <c r="H751" t="s">
        <v>28</v>
      </c>
      <c r="I751" t="s">
        <v>28</v>
      </c>
      <c r="J751" t="s">
        <v>28</v>
      </c>
      <c r="K751" t="s">
        <v>28</v>
      </c>
      <c r="L751" t="s">
        <v>46</v>
      </c>
      <c r="N751" t="s">
        <v>3617</v>
      </c>
      <c r="O751" t="s">
        <v>49</v>
      </c>
      <c r="P751" t="s">
        <v>49</v>
      </c>
      <c r="Q751" t="s">
        <v>49</v>
      </c>
      <c r="R751" t="s">
        <v>3618</v>
      </c>
      <c r="S751" t="s">
        <v>49</v>
      </c>
      <c r="T751" t="s">
        <v>3619</v>
      </c>
      <c r="U751" t="s">
        <v>3620</v>
      </c>
      <c r="V751" t="s">
        <v>79</v>
      </c>
      <c r="X751" t="s">
        <v>100</v>
      </c>
      <c r="Y751" t="s">
        <v>3621</v>
      </c>
      <c r="Z751" t="s">
        <v>129</v>
      </c>
    </row>
    <row r="752" spans="1:26" ht="12.75" customHeight="1" x14ac:dyDescent="0.35">
      <c r="A752">
        <v>751</v>
      </c>
      <c r="B752">
        <v>45887.796634548613</v>
      </c>
      <c r="D752" t="s">
        <v>3622</v>
      </c>
      <c r="E752" t="s">
        <v>1875</v>
      </c>
      <c r="F752" t="s">
        <v>28</v>
      </c>
      <c r="G752" t="s">
        <v>44</v>
      </c>
      <c r="H752" t="s">
        <v>157</v>
      </c>
      <c r="I752" t="s">
        <v>103</v>
      </c>
      <c r="J752" t="s">
        <v>45</v>
      </c>
      <c r="K752" t="s">
        <v>368</v>
      </c>
      <c r="L752" t="s">
        <v>36</v>
      </c>
      <c r="N752" t="s">
        <v>2897</v>
      </c>
      <c r="O752" t="s">
        <v>49</v>
      </c>
      <c r="P752" t="s">
        <v>49</v>
      </c>
      <c r="Q752" t="s">
        <v>49</v>
      </c>
      <c r="R752" t="s">
        <v>3623</v>
      </c>
      <c r="S752" t="s">
        <v>49</v>
      </c>
      <c r="T752" t="s">
        <v>3624</v>
      </c>
      <c r="U752" t="s">
        <v>3625</v>
      </c>
      <c r="V752" t="s">
        <v>53</v>
      </c>
      <c r="W752" t="s">
        <v>3626</v>
      </c>
      <c r="X752" t="s">
        <v>118</v>
      </c>
      <c r="Y752" t="s">
        <v>3627</v>
      </c>
      <c r="Z752" t="s">
        <v>91</v>
      </c>
    </row>
    <row r="753" spans="1:26" ht="12.75" customHeight="1" x14ac:dyDescent="0.35">
      <c r="A753">
        <v>752</v>
      </c>
      <c r="B753">
        <v>45887.798784259256</v>
      </c>
      <c r="D753" t="s">
        <v>3628</v>
      </c>
      <c r="E753" t="s">
        <v>3629</v>
      </c>
      <c r="F753" t="s">
        <v>344</v>
      </c>
      <c r="G753" t="s">
        <v>29</v>
      </c>
      <c r="H753" t="s">
        <v>29</v>
      </c>
      <c r="I753" t="s">
        <v>30</v>
      </c>
      <c r="J753" t="s">
        <v>30</v>
      </c>
      <c r="K753" t="s">
        <v>94</v>
      </c>
      <c r="L753" t="s">
        <v>36</v>
      </c>
      <c r="N753" t="s">
        <v>3630</v>
      </c>
      <c r="O753" t="s">
        <v>38</v>
      </c>
      <c r="P753" t="s">
        <v>38</v>
      </c>
      <c r="Q753" t="s">
        <v>38</v>
      </c>
      <c r="R753" t="s">
        <v>3631</v>
      </c>
      <c r="S753" t="s">
        <v>38</v>
      </c>
      <c r="T753" t="s">
        <v>3632</v>
      </c>
      <c r="U753" t="s">
        <v>3633</v>
      </c>
      <c r="V753" t="s">
        <v>135</v>
      </c>
      <c r="X753" t="s">
        <v>100</v>
      </c>
      <c r="Y753" t="s">
        <v>3634</v>
      </c>
      <c r="Z753" t="s">
        <v>91</v>
      </c>
    </row>
    <row r="754" spans="1:26" ht="12.75" customHeight="1" x14ac:dyDescent="0.35">
      <c r="A754">
        <v>753</v>
      </c>
      <c r="B754">
        <v>45887.802496944445</v>
      </c>
      <c r="D754" t="s">
        <v>3635</v>
      </c>
      <c r="E754" t="s">
        <v>3636</v>
      </c>
      <c r="F754" t="s">
        <v>71</v>
      </c>
      <c r="G754" t="s">
        <v>29</v>
      </c>
      <c r="H754" t="s">
        <v>73</v>
      </c>
      <c r="I754" t="s">
        <v>34</v>
      </c>
      <c r="J754" t="s">
        <v>34</v>
      </c>
      <c r="K754" t="s">
        <v>73</v>
      </c>
      <c r="L754" t="s">
        <v>46</v>
      </c>
      <c r="N754" t="s">
        <v>3637</v>
      </c>
      <c r="O754" t="s">
        <v>48</v>
      </c>
      <c r="P754" t="s">
        <v>48</v>
      </c>
      <c r="Q754" t="s">
        <v>48</v>
      </c>
      <c r="R754" t="s">
        <v>3638</v>
      </c>
      <c r="S754" t="s">
        <v>48</v>
      </c>
      <c r="T754" t="s">
        <v>3639</v>
      </c>
      <c r="U754" t="s">
        <v>3640</v>
      </c>
      <c r="V754" t="s">
        <v>87</v>
      </c>
      <c r="X754" t="s">
        <v>100</v>
      </c>
      <c r="Y754" t="s">
        <v>3641</v>
      </c>
      <c r="Z754" t="s">
        <v>91</v>
      </c>
    </row>
    <row r="755" spans="1:26" ht="12.75" customHeight="1" x14ac:dyDescent="0.35">
      <c r="A755">
        <v>754</v>
      </c>
      <c r="B755">
        <v>45887.803645057866</v>
      </c>
      <c r="D755" t="s">
        <v>3642</v>
      </c>
      <c r="E755" t="s">
        <v>1875</v>
      </c>
      <c r="F755" t="s">
        <v>28</v>
      </c>
      <c r="G755" t="s">
        <v>44</v>
      </c>
      <c r="H755" t="s">
        <v>157</v>
      </c>
      <c r="I755" t="s">
        <v>103</v>
      </c>
      <c r="J755" t="s">
        <v>45</v>
      </c>
      <c r="K755" t="s">
        <v>368</v>
      </c>
      <c r="L755" t="s">
        <v>36</v>
      </c>
      <c r="N755" t="s">
        <v>2897</v>
      </c>
      <c r="O755" t="s">
        <v>49</v>
      </c>
      <c r="P755" t="s">
        <v>49</v>
      </c>
      <c r="Q755" t="s">
        <v>49</v>
      </c>
      <c r="R755" t="s">
        <v>3643</v>
      </c>
      <c r="S755" t="s">
        <v>49</v>
      </c>
      <c r="T755" t="s">
        <v>3644</v>
      </c>
      <c r="U755" t="s">
        <v>3645</v>
      </c>
      <c r="V755" t="s">
        <v>53</v>
      </c>
      <c r="W755" t="s">
        <v>3646</v>
      </c>
      <c r="X755" t="s">
        <v>118</v>
      </c>
      <c r="Y755" t="s">
        <v>3092</v>
      </c>
      <c r="Z755" t="s">
        <v>91</v>
      </c>
    </row>
    <row r="756" spans="1:26" ht="12.75" customHeight="1" x14ac:dyDescent="0.35">
      <c r="A756">
        <v>755</v>
      </c>
      <c r="B756">
        <v>45887.806912175925</v>
      </c>
      <c r="D756" t="s">
        <v>3647</v>
      </c>
      <c r="E756" t="s">
        <v>3648</v>
      </c>
      <c r="F756" t="s">
        <v>344</v>
      </c>
      <c r="G756" t="s">
        <v>29</v>
      </c>
      <c r="H756" t="s">
        <v>206</v>
      </c>
      <c r="I756" t="s">
        <v>30</v>
      </c>
      <c r="J756" t="s">
        <v>30</v>
      </c>
      <c r="K756" t="s">
        <v>94</v>
      </c>
      <c r="L756" t="s">
        <v>36</v>
      </c>
      <c r="N756" t="s">
        <v>3649</v>
      </c>
      <c r="O756" t="s">
        <v>49</v>
      </c>
      <c r="P756" t="s">
        <v>49</v>
      </c>
      <c r="Q756" t="s">
        <v>49</v>
      </c>
      <c r="R756" t="s">
        <v>3650</v>
      </c>
      <c r="S756" t="s">
        <v>49</v>
      </c>
      <c r="T756" t="s">
        <v>3651</v>
      </c>
      <c r="U756" t="s">
        <v>3652</v>
      </c>
      <c r="V756" t="s">
        <v>65</v>
      </c>
      <c r="X756" t="s">
        <v>100</v>
      </c>
      <c r="Y756" t="s">
        <v>3653</v>
      </c>
      <c r="Z756" t="s">
        <v>129</v>
      </c>
    </row>
    <row r="757" spans="1:26" ht="12.75" customHeight="1" x14ac:dyDescent="0.35">
      <c r="A757">
        <v>756</v>
      </c>
      <c r="B757">
        <v>45887.809896412036</v>
      </c>
      <c r="D757" t="s">
        <v>3654</v>
      </c>
      <c r="E757" t="s">
        <v>1960</v>
      </c>
      <c r="F757" t="s">
        <v>44</v>
      </c>
      <c r="G757" t="s">
        <v>44</v>
      </c>
      <c r="H757" t="s">
        <v>44</v>
      </c>
      <c r="I757" t="s">
        <v>158</v>
      </c>
      <c r="J757" t="s">
        <v>103</v>
      </c>
      <c r="K757" t="s">
        <v>35</v>
      </c>
      <c r="L757" t="s">
        <v>46</v>
      </c>
      <c r="N757" t="s">
        <v>3655</v>
      </c>
      <c r="O757" t="s">
        <v>48</v>
      </c>
      <c r="P757" t="s">
        <v>48</v>
      </c>
      <c r="Q757" t="s">
        <v>38</v>
      </c>
      <c r="R757" t="s">
        <v>1885</v>
      </c>
      <c r="S757" t="s">
        <v>38</v>
      </c>
      <c r="T757" t="s">
        <v>2011</v>
      </c>
      <c r="U757" t="s">
        <v>1887</v>
      </c>
      <c r="V757" t="s">
        <v>79</v>
      </c>
      <c r="W757" t="s">
        <v>3656</v>
      </c>
      <c r="X757" t="s">
        <v>3515</v>
      </c>
      <c r="Y757" t="s">
        <v>3657</v>
      </c>
      <c r="Z757" t="s">
        <v>91</v>
      </c>
    </row>
    <row r="758" spans="1:26" ht="12.75" customHeight="1" x14ac:dyDescent="0.35">
      <c r="A758">
        <v>757</v>
      </c>
      <c r="B758">
        <v>45887.810090960644</v>
      </c>
      <c r="D758" t="s">
        <v>3658</v>
      </c>
      <c r="E758" t="s">
        <v>1192</v>
      </c>
      <c r="F758" t="s">
        <v>344</v>
      </c>
      <c r="G758" t="s">
        <v>29</v>
      </c>
      <c r="H758" t="s">
        <v>206</v>
      </c>
      <c r="I758" t="s">
        <v>30</v>
      </c>
      <c r="J758" t="s">
        <v>94</v>
      </c>
      <c r="K758" t="s">
        <v>94</v>
      </c>
      <c r="L758" t="s">
        <v>46</v>
      </c>
      <c r="N758" t="s">
        <v>3659</v>
      </c>
      <c r="O758" t="s">
        <v>49</v>
      </c>
      <c r="P758" t="s">
        <v>49</v>
      </c>
      <c r="Q758" t="s">
        <v>49</v>
      </c>
      <c r="R758" t="s">
        <v>3660</v>
      </c>
      <c r="S758" t="s">
        <v>49</v>
      </c>
      <c r="T758" t="s">
        <v>3661</v>
      </c>
      <c r="U758" t="s">
        <v>3662</v>
      </c>
      <c r="V758" t="s">
        <v>87</v>
      </c>
      <c r="X758" t="s">
        <v>100</v>
      </c>
      <c r="Y758" t="s">
        <v>3663</v>
      </c>
      <c r="Z758" t="s">
        <v>129</v>
      </c>
    </row>
    <row r="759" spans="1:26" ht="12.75" customHeight="1" x14ac:dyDescent="0.35">
      <c r="A759">
        <v>758</v>
      </c>
      <c r="B759">
        <v>45887.811653159719</v>
      </c>
      <c r="D759" t="s">
        <v>3664</v>
      </c>
      <c r="E759" t="s">
        <v>1875</v>
      </c>
      <c r="F759" t="s">
        <v>44</v>
      </c>
      <c r="G759" t="s">
        <v>44</v>
      </c>
      <c r="H759" t="s">
        <v>157</v>
      </c>
      <c r="I759" t="s">
        <v>103</v>
      </c>
      <c r="J759" t="s">
        <v>368</v>
      </c>
      <c r="K759" t="s">
        <v>368</v>
      </c>
      <c r="L759" t="s">
        <v>46</v>
      </c>
      <c r="N759" t="s">
        <v>2897</v>
      </c>
      <c r="O759" t="s">
        <v>49</v>
      </c>
      <c r="P759" t="s">
        <v>49</v>
      </c>
      <c r="Q759" t="s">
        <v>49</v>
      </c>
      <c r="R759" t="s">
        <v>3665</v>
      </c>
      <c r="S759" t="s">
        <v>49</v>
      </c>
      <c r="T759" t="s">
        <v>3666</v>
      </c>
      <c r="U759" t="s">
        <v>3667</v>
      </c>
      <c r="V759" t="s">
        <v>53</v>
      </c>
      <c r="W759" t="s">
        <v>3668</v>
      </c>
      <c r="X759" t="s">
        <v>118</v>
      </c>
      <c r="Y759" t="s">
        <v>3669</v>
      </c>
      <c r="Z759" t="s">
        <v>91</v>
      </c>
    </row>
    <row r="760" spans="1:26" ht="12.75" customHeight="1" x14ac:dyDescent="0.35">
      <c r="A760">
        <v>759</v>
      </c>
      <c r="B760">
        <v>45887.813490590277</v>
      </c>
      <c r="D760" t="s">
        <v>3670</v>
      </c>
      <c r="E760" t="s">
        <v>3596</v>
      </c>
      <c r="F760" t="s">
        <v>71</v>
      </c>
      <c r="G760" t="s">
        <v>33</v>
      </c>
      <c r="H760" t="s">
        <v>73</v>
      </c>
      <c r="I760" t="s">
        <v>34</v>
      </c>
      <c r="J760" t="s">
        <v>34</v>
      </c>
      <c r="K760" t="s">
        <v>73</v>
      </c>
      <c r="L760" t="s">
        <v>46</v>
      </c>
      <c r="N760" t="s">
        <v>3671</v>
      </c>
      <c r="O760" t="s">
        <v>48</v>
      </c>
      <c r="P760" t="s">
        <v>48</v>
      </c>
      <c r="Q760" t="s">
        <v>48</v>
      </c>
      <c r="R760" t="s">
        <v>3672</v>
      </c>
      <c r="S760" t="s">
        <v>48</v>
      </c>
      <c r="T760" t="s">
        <v>3673</v>
      </c>
      <c r="U760" t="s">
        <v>3674</v>
      </c>
      <c r="V760" t="s">
        <v>135</v>
      </c>
      <c r="X760" t="s">
        <v>603</v>
      </c>
      <c r="Y760" t="s">
        <v>3675</v>
      </c>
      <c r="Z760" t="s">
        <v>91</v>
      </c>
    </row>
    <row r="761" spans="1:26" ht="12.75" customHeight="1" x14ac:dyDescent="0.35">
      <c r="A761">
        <v>760</v>
      </c>
      <c r="B761">
        <v>45887.814248414354</v>
      </c>
      <c r="D761" t="s">
        <v>3676</v>
      </c>
      <c r="E761" t="s">
        <v>1960</v>
      </c>
      <c r="F761" t="s">
        <v>44</v>
      </c>
      <c r="G761" t="s">
        <v>60</v>
      </c>
      <c r="H761" t="s">
        <v>60</v>
      </c>
      <c r="I761" t="s">
        <v>103</v>
      </c>
      <c r="J761" t="s">
        <v>103</v>
      </c>
      <c r="K761" t="s">
        <v>45</v>
      </c>
      <c r="L761" t="s">
        <v>46</v>
      </c>
      <c r="N761" t="s">
        <v>3677</v>
      </c>
      <c r="O761" t="s">
        <v>48</v>
      </c>
      <c r="P761" t="s">
        <v>48</v>
      </c>
      <c r="Q761" t="s">
        <v>49</v>
      </c>
      <c r="R761" t="s">
        <v>1885</v>
      </c>
      <c r="S761" t="s">
        <v>38</v>
      </c>
      <c r="T761" t="s">
        <v>2011</v>
      </c>
      <c r="U761" t="s">
        <v>1887</v>
      </c>
      <c r="V761" t="s">
        <v>53</v>
      </c>
      <c r="W761" t="s">
        <v>3678</v>
      </c>
      <c r="X761" t="s">
        <v>3515</v>
      </c>
      <c r="Y761" t="s">
        <v>3679</v>
      </c>
      <c r="Z761" t="s">
        <v>91</v>
      </c>
    </row>
    <row r="762" spans="1:26" ht="12.75" customHeight="1" x14ac:dyDescent="0.35">
      <c r="A762">
        <v>761</v>
      </c>
      <c r="B762">
        <v>45887.81464055556</v>
      </c>
      <c r="D762" t="s">
        <v>3680</v>
      </c>
      <c r="E762" t="s">
        <v>2155</v>
      </c>
      <c r="F762" t="s">
        <v>71</v>
      </c>
      <c r="G762" t="s">
        <v>33</v>
      </c>
      <c r="H762" t="s">
        <v>33</v>
      </c>
      <c r="I762" t="s">
        <v>34</v>
      </c>
      <c r="J762" t="s">
        <v>34</v>
      </c>
      <c r="K762" t="s">
        <v>35</v>
      </c>
      <c r="L762" t="s">
        <v>36</v>
      </c>
      <c r="N762" t="s">
        <v>3506</v>
      </c>
      <c r="O762" t="s">
        <v>49</v>
      </c>
      <c r="P762" t="s">
        <v>49</v>
      </c>
      <c r="Q762" t="s">
        <v>49</v>
      </c>
      <c r="R762" t="s">
        <v>3681</v>
      </c>
      <c r="S762" t="s">
        <v>49</v>
      </c>
      <c r="T762" t="s">
        <v>3682</v>
      </c>
      <c r="U762" t="s">
        <v>3683</v>
      </c>
      <c r="V762" t="s">
        <v>53</v>
      </c>
      <c r="W762" t="s">
        <v>3684</v>
      </c>
      <c r="X762" t="s">
        <v>3510</v>
      </c>
      <c r="Y762" t="s">
        <v>3685</v>
      </c>
      <c r="Z762" t="s">
        <v>91</v>
      </c>
    </row>
    <row r="763" spans="1:26" ht="12.75" customHeight="1" x14ac:dyDescent="0.35">
      <c r="A763">
        <v>762</v>
      </c>
      <c r="B763">
        <v>45887.816031469905</v>
      </c>
      <c r="D763" t="s">
        <v>2887</v>
      </c>
      <c r="E763" t="s">
        <v>1875</v>
      </c>
      <c r="F763" t="s">
        <v>377</v>
      </c>
      <c r="G763" t="s">
        <v>44</v>
      </c>
      <c r="H763" t="s">
        <v>157</v>
      </c>
      <c r="I763" t="s">
        <v>103</v>
      </c>
      <c r="J763" t="s">
        <v>103</v>
      </c>
      <c r="K763" t="s">
        <v>45</v>
      </c>
      <c r="L763" t="s">
        <v>36</v>
      </c>
      <c r="N763" t="s">
        <v>2792</v>
      </c>
      <c r="O763" t="s">
        <v>49</v>
      </c>
      <c r="P763" t="s">
        <v>49</v>
      </c>
      <c r="Q763" t="s">
        <v>49</v>
      </c>
      <c r="R763" t="s">
        <v>3686</v>
      </c>
      <c r="S763" t="s">
        <v>49</v>
      </c>
      <c r="T763" t="s">
        <v>3687</v>
      </c>
      <c r="U763" t="s">
        <v>3688</v>
      </c>
      <c r="V763" t="s">
        <v>53</v>
      </c>
      <c r="W763" t="s">
        <v>3689</v>
      </c>
      <c r="X763" t="s">
        <v>118</v>
      </c>
      <c r="Y763" t="s">
        <v>3690</v>
      </c>
      <c r="Z763" t="s">
        <v>91</v>
      </c>
    </row>
    <row r="764" spans="1:26" ht="12.75" customHeight="1" x14ac:dyDescent="0.35">
      <c r="A764">
        <v>763</v>
      </c>
      <c r="B764">
        <v>45887.816425625002</v>
      </c>
      <c r="D764" t="s">
        <v>3691</v>
      </c>
      <c r="E764" t="s">
        <v>3692</v>
      </c>
      <c r="F764" t="s">
        <v>28</v>
      </c>
      <c r="G764" t="s">
        <v>28</v>
      </c>
      <c r="H764" t="s">
        <v>28</v>
      </c>
      <c r="I764" t="s">
        <v>28</v>
      </c>
      <c r="J764" t="s">
        <v>28</v>
      </c>
      <c r="K764" t="s">
        <v>28</v>
      </c>
      <c r="L764" t="s">
        <v>36</v>
      </c>
      <c r="N764" t="s">
        <v>3693</v>
      </c>
      <c r="O764" t="s">
        <v>49</v>
      </c>
      <c r="P764" t="s">
        <v>49</v>
      </c>
      <c r="Q764" t="s">
        <v>49</v>
      </c>
      <c r="R764" t="s">
        <v>3694</v>
      </c>
      <c r="S764" t="s">
        <v>49</v>
      </c>
      <c r="T764" t="s">
        <v>3695</v>
      </c>
      <c r="U764" t="s">
        <v>3696</v>
      </c>
      <c r="V764" t="s">
        <v>53</v>
      </c>
      <c r="X764" t="s">
        <v>603</v>
      </c>
      <c r="Y764" t="s">
        <v>3697</v>
      </c>
      <c r="Z764" t="s">
        <v>91</v>
      </c>
    </row>
    <row r="765" spans="1:26" ht="12.75" customHeight="1" x14ac:dyDescent="0.35">
      <c r="A765">
        <v>764</v>
      </c>
      <c r="B765">
        <v>45887.817685717593</v>
      </c>
      <c r="D765" t="s">
        <v>3698</v>
      </c>
      <c r="E765" t="s">
        <v>32</v>
      </c>
      <c r="F765" t="s">
        <v>60</v>
      </c>
      <c r="G765" t="s">
        <v>158</v>
      </c>
      <c r="H765" t="s">
        <v>206</v>
      </c>
      <c r="I765" t="s">
        <v>103</v>
      </c>
      <c r="J765" t="s">
        <v>28</v>
      </c>
      <c r="K765" t="s">
        <v>368</v>
      </c>
      <c r="L765" t="s">
        <v>36</v>
      </c>
      <c r="N765" t="s">
        <v>2338</v>
      </c>
      <c r="O765" t="s">
        <v>48</v>
      </c>
      <c r="P765" t="s">
        <v>39</v>
      </c>
      <c r="Q765" t="s">
        <v>38</v>
      </c>
      <c r="R765" t="s">
        <v>3699</v>
      </c>
      <c r="S765" t="s">
        <v>48</v>
      </c>
      <c r="V765" t="s">
        <v>53</v>
      </c>
      <c r="W765" t="s">
        <v>3700</v>
      </c>
      <c r="X765" t="s">
        <v>118</v>
      </c>
      <c r="Y765" t="s">
        <v>3701</v>
      </c>
      <c r="Z765" t="s">
        <v>91</v>
      </c>
    </row>
    <row r="766" spans="1:26" ht="12.75" customHeight="1" x14ac:dyDescent="0.35">
      <c r="A766">
        <v>765</v>
      </c>
      <c r="B766">
        <v>45887.821333611108</v>
      </c>
      <c r="D766" t="s">
        <v>3702</v>
      </c>
      <c r="E766" t="s">
        <v>2155</v>
      </c>
      <c r="F766" t="s">
        <v>71</v>
      </c>
      <c r="G766" t="s">
        <v>33</v>
      </c>
      <c r="H766" t="s">
        <v>33</v>
      </c>
      <c r="I766" t="s">
        <v>34</v>
      </c>
      <c r="J766" t="s">
        <v>34</v>
      </c>
      <c r="K766" t="s">
        <v>73</v>
      </c>
      <c r="L766" t="s">
        <v>46</v>
      </c>
      <c r="N766" t="s">
        <v>3506</v>
      </c>
      <c r="O766" t="s">
        <v>38</v>
      </c>
      <c r="P766" t="s">
        <v>40</v>
      </c>
      <c r="Q766" t="s">
        <v>38</v>
      </c>
      <c r="R766" t="s">
        <v>3703</v>
      </c>
      <c r="S766" t="s">
        <v>40</v>
      </c>
      <c r="T766" t="s">
        <v>3682</v>
      </c>
      <c r="U766" t="s">
        <v>3605</v>
      </c>
      <c r="V766" t="s">
        <v>53</v>
      </c>
      <c r="W766" t="s">
        <v>3704</v>
      </c>
      <c r="X766" t="s">
        <v>3510</v>
      </c>
      <c r="Y766" t="s">
        <v>3705</v>
      </c>
      <c r="Z766" t="s">
        <v>91</v>
      </c>
    </row>
    <row r="767" spans="1:26" ht="12.75" customHeight="1" x14ac:dyDescent="0.35">
      <c r="A767">
        <v>766</v>
      </c>
      <c r="B767">
        <v>45887.821748460643</v>
      </c>
      <c r="D767" t="s">
        <v>3706</v>
      </c>
      <c r="E767" t="s">
        <v>1520</v>
      </c>
      <c r="F767" t="s">
        <v>71</v>
      </c>
      <c r="G767" t="s">
        <v>33</v>
      </c>
      <c r="H767" t="s">
        <v>73</v>
      </c>
      <c r="I767" t="s">
        <v>34</v>
      </c>
      <c r="J767" t="s">
        <v>34</v>
      </c>
      <c r="K767" t="s">
        <v>73</v>
      </c>
      <c r="L767" t="s">
        <v>46</v>
      </c>
      <c r="N767" t="s">
        <v>642</v>
      </c>
      <c r="O767" t="s">
        <v>48</v>
      </c>
      <c r="P767" t="s">
        <v>48</v>
      </c>
      <c r="Q767" t="s">
        <v>48</v>
      </c>
      <c r="R767" t="s">
        <v>3707</v>
      </c>
      <c r="S767" t="s">
        <v>48</v>
      </c>
      <c r="T767" t="s">
        <v>3708</v>
      </c>
      <c r="U767" t="s">
        <v>3709</v>
      </c>
      <c r="V767" t="s">
        <v>65</v>
      </c>
      <c r="X767" t="s">
        <v>603</v>
      </c>
      <c r="Y767" t="s">
        <v>3710</v>
      </c>
      <c r="Z767" t="s">
        <v>91</v>
      </c>
    </row>
    <row r="768" spans="1:26" ht="12.75" customHeight="1" x14ac:dyDescent="0.35">
      <c r="A768">
        <v>767</v>
      </c>
      <c r="B768">
        <v>45887.821874814814</v>
      </c>
      <c r="D768" t="s">
        <v>3711</v>
      </c>
      <c r="E768" t="s">
        <v>32</v>
      </c>
      <c r="F768" t="s">
        <v>71</v>
      </c>
      <c r="G768" t="s">
        <v>60</v>
      </c>
      <c r="H768" t="s">
        <v>73</v>
      </c>
      <c r="I768" t="s">
        <v>28</v>
      </c>
      <c r="J768" t="s">
        <v>45</v>
      </c>
      <c r="K768" t="s">
        <v>73</v>
      </c>
      <c r="L768" t="s">
        <v>46</v>
      </c>
      <c r="N768" t="s">
        <v>2338</v>
      </c>
      <c r="O768" t="s">
        <v>48</v>
      </c>
      <c r="P768" t="s">
        <v>48</v>
      </c>
      <c r="Q768" t="s">
        <v>49</v>
      </c>
      <c r="R768" t="s">
        <v>3712</v>
      </c>
      <c r="S768" t="s">
        <v>49</v>
      </c>
      <c r="V768" t="s">
        <v>53</v>
      </c>
      <c r="W768" t="s">
        <v>3713</v>
      </c>
      <c r="X768" t="s">
        <v>118</v>
      </c>
      <c r="Y768" t="s">
        <v>3714</v>
      </c>
      <c r="Z768" t="s">
        <v>170</v>
      </c>
    </row>
    <row r="769" spans="1:26" ht="12.75" customHeight="1" x14ac:dyDescent="0.35">
      <c r="A769">
        <v>768</v>
      </c>
      <c r="B769">
        <v>45887.821905000004</v>
      </c>
      <c r="D769" t="s">
        <v>3715</v>
      </c>
      <c r="E769" t="s">
        <v>1960</v>
      </c>
      <c r="F769" t="s">
        <v>44</v>
      </c>
      <c r="G769" t="s">
        <v>60</v>
      </c>
      <c r="H769" t="s">
        <v>60</v>
      </c>
      <c r="I769" t="s">
        <v>173</v>
      </c>
      <c r="J769" t="s">
        <v>103</v>
      </c>
      <c r="K769" t="s">
        <v>61</v>
      </c>
      <c r="L769" t="s">
        <v>46</v>
      </c>
      <c r="N769" t="s">
        <v>3716</v>
      </c>
      <c r="O769" t="s">
        <v>48</v>
      </c>
      <c r="P769" t="s">
        <v>48</v>
      </c>
      <c r="Q769" t="s">
        <v>49</v>
      </c>
      <c r="R769" t="s">
        <v>1885</v>
      </c>
      <c r="S769" t="s">
        <v>38</v>
      </c>
      <c r="T769" t="s">
        <v>1962</v>
      </c>
      <c r="U769" t="s">
        <v>1887</v>
      </c>
      <c r="V769" t="s">
        <v>79</v>
      </c>
      <c r="W769" t="s">
        <v>3717</v>
      </c>
      <c r="X769" t="s">
        <v>3515</v>
      </c>
      <c r="Y769" t="s">
        <v>3718</v>
      </c>
      <c r="Z769" t="s">
        <v>91</v>
      </c>
    </row>
    <row r="770" spans="1:26" ht="12.75" customHeight="1" x14ac:dyDescent="0.35">
      <c r="A770">
        <v>769</v>
      </c>
      <c r="B770">
        <v>45887.824725208338</v>
      </c>
      <c r="D770" t="s">
        <v>3719</v>
      </c>
      <c r="E770" t="s">
        <v>1447</v>
      </c>
      <c r="F770" t="s">
        <v>344</v>
      </c>
      <c r="G770" t="s">
        <v>29</v>
      </c>
      <c r="H770" t="s">
        <v>29</v>
      </c>
      <c r="I770" t="s">
        <v>30</v>
      </c>
      <c r="J770" t="s">
        <v>30</v>
      </c>
      <c r="K770" t="s">
        <v>94</v>
      </c>
      <c r="L770" t="s">
        <v>36</v>
      </c>
      <c r="N770" t="s">
        <v>3720</v>
      </c>
      <c r="O770" t="s">
        <v>49</v>
      </c>
      <c r="P770" t="s">
        <v>48</v>
      </c>
      <c r="Q770" t="s">
        <v>49</v>
      </c>
      <c r="R770" t="s">
        <v>3721</v>
      </c>
      <c r="S770" t="s">
        <v>48</v>
      </c>
      <c r="T770" t="s">
        <v>3722</v>
      </c>
      <c r="U770" t="s">
        <v>3723</v>
      </c>
      <c r="V770" t="s">
        <v>135</v>
      </c>
      <c r="X770" t="s">
        <v>603</v>
      </c>
      <c r="Y770" t="s">
        <v>3724</v>
      </c>
      <c r="Z770" t="s">
        <v>129</v>
      </c>
    </row>
    <row r="771" spans="1:26" ht="12.75" customHeight="1" x14ac:dyDescent="0.35">
      <c r="A771">
        <v>770</v>
      </c>
      <c r="B771">
        <v>45887.827972708328</v>
      </c>
      <c r="D771" t="s">
        <v>3725</v>
      </c>
      <c r="E771" t="s">
        <v>3636</v>
      </c>
      <c r="F771" t="s">
        <v>28</v>
      </c>
      <c r="G771" t="s">
        <v>28</v>
      </c>
      <c r="H771" t="s">
        <v>28</v>
      </c>
      <c r="I771" t="s">
        <v>28</v>
      </c>
      <c r="J771" t="s">
        <v>28</v>
      </c>
      <c r="K771" t="s">
        <v>28</v>
      </c>
      <c r="L771" t="s">
        <v>46</v>
      </c>
      <c r="N771" t="s">
        <v>3726</v>
      </c>
      <c r="O771" t="s">
        <v>49</v>
      </c>
      <c r="P771" t="s">
        <v>49</v>
      </c>
      <c r="Q771" t="s">
        <v>49</v>
      </c>
      <c r="R771" t="s">
        <v>3727</v>
      </c>
      <c r="S771" t="s">
        <v>49</v>
      </c>
      <c r="T771" t="s">
        <v>3728</v>
      </c>
      <c r="U771" t="s">
        <v>3729</v>
      </c>
      <c r="V771" t="s">
        <v>53</v>
      </c>
      <c r="X771" t="s">
        <v>603</v>
      </c>
      <c r="Y771" t="s">
        <v>3730</v>
      </c>
      <c r="Z771" t="s">
        <v>91</v>
      </c>
    </row>
    <row r="772" spans="1:26" ht="12.75" customHeight="1" x14ac:dyDescent="0.35">
      <c r="A772">
        <v>771</v>
      </c>
      <c r="B772">
        <v>45887.828248310187</v>
      </c>
      <c r="D772" t="s">
        <v>3731</v>
      </c>
      <c r="E772" t="s">
        <v>1875</v>
      </c>
      <c r="F772" t="s">
        <v>377</v>
      </c>
      <c r="G772" t="s">
        <v>44</v>
      </c>
      <c r="H772" t="s">
        <v>157</v>
      </c>
      <c r="I772" t="s">
        <v>103</v>
      </c>
      <c r="J772" t="s">
        <v>45</v>
      </c>
      <c r="K772" t="s">
        <v>45</v>
      </c>
      <c r="L772" t="s">
        <v>36</v>
      </c>
      <c r="N772" t="s">
        <v>2990</v>
      </c>
      <c r="O772" t="s">
        <v>49</v>
      </c>
      <c r="P772" t="s">
        <v>49</v>
      </c>
      <c r="Q772" t="s">
        <v>49</v>
      </c>
      <c r="R772" t="s">
        <v>3732</v>
      </c>
      <c r="S772" t="s">
        <v>49</v>
      </c>
      <c r="T772" t="s">
        <v>3733</v>
      </c>
      <c r="U772" t="s">
        <v>3734</v>
      </c>
      <c r="V772" t="s">
        <v>53</v>
      </c>
      <c r="W772" t="s">
        <v>3735</v>
      </c>
      <c r="X772" t="s">
        <v>118</v>
      </c>
      <c r="Y772" t="s">
        <v>3736</v>
      </c>
      <c r="Z772" t="s">
        <v>91</v>
      </c>
    </row>
    <row r="773" spans="1:26" ht="12.75" customHeight="1" x14ac:dyDescent="0.35">
      <c r="A773">
        <v>772</v>
      </c>
      <c r="B773">
        <v>45887.831239259263</v>
      </c>
      <c r="D773" t="s">
        <v>3737</v>
      </c>
      <c r="E773" t="s">
        <v>3648</v>
      </c>
      <c r="F773" t="s">
        <v>71</v>
      </c>
      <c r="G773" t="s">
        <v>33</v>
      </c>
      <c r="H773" t="s">
        <v>73</v>
      </c>
      <c r="I773" t="s">
        <v>34</v>
      </c>
      <c r="J773" t="s">
        <v>73</v>
      </c>
      <c r="K773" t="s">
        <v>73</v>
      </c>
      <c r="L773" t="s">
        <v>36</v>
      </c>
      <c r="N773" t="s">
        <v>3738</v>
      </c>
      <c r="O773" t="s">
        <v>48</v>
      </c>
      <c r="P773" t="s">
        <v>48</v>
      </c>
      <c r="Q773" t="s">
        <v>48</v>
      </c>
      <c r="R773" t="s">
        <v>3739</v>
      </c>
      <c r="S773" t="s">
        <v>48</v>
      </c>
      <c r="T773" t="s">
        <v>3740</v>
      </c>
      <c r="U773" t="s">
        <v>3741</v>
      </c>
      <c r="V773" t="s">
        <v>65</v>
      </c>
      <c r="X773" t="s">
        <v>603</v>
      </c>
      <c r="Y773" t="s">
        <v>3742</v>
      </c>
      <c r="Z773" t="s">
        <v>129</v>
      </c>
    </row>
    <row r="774" spans="1:26" ht="12.75" customHeight="1" x14ac:dyDescent="0.35">
      <c r="A774">
        <v>773</v>
      </c>
      <c r="B774">
        <v>45887.831400856478</v>
      </c>
      <c r="D774" t="s">
        <v>3743</v>
      </c>
      <c r="E774" t="s">
        <v>1875</v>
      </c>
      <c r="F774" t="s">
        <v>377</v>
      </c>
      <c r="G774" t="s">
        <v>44</v>
      </c>
      <c r="H774" t="s">
        <v>157</v>
      </c>
      <c r="I774" t="s">
        <v>103</v>
      </c>
      <c r="J774" t="s">
        <v>28</v>
      </c>
      <c r="K774" t="s">
        <v>368</v>
      </c>
      <c r="L774" t="s">
        <v>46</v>
      </c>
      <c r="N774" t="s">
        <v>3744</v>
      </c>
      <c r="O774" t="s">
        <v>49</v>
      </c>
      <c r="P774" t="s">
        <v>49</v>
      </c>
      <c r="Q774" t="s">
        <v>49</v>
      </c>
      <c r="R774" t="s">
        <v>3745</v>
      </c>
      <c r="S774" t="s">
        <v>49</v>
      </c>
      <c r="T774" t="s">
        <v>3746</v>
      </c>
      <c r="U774" t="s">
        <v>3747</v>
      </c>
      <c r="V774" t="s">
        <v>53</v>
      </c>
      <c r="W774" t="s">
        <v>3748</v>
      </c>
      <c r="X774" t="s">
        <v>118</v>
      </c>
      <c r="Y774" t="s">
        <v>3749</v>
      </c>
      <c r="Z774" t="s">
        <v>91</v>
      </c>
    </row>
    <row r="775" spans="1:26" ht="12.75" customHeight="1" x14ac:dyDescent="0.35">
      <c r="A775">
        <v>774</v>
      </c>
      <c r="B775">
        <v>45887.834537418981</v>
      </c>
      <c r="D775" t="s">
        <v>3750</v>
      </c>
      <c r="E775" t="s">
        <v>1192</v>
      </c>
      <c r="F775" t="s">
        <v>28</v>
      </c>
      <c r="G775" t="s">
        <v>28</v>
      </c>
      <c r="H775" t="s">
        <v>28</v>
      </c>
      <c r="I775" t="s">
        <v>28</v>
      </c>
      <c r="J775" t="s">
        <v>28</v>
      </c>
      <c r="K775" t="s">
        <v>28</v>
      </c>
      <c r="L775" t="s">
        <v>46</v>
      </c>
      <c r="N775" t="s">
        <v>3751</v>
      </c>
      <c r="O775" t="s">
        <v>49</v>
      </c>
      <c r="P775" t="s">
        <v>49</v>
      </c>
      <c r="Q775" t="s">
        <v>49</v>
      </c>
      <c r="R775" t="s">
        <v>3752</v>
      </c>
      <c r="S775" t="s">
        <v>49</v>
      </c>
      <c r="T775" t="s">
        <v>3753</v>
      </c>
      <c r="U775" t="s">
        <v>3754</v>
      </c>
      <c r="V775" t="s">
        <v>135</v>
      </c>
      <c r="X775" t="s">
        <v>603</v>
      </c>
      <c r="Y775" t="s">
        <v>3755</v>
      </c>
      <c r="Z775" t="s">
        <v>129</v>
      </c>
    </row>
    <row r="776" spans="1:26" ht="12.75" customHeight="1" x14ac:dyDescent="0.35">
      <c r="A776">
        <v>775</v>
      </c>
      <c r="B776">
        <v>45887.840743449073</v>
      </c>
      <c r="D776" t="s">
        <v>3756</v>
      </c>
      <c r="E776" t="s">
        <v>2119</v>
      </c>
      <c r="F776" t="s">
        <v>29</v>
      </c>
      <c r="G776" t="s">
        <v>196</v>
      </c>
      <c r="H776" t="s">
        <v>284</v>
      </c>
      <c r="I776" t="s">
        <v>196</v>
      </c>
      <c r="J776" t="s">
        <v>103</v>
      </c>
      <c r="K776" t="s">
        <v>61</v>
      </c>
      <c r="L776" t="s">
        <v>46</v>
      </c>
      <c r="N776" t="s">
        <v>2338</v>
      </c>
      <c r="P776" t="s">
        <v>49</v>
      </c>
      <c r="Q776" t="s">
        <v>49</v>
      </c>
      <c r="R776" t="s">
        <v>3757</v>
      </c>
      <c r="V776" t="s">
        <v>53</v>
      </c>
      <c r="W776" t="s">
        <v>3758</v>
      </c>
      <c r="X776" t="s">
        <v>118</v>
      </c>
      <c r="Y776" t="s">
        <v>3759</v>
      </c>
      <c r="Z776" t="s">
        <v>170</v>
      </c>
    </row>
    <row r="777" spans="1:26" ht="12.75" customHeight="1" x14ac:dyDescent="0.35">
      <c r="A777">
        <v>776</v>
      </c>
      <c r="B777">
        <v>45887.846178854168</v>
      </c>
      <c r="D777" t="s">
        <v>3760</v>
      </c>
      <c r="E777" t="s">
        <v>1960</v>
      </c>
      <c r="F777" t="s">
        <v>377</v>
      </c>
      <c r="G777" t="s">
        <v>158</v>
      </c>
      <c r="H777" t="s">
        <v>44</v>
      </c>
      <c r="I777" t="s">
        <v>30</v>
      </c>
      <c r="J777" t="s">
        <v>45</v>
      </c>
      <c r="K777" t="s">
        <v>368</v>
      </c>
      <c r="L777" t="s">
        <v>46</v>
      </c>
      <c r="N777" t="s">
        <v>3716</v>
      </c>
      <c r="P777" t="s">
        <v>48</v>
      </c>
      <c r="Q777" t="s">
        <v>48</v>
      </c>
      <c r="R777" t="s">
        <v>1885</v>
      </c>
      <c r="S777" t="s">
        <v>48</v>
      </c>
      <c r="T777" t="s">
        <v>1962</v>
      </c>
      <c r="U777" t="s">
        <v>1887</v>
      </c>
      <c r="V777" t="s">
        <v>53</v>
      </c>
      <c r="W777" t="s">
        <v>3761</v>
      </c>
      <c r="X777" t="s">
        <v>3515</v>
      </c>
      <c r="Y777" t="s">
        <v>3762</v>
      </c>
      <c r="Z777" t="s">
        <v>91</v>
      </c>
    </row>
    <row r="778" spans="1:26" ht="12.75" customHeight="1" x14ac:dyDescent="0.35">
      <c r="A778">
        <v>777</v>
      </c>
      <c r="B778">
        <v>45887.855259652773</v>
      </c>
      <c r="D778" t="s">
        <v>3763</v>
      </c>
      <c r="E778" t="s">
        <v>2155</v>
      </c>
      <c r="F778" t="s">
        <v>71</v>
      </c>
      <c r="G778" t="s">
        <v>33</v>
      </c>
      <c r="H778" t="s">
        <v>33</v>
      </c>
      <c r="I778" t="s">
        <v>34</v>
      </c>
      <c r="J778" t="s">
        <v>34</v>
      </c>
      <c r="K778" t="s">
        <v>73</v>
      </c>
      <c r="L778" t="s">
        <v>36</v>
      </c>
      <c r="N778" t="s">
        <v>3506</v>
      </c>
      <c r="O778" t="s">
        <v>38</v>
      </c>
      <c r="P778" t="s">
        <v>49</v>
      </c>
      <c r="Q778" t="s">
        <v>38</v>
      </c>
      <c r="R778" t="s">
        <v>3703</v>
      </c>
      <c r="S778" t="s">
        <v>38</v>
      </c>
      <c r="T778" t="s">
        <v>3682</v>
      </c>
      <c r="U778" t="s">
        <v>3605</v>
      </c>
      <c r="V778" t="s">
        <v>53</v>
      </c>
      <c r="W778" t="s">
        <v>3764</v>
      </c>
      <c r="X778" t="s">
        <v>3510</v>
      </c>
      <c r="Y778" t="s">
        <v>3765</v>
      </c>
      <c r="Z778" t="s">
        <v>91</v>
      </c>
    </row>
    <row r="779" spans="1:26" ht="12.75" customHeight="1" x14ac:dyDescent="0.35">
      <c r="A779">
        <v>778</v>
      </c>
      <c r="B779">
        <v>45887.859281527781</v>
      </c>
      <c r="D779" t="s">
        <v>3766</v>
      </c>
      <c r="E779" t="s">
        <v>2431</v>
      </c>
      <c r="F779" t="s">
        <v>28</v>
      </c>
      <c r="G779" t="s">
        <v>28</v>
      </c>
      <c r="H779" t="s">
        <v>28</v>
      </c>
      <c r="I779" t="s">
        <v>28</v>
      </c>
      <c r="J779" t="s">
        <v>28</v>
      </c>
      <c r="K779" t="s">
        <v>28</v>
      </c>
      <c r="L779" t="s">
        <v>46</v>
      </c>
      <c r="N779" t="s">
        <v>3767</v>
      </c>
      <c r="O779" t="s">
        <v>49</v>
      </c>
      <c r="P779" t="s">
        <v>49</v>
      </c>
      <c r="Q779" t="s">
        <v>49</v>
      </c>
      <c r="R779" t="s">
        <v>2094</v>
      </c>
      <c r="S779" t="s">
        <v>49</v>
      </c>
      <c r="T779" t="s">
        <v>2095</v>
      </c>
      <c r="U779" t="s">
        <v>2096</v>
      </c>
      <c r="V779" t="s">
        <v>53</v>
      </c>
      <c r="W779" t="s">
        <v>3768</v>
      </c>
      <c r="X779" t="s">
        <v>127</v>
      </c>
      <c r="Y779" t="s">
        <v>2889</v>
      </c>
      <c r="Z779" t="s">
        <v>91</v>
      </c>
    </row>
    <row r="780" spans="1:26" ht="12.75" customHeight="1" x14ac:dyDescent="0.35">
      <c r="A780">
        <v>779</v>
      </c>
      <c r="B780">
        <v>45887.860148576394</v>
      </c>
      <c r="D780" t="s">
        <v>3769</v>
      </c>
      <c r="E780" t="s">
        <v>1875</v>
      </c>
      <c r="F780" t="s">
        <v>28</v>
      </c>
      <c r="G780" t="s">
        <v>44</v>
      </c>
      <c r="H780" t="s">
        <v>157</v>
      </c>
      <c r="I780" t="s">
        <v>103</v>
      </c>
      <c r="J780" t="s">
        <v>45</v>
      </c>
      <c r="K780" t="s">
        <v>45</v>
      </c>
      <c r="L780" t="s">
        <v>46</v>
      </c>
      <c r="N780" t="s">
        <v>2673</v>
      </c>
      <c r="O780" t="s">
        <v>49</v>
      </c>
      <c r="P780" t="s">
        <v>49</v>
      </c>
      <c r="Q780" t="s">
        <v>49</v>
      </c>
      <c r="R780" t="s">
        <v>3770</v>
      </c>
      <c r="S780" t="s">
        <v>49</v>
      </c>
      <c r="T780" t="s">
        <v>3771</v>
      </c>
      <c r="U780" t="s">
        <v>3772</v>
      </c>
      <c r="V780" t="s">
        <v>53</v>
      </c>
      <c r="W780" t="s">
        <v>3773</v>
      </c>
      <c r="X780" t="s">
        <v>127</v>
      </c>
      <c r="Y780" t="s">
        <v>3774</v>
      </c>
      <c r="Z780" t="s">
        <v>91</v>
      </c>
    </row>
    <row r="781" spans="1:26" ht="12.75" customHeight="1" x14ac:dyDescent="0.35">
      <c r="A781">
        <v>780</v>
      </c>
      <c r="B781">
        <v>45887.864409293979</v>
      </c>
      <c r="D781" t="s">
        <v>3775</v>
      </c>
      <c r="E781" t="s">
        <v>2431</v>
      </c>
      <c r="F781" t="s">
        <v>28</v>
      </c>
      <c r="G781" t="s">
        <v>28</v>
      </c>
      <c r="H781" t="s">
        <v>28</v>
      </c>
      <c r="I781" t="s">
        <v>28</v>
      </c>
      <c r="J781" t="s">
        <v>28</v>
      </c>
      <c r="K781" t="s">
        <v>28</v>
      </c>
      <c r="L781" t="s">
        <v>36</v>
      </c>
      <c r="N781" t="s">
        <v>3776</v>
      </c>
      <c r="O781" t="s">
        <v>49</v>
      </c>
      <c r="P781" t="s">
        <v>49</v>
      </c>
      <c r="Q781" t="s">
        <v>49</v>
      </c>
      <c r="R781" t="s">
        <v>2094</v>
      </c>
      <c r="S781" t="s">
        <v>49</v>
      </c>
      <c r="T781" t="s">
        <v>2095</v>
      </c>
      <c r="U781" t="s">
        <v>2096</v>
      </c>
      <c r="V781" t="s">
        <v>53</v>
      </c>
      <c r="W781" t="s">
        <v>3777</v>
      </c>
      <c r="X781" t="s">
        <v>127</v>
      </c>
      <c r="Y781" t="s">
        <v>3778</v>
      </c>
      <c r="Z781" t="s">
        <v>91</v>
      </c>
    </row>
    <row r="782" spans="1:26" ht="12.75" customHeight="1" x14ac:dyDescent="0.35">
      <c r="A782">
        <v>781</v>
      </c>
      <c r="B782">
        <v>45887.869858692131</v>
      </c>
      <c r="D782" t="s">
        <v>3779</v>
      </c>
      <c r="E782" t="s">
        <v>2431</v>
      </c>
      <c r="F782" t="s">
        <v>28</v>
      </c>
      <c r="G782" t="s">
        <v>28</v>
      </c>
      <c r="H782" t="s">
        <v>28</v>
      </c>
      <c r="I782" t="s">
        <v>28</v>
      </c>
      <c r="J782" t="s">
        <v>28</v>
      </c>
      <c r="K782" t="s">
        <v>28</v>
      </c>
      <c r="L782" t="s">
        <v>36</v>
      </c>
      <c r="N782" t="s">
        <v>3780</v>
      </c>
      <c r="O782" t="s">
        <v>49</v>
      </c>
      <c r="P782" t="s">
        <v>49</v>
      </c>
      <c r="Q782" t="s">
        <v>38</v>
      </c>
      <c r="R782" t="s">
        <v>2094</v>
      </c>
      <c r="S782" t="s">
        <v>38</v>
      </c>
      <c r="T782" t="s">
        <v>2095</v>
      </c>
      <c r="U782" t="s">
        <v>2096</v>
      </c>
      <c r="V782" t="s">
        <v>53</v>
      </c>
      <c r="W782" t="s">
        <v>3781</v>
      </c>
      <c r="X782" t="s">
        <v>127</v>
      </c>
      <c r="Y782" t="s">
        <v>3782</v>
      </c>
      <c r="Z782" t="s">
        <v>91</v>
      </c>
    </row>
    <row r="783" spans="1:26" ht="12.75" customHeight="1" x14ac:dyDescent="0.35">
      <c r="A783">
        <v>782</v>
      </c>
      <c r="B783">
        <v>45887.874312372689</v>
      </c>
      <c r="D783" t="s">
        <v>3783</v>
      </c>
      <c r="E783" t="s">
        <v>2431</v>
      </c>
      <c r="F783" t="s">
        <v>28</v>
      </c>
      <c r="G783" t="s">
        <v>28</v>
      </c>
      <c r="H783" t="s">
        <v>28</v>
      </c>
      <c r="I783" t="s">
        <v>28</v>
      </c>
      <c r="J783" t="s">
        <v>28</v>
      </c>
      <c r="K783" t="s">
        <v>28</v>
      </c>
      <c r="L783" t="s">
        <v>46</v>
      </c>
      <c r="N783" t="s">
        <v>3780</v>
      </c>
      <c r="O783" t="s">
        <v>49</v>
      </c>
      <c r="P783" t="s">
        <v>49</v>
      </c>
      <c r="Q783" t="s">
        <v>49</v>
      </c>
      <c r="R783" t="s">
        <v>2094</v>
      </c>
      <c r="S783" t="s">
        <v>49</v>
      </c>
      <c r="T783" t="s">
        <v>2095</v>
      </c>
      <c r="U783" t="s">
        <v>2096</v>
      </c>
      <c r="V783" t="s">
        <v>53</v>
      </c>
      <c r="W783" t="s">
        <v>3784</v>
      </c>
      <c r="X783" t="s">
        <v>127</v>
      </c>
      <c r="Y783" t="s">
        <v>3785</v>
      </c>
      <c r="Z783" t="s">
        <v>91</v>
      </c>
    </row>
    <row r="784" spans="1:26" ht="12.75" customHeight="1" x14ac:dyDescent="0.35">
      <c r="A784">
        <v>783</v>
      </c>
      <c r="B784">
        <v>45887.878260370373</v>
      </c>
      <c r="D784" t="s">
        <v>3786</v>
      </c>
      <c r="E784" t="s">
        <v>2155</v>
      </c>
      <c r="F784" t="s">
        <v>71</v>
      </c>
      <c r="G784" t="s">
        <v>33</v>
      </c>
      <c r="H784" t="s">
        <v>33</v>
      </c>
      <c r="I784" t="s">
        <v>34</v>
      </c>
      <c r="J784" t="s">
        <v>34</v>
      </c>
      <c r="K784" t="s">
        <v>28</v>
      </c>
      <c r="L784" t="s">
        <v>36</v>
      </c>
      <c r="N784" t="s">
        <v>3506</v>
      </c>
      <c r="O784" t="s">
        <v>49</v>
      </c>
      <c r="P784" t="s">
        <v>49</v>
      </c>
      <c r="Q784" t="s">
        <v>38</v>
      </c>
      <c r="R784" t="s">
        <v>3703</v>
      </c>
      <c r="S784" t="s">
        <v>49</v>
      </c>
      <c r="T784" t="s">
        <v>3682</v>
      </c>
      <c r="U784" t="s">
        <v>3605</v>
      </c>
      <c r="V784" t="s">
        <v>53</v>
      </c>
      <c r="W784" t="s">
        <v>3787</v>
      </c>
      <c r="X784" t="s">
        <v>3510</v>
      </c>
      <c r="Y784" t="s">
        <v>3788</v>
      </c>
      <c r="Z784" t="s">
        <v>91</v>
      </c>
    </row>
    <row r="785" spans="1:26" ht="12.75" customHeight="1" x14ac:dyDescent="0.35">
      <c r="A785">
        <v>784</v>
      </c>
      <c r="B785">
        <v>45887.879647546295</v>
      </c>
      <c r="D785" t="s">
        <v>3789</v>
      </c>
      <c r="E785" t="s">
        <v>2431</v>
      </c>
      <c r="F785" t="s">
        <v>28</v>
      </c>
      <c r="G785" t="s">
        <v>28</v>
      </c>
      <c r="H785" t="s">
        <v>28</v>
      </c>
      <c r="I785" t="s">
        <v>28</v>
      </c>
      <c r="J785" t="s">
        <v>28</v>
      </c>
      <c r="K785" t="s">
        <v>28</v>
      </c>
      <c r="L785" t="s">
        <v>46</v>
      </c>
      <c r="N785" t="s">
        <v>3780</v>
      </c>
      <c r="O785" t="s">
        <v>49</v>
      </c>
      <c r="P785" t="s">
        <v>49</v>
      </c>
      <c r="Q785" t="s">
        <v>49</v>
      </c>
      <c r="R785" t="s">
        <v>2094</v>
      </c>
      <c r="S785" t="s">
        <v>49</v>
      </c>
      <c r="T785" t="s">
        <v>2095</v>
      </c>
      <c r="U785" t="s">
        <v>2096</v>
      </c>
      <c r="V785" t="s">
        <v>53</v>
      </c>
      <c r="W785" t="s">
        <v>3790</v>
      </c>
      <c r="X785" t="s">
        <v>127</v>
      </c>
      <c r="Y785" t="s">
        <v>3791</v>
      </c>
      <c r="Z785" t="s">
        <v>91</v>
      </c>
    </row>
    <row r="786" spans="1:26" ht="12.75" customHeight="1" x14ac:dyDescent="0.35">
      <c r="A786">
        <v>785</v>
      </c>
      <c r="B786">
        <v>45887.883153703704</v>
      </c>
      <c r="D786" t="s">
        <v>3792</v>
      </c>
      <c r="E786" t="s">
        <v>2859</v>
      </c>
      <c r="F786" t="s">
        <v>71</v>
      </c>
      <c r="G786" t="s">
        <v>33</v>
      </c>
      <c r="H786" t="s">
        <v>33</v>
      </c>
      <c r="I786" t="s">
        <v>34</v>
      </c>
      <c r="J786" t="s">
        <v>34</v>
      </c>
      <c r="K786" t="s">
        <v>73</v>
      </c>
      <c r="L786" t="s">
        <v>36</v>
      </c>
      <c r="N786" t="s">
        <v>3506</v>
      </c>
      <c r="O786" t="s">
        <v>40</v>
      </c>
      <c r="P786" t="s">
        <v>38</v>
      </c>
      <c r="Q786" t="s">
        <v>49</v>
      </c>
      <c r="R786" t="s">
        <v>3703</v>
      </c>
      <c r="S786" t="s">
        <v>40</v>
      </c>
      <c r="T786" t="s">
        <v>3682</v>
      </c>
      <c r="U786" t="s">
        <v>3793</v>
      </c>
      <c r="V786" t="s">
        <v>53</v>
      </c>
      <c r="W786" t="s">
        <v>3794</v>
      </c>
      <c r="X786" t="s">
        <v>3510</v>
      </c>
      <c r="Y786" t="s">
        <v>3795</v>
      </c>
      <c r="Z786" t="s">
        <v>91</v>
      </c>
    </row>
    <row r="787" spans="1:26" ht="12.75" customHeight="1" x14ac:dyDescent="0.35">
      <c r="A787">
        <v>786</v>
      </c>
      <c r="B787">
        <v>45887.88423520833</v>
      </c>
      <c r="D787" t="s">
        <v>3796</v>
      </c>
      <c r="E787" t="s">
        <v>2431</v>
      </c>
      <c r="F787" t="s">
        <v>28</v>
      </c>
      <c r="G787" t="s">
        <v>28</v>
      </c>
      <c r="H787" t="s">
        <v>28</v>
      </c>
      <c r="I787" t="s">
        <v>28</v>
      </c>
      <c r="J787" t="s">
        <v>28</v>
      </c>
      <c r="K787" t="s">
        <v>28</v>
      </c>
      <c r="L787" t="s">
        <v>46</v>
      </c>
      <c r="N787" t="s">
        <v>3797</v>
      </c>
      <c r="O787" t="s">
        <v>49</v>
      </c>
      <c r="P787" t="s">
        <v>49</v>
      </c>
      <c r="Q787" t="s">
        <v>49</v>
      </c>
      <c r="R787" t="s">
        <v>2094</v>
      </c>
      <c r="S787" t="s">
        <v>49</v>
      </c>
      <c r="T787" t="s">
        <v>2095</v>
      </c>
      <c r="U787" t="s">
        <v>2096</v>
      </c>
      <c r="V787" t="s">
        <v>53</v>
      </c>
      <c r="W787" t="s">
        <v>3798</v>
      </c>
      <c r="X787" t="s">
        <v>127</v>
      </c>
      <c r="Y787" t="s">
        <v>3799</v>
      </c>
      <c r="Z787" t="s">
        <v>91</v>
      </c>
    </row>
    <row r="788" spans="1:26" ht="12.75" customHeight="1" x14ac:dyDescent="0.35">
      <c r="A788">
        <v>787</v>
      </c>
      <c r="B788">
        <v>45887.887863101852</v>
      </c>
      <c r="D788" t="s">
        <v>3800</v>
      </c>
      <c r="E788" t="s">
        <v>2859</v>
      </c>
      <c r="F788" t="s">
        <v>28</v>
      </c>
      <c r="G788" t="s">
        <v>28</v>
      </c>
      <c r="H788" t="s">
        <v>33</v>
      </c>
      <c r="I788" t="s">
        <v>34</v>
      </c>
      <c r="J788" t="s">
        <v>28</v>
      </c>
      <c r="K788" t="s">
        <v>28</v>
      </c>
      <c r="L788" t="s">
        <v>46</v>
      </c>
      <c r="N788" t="s">
        <v>3506</v>
      </c>
      <c r="O788" t="s">
        <v>49</v>
      </c>
      <c r="P788" t="s">
        <v>49</v>
      </c>
      <c r="Q788" t="s">
        <v>49</v>
      </c>
      <c r="R788" t="s">
        <v>3703</v>
      </c>
      <c r="S788" t="s">
        <v>49</v>
      </c>
      <c r="T788" t="s">
        <v>3682</v>
      </c>
      <c r="U788" t="s">
        <v>3801</v>
      </c>
      <c r="V788" t="s">
        <v>53</v>
      </c>
      <c r="W788" t="s">
        <v>3802</v>
      </c>
      <c r="X788" t="s">
        <v>3510</v>
      </c>
      <c r="Y788" t="s">
        <v>3803</v>
      </c>
      <c r="Z788" t="s">
        <v>91</v>
      </c>
    </row>
    <row r="789" spans="1:26" ht="12.75" customHeight="1" x14ac:dyDescent="0.35">
      <c r="A789">
        <v>788</v>
      </c>
      <c r="B789">
        <v>45887.89179804398</v>
      </c>
      <c r="D789" t="s">
        <v>3804</v>
      </c>
      <c r="E789" t="s">
        <v>2431</v>
      </c>
      <c r="F789" t="s">
        <v>28</v>
      </c>
      <c r="G789" t="s">
        <v>28</v>
      </c>
      <c r="H789" t="s">
        <v>28</v>
      </c>
      <c r="I789" t="s">
        <v>28</v>
      </c>
      <c r="J789" t="s">
        <v>28</v>
      </c>
      <c r="K789" t="s">
        <v>28</v>
      </c>
      <c r="L789" t="s">
        <v>46</v>
      </c>
      <c r="N789" t="s">
        <v>3805</v>
      </c>
      <c r="O789" t="s">
        <v>49</v>
      </c>
      <c r="P789" t="s">
        <v>49</v>
      </c>
      <c r="Q789" t="s">
        <v>49</v>
      </c>
      <c r="R789" t="s">
        <v>2094</v>
      </c>
      <c r="S789" t="s">
        <v>49</v>
      </c>
      <c r="T789" t="s">
        <v>2095</v>
      </c>
      <c r="U789" t="s">
        <v>2096</v>
      </c>
      <c r="V789" t="s">
        <v>53</v>
      </c>
      <c r="W789" t="s">
        <v>3806</v>
      </c>
      <c r="X789" t="s">
        <v>127</v>
      </c>
      <c r="Y789" t="s">
        <v>3807</v>
      </c>
      <c r="Z789" t="s">
        <v>91</v>
      </c>
    </row>
    <row r="790" spans="1:26" ht="12.75" customHeight="1" x14ac:dyDescent="0.35">
      <c r="A790">
        <v>789</v>
      </c>
      <c r="B790">
        <v>45887.892921597224</v>
      </c>
      <c r="D790" t="s">
        <v>3808</v>
      </c>
      <c r="E790" t="s">
        <v>2155</v>
      </c>
      <c r="F790" t="s">
        <v>33</v>
      </c>
      <c r="G790" t="s">
        <v>33</v>
      </c>
      <c r="H790" t="s">
        <v>33</v>
      </c>
      <c r="I790" t="s">
        <v>34</v>
      </c>
      <c r="J790" t="s">
        <v>34</v>
      </c>
      <c r="K790" t="s">
        <v>74</v>
      </c>
      <c r="L790" t="s">
        <v>46</v>
      </c>
      <c r="N790" t="s">
        <v>3506</v>
      </c>
      <c r="O790" t="s">
        <v>38</v>
      </c>
      <c r="P790" t="s">
        <v>38</v>
      </c>
      <c r="Q790" t="s">
        <v>38</v>
      </c>
      <c r="R790" t="s">
        <v>3703</v>
      </c>
      <c r="S790" t="s">
        <v>38</v>
      </c>
      <c r="T790" t="s">
        <v>3682</v>
      </c>
      <c r="U790" t="s">
        <v>3809</v>
      </c>
      <c r="V790" t="s">
        <v>53</v>
      </c>
      <c r="W790" t="s">
        <v>3810</v>
      </c>
      <c r="X790" t="s">
        <v>3510</v>
      </c>
      <c r="Y790" t="s">
        <v>3811</v>
      </c>
      <c r="Z790" t="s">
        <v>91</v>
      </c>
    </row>
    <row r="791" spans="1:26" ht="12.75" customHeight="1" x14ac:dyDescent="0.35">
      <c r="A791">
        <v>790</v>
      </c>
      <c r="B791">
        <v>45887.89356300926</v>
      </c>
      <c r="D791" t="s">
        <v>3812</v>
      </c>
      <c r="E791" t="s">
        <v>2431</v>
      </c>
      <c r="F791" t="s">
        <v>28</v>
      </c>
      <c r="G791" t="s">
        <v>28</v>
      </c>
      <c r="H791" t="s">
        <v>28</v>
      </c>
      <c r="I791" t="s">
        <v>28</v>
      </c>
      <c r="J791" t="s">
        <v>28</v>
      </c>
      <c r="K791" t="s">
        <v>28</v>
      </c>
      <c r="L791" t="s">
        <v>46</v>
      </c>
      <c r="N791" t="s">
        <v>3813</v>
      </c>
      <c r="O791" t="s">
        <v>49</v>
      </c>
      <c r="P791" t="s">
        <v>49</v>
      </c>
      <c r="Q791" t="s">
        <v>49</v>
      </c>
      <c r="R791" t="s">
        <v>2094</v>
      </c>
      <c r="S791" t="s">
        <v>49</v>
      </c>
      <c r="T791" t="s">
        <v>2095</v>
      </c>
      <c r="U791" t="s">
        <v>2096</v>
      </c>
      <c r="V791" t="s">
        <v>53</v>
      </c>
      <c r="W791" t="s">
        <v>3814</v>
      </c>
      <c r="X791" t="s">
        <v>127</v>
      </c>
      <c r="Y791" t="s">
        <v>3815</v>
      </c>
      <c r="Z791" t="s">
        <v>91</v>
      </c>
    </row>
    <row r="792" spans="1:26" ht="12.75" customHeight="1" x14ac:dyDescent="0.35">
      <c r="A792">
        <v>791</v>
      </c>
      <c r="B792">
        <v>45887.902272430554</v>
      </c>
      <c r="D792" t="s">
        <v>3816</v>
      </c>
      <c r="E792" t="s">
        <v>2033</v>
      </c>
      <c r="F792" t="s">
        <v>44</v>
      </c>
      <c r="G792" t="s">
        <v>44</v>
      </c>
      <c r="H792" t="s">
        <v>157</v>
      </c>
      <c r="I792" t="s">
        <v>103</v>
      </c>
      <c r="J792" t="s">
        <v>45</v>
      </c>
      <c r="K792" t="s">
        <v>368</v>
      </c>
      <c r="L792" t="s">
        <v>46</v>
      </c>
      <c r="N792" t="s">
        <v>2673</v>
      </c>
      <c r="O792" t="s">
        <v>49</v>
      </c>
      <c r="P792" t="s">
        <v>48</v>
      </c>
      <c r="Q792" t="s">
        <v>49</v>
      </c>
      <c r="R792" t="s">
        <v>3817</v>
      </c>
      <c r="S792" t="s">
        <v>48</v>
      </c>
      <c r="T792" t="s">
        <v>3818</v>
      </c>
      <c r="U792" t="s">
        <v>3819</v>
      </c>
      <c r="V792" t="s">
        <v>53</v>
      </c>
      <c r="W792" t="s">
        <v>3820</v>
      </c>
      <c r="X792" t="s">
        <v>127</v>
      </c>
      <c r="Y792" t="s">
        <v>3821</v>
      </c>
      <c r="Z792" t="s">
        <v>91</v>
      </c>
    </row>
    <row r="793" spans="1:26" ht="12.75" customHeight="1" x14ac:dyDescent="0.35">
      <c r="A793">
        <v>792</v>
      </c>
      <c r="B793">
        <v>45887.906110393524</v>
      </c>
      <c r="D793" t="s">
        <v>3822</v>
      </c>
      <c r="E793" t="s">
        <v>1875</v>
      </c>
      <c r="F793" t="s">
        <v>377</v>
      </c>
      <c r="G793" t="s">
        <v>44</v>
      </c>
      <c r="H793" t="s">
        <v>157</v>
      </c>
      <c r="I793" t="s">
        <v>103</v>
      </c>
      <c r="J793" t="s">
        <v>103</v>
      </c>
      <c r="K793" t="s">
        <v>45</v>
      </c>
      <c r="L793" t="s">
        <v>36</v>
      </c>
      <c r="N793" t="s">
        <v>3043</v>
      </c>
      <c r="O793" t="s">
        <v>49</v>
      </c>
      <c r="P793" t="s">
        <v>49</v>
      </c>
      <c r="Q793" t="s">
        <v>49</v>
      </c>
      <c r="R793" t="s">
        <v>3823</v>
      </c>
      <c r="S793" t="s">
        <v>49</v>
      </c>
      <c r="T793" t="s">
        <v>3824</v>
      </c>
      <c r="U793" t="s">
        <v>3825</v>
      </c>
      <c r="V793" t="s">
        <v>53</v>
      </c>
      <c r="W793" t="s">
        <v>3826</v>
      </c>
      <c r="X793" t="s">
        <v>1030</v>
      </c>
      <c r="Y793" t="s">
        <v>3827</v>
      </c>
      <c r="Z793" t="s">
        <v>91</v>
      </c>
    </row>
    <row r="794" spans="1:26" ht="12.75" customHeight="1" x14ac:dyDescent="0.35">
      <c r="A794">
        <v>793</v>
      </c>
      <c r="B794">
        <v>45887.909112280089</v>
      </c>
      <c r="D794" t="s">
        <v>3828</v>
      </c>
      <c r="E794" t="s">
        <v>32</v>
      </c>
      <c r="F794" t="s">
        <v>344</v>
      </c>
      <c r="G794" t="s">
        <v>44</v>
      </c>
      <c r="H794" t="s">
        <v>29</v>
      </c>
      <c r="I794" t="s">
        <v>173</v>
      </c>
      <c r="J794" t="s">
        <v>30</v>
      </c>
      <c r="K794" t="s">
        <v>73</v>
      </c>
      <c r="L794" t="s">
        <v>46</v>
      </c>
      <c r="N794" t="s">
        <v>2338</v>
      </c>
      <c r="O794" t="s">
        <v>49</v>
      </c>
      <c r="P794" t="s">
        <v>49</v>
      </c>
      <c r="Q794" t="s">
        <v>48</v>
      </c>
      <c r="R794" t="s">
        <v>3829</v>
      </c>
      <c r="S794" t="s">
        <v>48</v>
      </c>
      <c r="V794" t="s">
        <v>53</v>
      </c>
      <c r="W794" t="s">
        <v>3830</v>
      </c>
      <c r="X794" t="s">
        <v>118</v>
      </c>
      <c r="Y794" t="s">
        <v>3831</v>
      </c>
      <c r="Z794" t="s">
        <v>170</v>
      </c>
    </row>
    <row r="795" spans="1:26" ht="12.75" customHeight="1" x14ac:dyDescent="0.35">
      <c r="A795">
        <v>794</v>
      </c>
      <c r="B795">
        <v>45887.909430601852</v>
      </c>
      <c r="D795" t="s">
        <v>3832</v>
      </c>
      <c r="E795" t="s">
        <v>1875</v>
      </c>
      <c r="F795" t="s">
        <v>377</v>
      </c>
      <c r="G795" t="s">
        <v>44</v>
      </c>
      <c r="H795" t="s">
        <v>157</v>
      </c>
      <c r="I795" t="s">
        <v>103</v>
      </c>
      <c r="J795" t="s">
        <v>103</v>
      </c>
      <c r="K795" t="s">
        <v>45</v>
      </c>
      <c r="L795" t="s">
        <v>36</v>
      </c>
      <c r="N795" t="s">
        <v>2592</v>
      </c>
      <c r="O795" t="s">
        <v>49</v>
      </c>
      <c r="P795" t="s">
        <v>48</v>
      </c>
      <c r="Q795" t="s">
        <v>49</v>
      </c>
      <c r="R795" t="s">
        <v>3833</v>
      </c>
      <c r="S795" t="s">
        <v>49</v>
      </c>
      <c r="T795" t="s">
        <v>3834</v>
      </c>
      <c r="U795" t="s">
        <v>3835</v>
      </c>
      <c r="V795" t="s">
        <v>53</v>
      </c>
      <c r="W795" t="s">
        <v>3836</v>
      </c>
      <c r="X795" t="s">
        <v>1030</v>
      </c>
      <c r="Y795" t="s">
        <v>3837</v>
      </c>
      <c r="Z795" t="s">
        <v>91</v>
      </c>
    </row>
    <row r="796" spans="1:26" ht="12.75" customHeight="1" x14ac:dyDescent="0.35">
      <c r="A796">
        <v>795</v>
      </c>
      <c r="B796">
        <v>45887.912000763885</v>
      </c>
      <c r="D796" t="s">
        <v>3838</v>
      </c>
      <c r="E796" t="s">
        <v>1875</v>
      </c>
      <c r="F796" t="s">
        <v>377</v>
      </c>
      <c r="G796" t="s">
        <v>44</v>
      </c>
      <c r="H796" t="s">
        <v>157</v>
      </c>
      <c r="I796" t="s">
        <v>103</v>
      </c>
      <c r="J796" t="s">
        <v>45</v>
      </c>
      <c r="K796" t="s">
        <v>45</v>
      </c>
      <c r="L796" t="s">
        <v>36</v>
      </c>
      <c r="N796" t="s">
        <v>2592</v>
      </c>
      <c r="O796" t="s">
        <v>49</v>
      </c>
      <c r="P796" t="s">
        <v>48</v>
      </c>
      <c r="Q796" t="s">
        <v>49</v>
      </c>
      <c r="R796" t="s">
        <v>3839</v>
      </c>
      <c r="S796" t="s">
        <v>49</v>
      </c>
      <c r="T796" t="s">
        <v>3840</v>
      </c>
      <c r="U796" t="s">
        <v>3841</v>
      </c>
      <c r="V796" t="s">
        <v>53</v>
      </c>
      <c r="W796" t="s">
        <v>3842</v>
      </c>
      <c r="X796" t="s">
        <v>1030</v>
      </c>
      <c r="Y796" t="s">
        <v>3843</v>
      </c>
      <c r="Z796" t="s">
        <v>91</v>
      </c>
    </row>
    <row r="797" spans="1:26" ht="12.75" customHeight="1" x14ac:dyDescent="0.35">
      <c r="A797">
        <v>796</v>
      </c>
      <c r="B797">
        <v>45887.913029386575</v>
      </c>
      <c r="D797" t="s">
        <v>3004</v>
      </c>
      <c r="E797" t="s">
        <v>32</v>
      </c>
      <c r="F797" t="s">
        <v>71</v>
      </c>
      <c r="G797" t="s">
        <v>44</v>
      </c>
      <c r="H797" t="s">
        <v>157</v>
      </c>
      <c r="I797" t="s">
        <v>28</v>
      </c>
      <c r="J797" t="s">
        <v>73</v>
      </c>
      <c r="K797" t="s">
        <v>94</v>
      </c>
      <c r="L797" t="s">
        <v>36</v>
      </c>
      <c r="N797" t="s">
        <v>2525</v>
      </c>
      <c r="O797" t="s">
        <v>48</v>
      </c>
      <c r="Q797" t="s">
        <v>38</v>
      </c>
      <c r="R797" t="s">
        <v>3844</v>
      </c>
      <c r="V797" t="s">
        <v>53</v>
      </c>
      <c r="W797" t="s">
        <v>3845</v>
      </c>
      <c r="X797" t="s">
        <v>118</v>
      </c>
      <c r="Y797" t="s">
        <v>3846</v>
      </c>
      <c r="Z797" t="s">
        <v>91</v>
      </c>
    </row>
    <row r="798" spans="1:26" ht="12.75" customHeight="1" x14ac:dyDescent="0.35">
      <c r="A798">
        <v>797</v>
      </c>
      <c r="B798">
        <v>45887.914507164351</v>
      </c>
      <c r="D798" t="s">
        <v>3847</v>
      </c>
      <c r="E798" t="s">
        <v>1875</v>
      </c>
      <c r="F798" t="s">
        <v>28</v>
      </c>
      <c r="G798" t="s">
        <v>44</v>
      </c>
      <c r="H798" t="s">
        <v>157</v>
      </c>
      <c r="I798" t="s">
        <v>158</v>
      </c>
      <c r="J798" t="s">
        <v>45</v>
      </c>
      <c r="K798" t="s">
        <v>45</v>
      </c>
      <c r="L798" t="s">
        <v>46</v>
      </c>
      <c r="N798" t="s">
        <v>2592</v>
      </c>
      <c r="O798" t="s">
        <v>48</v>
      </c>
      <c r="P798" t="s">
        <v>48</v>
      </c>
      <c r="Q798" t="s">
        <v>48</v>
      </c>
      <c r="R798" t="s">
        <v>3848</v>
      </c>
      <c r="S798" t="s">
        <v>48</v>
      </c>
      <c r="T798" t="s">
        <v>3849</v>
      </c>
      <c r="U798" t="s">
        <v>3850</v>
      </c>
      <c r="V798" t="s">
        <v>53</v>
      </c>
      <c r="W798" t="s">
        <v>3851</v>
      </c>
      <c r="X798" t="s">
        <v>1030</v>
      </c>
      <c r="Y798" t="s">
        <v>3852</v>
      </c>
      <c r="Z798" t="s">
        <v>91</v>
      </c>
    </row>
    <row r="799" spans="1:26" ht="12.75" customHeight="1" x14ac:dyDescent="0.35">
      <c r="A799">
        <v>798</v>
      </c>
      <c r="B799">
        <v>45887.916272951392</v>
      </c>
      <c r="D799" t="s">
        <v>3853</v>
      </c>
      <c r="E799" t="s">
        <v>3483</v>
      </c>
      <c r="F799" t="s">
        <v>344</v>
      </c>
      <c r="G799" t="s">
        <v>44</v>
      </c>
      <c r="H799" t="s">
        <v>284</v>
      </c>
      <c r="I799" t="s">
        <v>28</v>
      </c>
      <c r="J799" t="s">
        <v>73</v>
      </c>
      <c r="K799" t="s">
        <v>94</v>
      </c>
      <c r="L799" t="s">
        <v>46</v>
      </c>
      <c r="N799" t="s">
        <v>2525</v>
      </c>
      <c r="O799" t="s">
        <v>48</v>
      </c>
      <c r="Q799" t="s">
        <v>49</v>
      </c>
      <c r="R799" t="s">
        <v>3854</v>
      </c>
      <c r="S799" t="s">
        <v>48</v>
      </c>
      <c r="V799" t="s">
        <v>53</v>
      </c>
      <c r="W799" t="s">
        <v>3855</v>
      </c>
      <c r="X799" t="s">
        <v>118</v>
      </c>
      <c r="Y799" t="s">
        <v>3856</v>
      </c>
      <c r="Z799" t="s">
        <v>91</v>
      </c>
    </row>
    <row r="800" spans="1:26" ht="12.75" customHeight="1" x14ac:dyDescent="0.35">
      <c r="A800">
        <v>799</v>
      </c>
      <c r="B800">
        <v>45887.91785672454</v>
      </c>
      <c r="D800" t="s">
        <v>3857</v>
      </c>
      <c r="E800" t="s">
        <v>1875</v>
      </c>
      <c r="F800" t="s">
        <v>28</v>
      </c>
      <c r="G800" t="s">
        <v>44</v>
      </c>
      <c r="H800" t="s">
        <v>157</v>
      </c>
      <c r="I800" t="s">
        <v>103</v>
      </c>
      <c r="J800" t="s">
        <v>45</v>
      </c>
      <c r="K800" t="s">
        <v>45</v>
      </c>
      <c r="L800" t="s">
        <v>46</v>
      </c>
      <c r="N800" t="s">
        <v>3087</v>
      </c>
      <c r="O800" t="s">
        <v>49</v>
      </c>
      <c r="P800" t="s">
        <v>48</v>
      </c>
      <c r="Q800" t="s">
        <v>49</v>
      </c>
      <c r="R800" t="s">
        <v>3858</v>
      </c>
      <c r="S800" t="s">
        <v>49</v>
      </c>
      <c r="T800" t="s">
        <v>3859</v>
      </c>
      <c r="U800" t="s">
        <v>3860</v>
      </c>
      <c r="V800" t="s">
        <v>53</v>
      </c>
      <c r="W800" t="s">
        <v>3861</v>
      </c>
      <c r="X800" t="s">
        <v>1030</v>
      </c>
      <c r="Y800" t="s">
        <v>3862</v>
      </c>
      <c r="Z800" t="s">
        <v>91</v>
      </c>
    </row>
    <row r="801" spans="1:26" ht="12.75" customHeight="1" x14ac:dyDescent="0.35">
      <c r="A801">
        <v>800</v>
      </c>
      <c r="B801">
        <v>45887.920107511571</v>
      </c>
      <c r="D801" t="s">
        <v>3863</v>
      </c>
      <c r="E801" t="s">
        <v>32</v>
      </c>
      <c r="F801" t="s">
        <v>377</v>
      </c>
      <c r="G801" t="s">
        <v>44</v>
      </c>
      <c r="H801" t="s">
        <v>73</v>
      </c>
      <c r="I801" t="s">
        <v>30</v>
      </c>
      <c r="J801" t="s">
        <v>173</v>
      </c>
      <c r="K801" t="s">
        <v>45</v>
      </c>
      <c r="L801" t="s">
        <v>46</v>
      </c>
      <c r="N801" t="s">
        <v>2525</v>
      </c>
      <c r="O801" t="s">
        <v>48</v>
      </c>
      <c r="P801" t="s">
        <v>48</v>
      </c>
      <c r="Q801" t="s">
        <v>38</v>
      </c>
      <c r="R801" t="s">
        <v>3864</v>
      </c>
      <c r="S801" t="s">
        <v>48</v>
      </c>
      <c r="V801" t="s">
        <v>53</v>
      </c>
      <c r="W801" t="s">
        <v>3865</v>
      </c>
      <c r="X801" t="s">
        <v>118</v>
      </c>
      <c r="Y801" t="s">
        <v>3866</v>
      </c>
      <c r="Z801" t="s">
        <v>91</v>
      </c>
    </row>
    <row r="802" spans="1:26" ht="12.75" customHeight="1" x14ac:dyDescent="0.35">
      <c r="A802">
        <v>801</v>
      </c>
      <c r="B802">
        <v>45887.925706145834</v>
      </c>
      <c r="D802" t="s">
        <v>3867</v>
      </c>
      <c r="E802" t="s">
        <v>32</v>
      </c>
      <c r="F802" t="s">
        <v>377</v>
      </c>
      <c r="G802" t="s">
        <v>196</v>
      </c>
      <c r="H802" t="s">
        <v>44</v>
      </c>
      <c r="I802" t="s">
        <v>34</v>
      </c>
      <c r="J802" t="s">
        <v>368</v>
      </c>
      <c r="K802" t="s">
        <v>35</v>
      </c>
      <c r="L802" t="s">
        <v>36</v>
      </c>
      <c r="N802" t="s">
        <v>2553</v>
      </c>
      <c r="O802" t="s">
        <v>48</v>
      </c>
      <c r="P802" t="s">
        <v>48</v>
      </c>
      <c r="Q802" t="s">
        <v>48</v>
      </c>
      <c r="R802" t="s">
        <v>3868</v>
      </c>
      <c r="S802" t="s">
        <v>48</v>
      </c>
      <c r="V802" t="s">
        <v>53</v>
      </c>
      <c r="W802" t="s">
        <v>3869</v>
      </c>
      <c r="X802" t="s">
        <v>118</v>
      </c>
      <c r="Y802" t="s">
        <v>3266</v>
      </c>
      <c r="Z802" t="s">
        <v>91</v>
      </c>
    </row>
    <row r="803" spans="1:26" ht="12.75" customHeight="1" x14ac:dyDescent="0.35">
      <c r="A803">
        <v>802</v>
      </c>
      <c r="B803">
        <v>45887.931525578708</v>
      </c>
      <c r="D803" t="s">
        <v>3870</v>
      </c>
      <c r="E803" t="s">
        <v>1875</v>
      </c>
      <c r="F803" t="s">
        <v>377</v>
      </c>
      <c r="G803" t="s">
        <v>44</v>
      </c>
      <c r="H803" t="s">
        <v>44</v>
      </c>
      <c r="I803" t="s">
        <v>103</v>
      </c>
      <c r="J803" t="s">
        <v>45</v>
      </c>
      <c r="K803" t="s">
        <v>45</v>
      </c>
      <c r="L803" t="s">
        <v>46</v>
      </c>
      <c r="N803" t="s">
        <v>2577</v>
      </c>
      <c r="O803" t="s">
        <v>49</v>
      </c>
      <c r="P803" t="s">
        <v>49</v>
      </c>
      <c r="Q803" t="s">
        <v>49</v>
      </c>
      <c r="R803" t="s">
        <v>3871</v>
      </c>
      <c r="S803" t="s">
        <v>49</v>
      </c>
      <c r="T803" t="s">
        <v>3872</v>
      </c>
      <c r="U803" t="s">
        <v>3873</v>
      </c>
      <c r="V803" t="s">
        <v>53</v>
      </c>
      <c r="W803" t="s">
        <v>3874</v>
      </c>
      <c r="X803" t="s">
        <v>1030</v>
      </c>
      <c r="Y803" t="s">
        <v>3875</v>
      </c>
      <c r="Z803" t="s">
        <v>91</v>
      </c>
    </row>
    <row r="804" spans="1:26" ht="12.75" customHeight="1" x14ac:dyDescent="0.35">
      <c r="A804">
        <v>803</v>
      </c>
      <c r="B804">
        <v>45887.936784467594</v>
      </c>
      <c r="D804" t="s">
        <v>3876</v>
      </c>
      <c r="E804" t="s">
        <v>1960</v>
      </c>
      <c r="F804" t="s">
        <v>44</v>
      </c>
      <c r="G804" t="s">
        <v>44</v>
      </c>
      <c r="H804" t="s">
        <v>44</v>
      </c>
      <c r="I804" t="s">
        <v>103</v>
      </c>
      <c r="J804" t="s">
        <v>45</v>
      </c>
      <c r="K804" t="s">
        <v>35</v>
      </c>
      <c r="L804" t="s">
        <v>46</v>
      </c>
      <c r="N804" t="s">
        <v>3716</v>
      </c>
      <c r="O804" t="s">
        <v>48</v>
      </c>
      <c r="P804" t="s">
        <v>48</v>
      </c>
      <c r="Q804" t="s">
        <v>48</v>
      </c>
      <c r="R804" t="s">
        <v>3877</v>
      </c>
      <c r="S804" t="s">
        <v>49</v>
      </c>
      <c r="T804" t="s">
        <v>3878</v>
      </c>
      <c r="U804" t="s">
        <v>3879</v>
      </c>
      <c r="V804" t="s">
        <v>53</v>
      </c>
      <c r="W804" t="s">
        <v>3880</v>
      </c>
      <c r="X804" t="s">
        <v>3515</v>
      </c>
      <c r="Y804" t="s">
        <v>2013</v>
      </c>
      <c r="Z804" t="s">
        <v>91</v>
      </c>
    </row>
    <row r="805" spans="1:26" ht="12.75" customHeight="1" x14ac:dyDescent="0.35">
      <c r="A805">
        <v>804</v>
      </c>
      <c r="B805">
        <v>45887.939791504628</v>
      </c>
      <c r="D805" t="s">
        <v>3881</v>
      </c>
      <c r="E805" t="s">
        <v>1875</v>
      </c>
      <c r="F805" t="s">
        <v>44</v>
      </c>
      <c r="G805" t="s">
        <v>44</v>
      </c>
      <c r="H805" t="s">
        <v>157</v>
      </c>
      <c r="I805" t="s">
        <v>103</v>
      </c>
      <c r="J805" t="s">
        <v>103</v>
      </c>
      <c r="K805" t="s">
        <v>45</v>
      </c>
      <c r="L805" t="s">
        <v>36</v>
      </c>
      <c r="N805" t="s">
        <v>2577</v>
      </c>
      <c r="O805" t="s">
        <v>48</v>
      </c>
      <c r="P805" t="s">
        <v>49</v>
      </c>
      <c r="Q805" t="s">
        <v>49</v>
      </c>
      <c r="R805" t="s">
        <v>3882</v>
      </c>
      <c r="S805" t="s">
        <v>49</v>
      </c>
      <c r="T805" t="s">
        <v>3883</v>
      </c>
      <c r="U805" t="s">
        <v>3884</v>
      </c>
      <c r="V805" t="s">
        <v>53</v>
      </c>
      <c r="W805" t="s">
        <v>3885</v>
      </c>
      <c r="X805" t="s">
        <v>1030</v>
      </c>
      <c r="Y805" t="s">
        <v>56</v>
      </c>
      <c r="Z805" t="s">
        <v>91</v>
      </c>
    </row>
    <row r="806" spans="1:26" ht="12.75" customHeight="1" x14ac:dyDescent="0.35">
      <c r="A806">
        <v>805</v>
      </c>
      <c r="B806">
        <v>45887.941912986113</v>
      </c>
      <c r="D806" t="s">
        <v>3886</v>
      </c>
      <c r="E806" t="s">
        <v>1960</v>
      </c>
      <c r="F806" t="s">
        <v>28</v>
      </c>
      <c r="G806" t="s">
        <v>44</v>
      </c>
      <c r="H806" t="s">
        <v>60</v>
      </c>
      <c r="I806" t="s">
        <v>103</v>
      </c>
      <c r="J806" t="s">
        <v>30</v>
      </c>
      <c r="K806" t="s">
        <v>61</v>
      </c>
      <c r="L806" t="s">
        <v>46</v>
      </c>
      <c r="N806" t="s">
        <v>3887</v>
      </c>
      <c r="O806" t="s">
        <v>48</v>
      </c>
      <c r="P806" t="s">
        <v>48</v>
      </c>
      <c r="Q806" t="s">
        <v>38</v>
      </c>
      <c r="R806" t="s">
        <v>3877</v>
      </c>
      <c r="S806" t="s">
        <v>38</v>
      </c>
      <c r="T806" t="s">
        <v>3878</v>
      </c>
      <c r="U806" t="s">
        <v>3879</v>
      </c>
      <c r="V806" t="s">
        <v>53</v>
      </c>
      <c r="W806" t="s">
        <v>3888</v>
      </c>
      <c r="X806" t="s">
        <v>2485</v>
      </c>
      <c r="Y806" t="s">
        <v>3889</v>
      </c>
      <c r="Z806" t="s">
        <v>91</v>
      </c>
    </row>
    <row r="807" spans="1:26" ht="12.75" customHeight="1" x14ac:dyDescent="0.35">
      <c r="A807">
        <v>806</v>
      </c>
      <c r="B807">
        <v>45887.943276273145</v>
      </c>
      <c r="D807" t="s">
        <v>3886</v>
      </c>
      <c r="E807" t="s">
        <v>1960</v>
      </c>
      <c r="F807" t="s">
        <v>44</v>
      </c>
      <c r="G807" t="s">
        <v>60</v>
      </c>
      <c r="H807" t="s">
        <v>60</v>
      </c>
      <c r="I807" t="s">
        <v>173</v>
      </c>
      <c r="J807" t="s">
        <v>103</v>
      </c>
      <c r="K807" t="s">
        <v>45</v>
      </c>
      <c r="L807" t="s">
        <v>46</v>
      </c>
      <c r="N807" t="s">
        <v>3887</v>
      </c>
      <c r="O807" t="s">
        <v>48</v>
      </c>
      <c r="P807" t="s">
        <v>48</v>
      </c>
      <c r="Q807" t="s">
        <v>38</v>
      </c>
      <c r="R807" t="s">
        <v>3877</v>
      </c>
      <c r="S807" t="s">
        <v>48</v>
      </c>
      <c r="T807" t="s">
        <v>3878</v>
      </c>
      <c r="U807" t="s">
        <v>3879</v>
      </c>
      <c r="V807" t="s">
        <v>53</v>
      </c>
      <c r="W807" t="s">
        <v>3888</v>
      </c>
      <c r="X807" t="s">
        <v>2485</v>
      </c>
      <c r="Y807" t="s">
        <v>3889</v>
      </c>
      <c r="Z807" t="s">
        <v>91</v>
      </c>
    </row>
    <row r="808" spans="1:26" ht="12.75" customHeight="1" x14ac:dyDescent="0.35">
      <c r="A808">
        <v>807</v>
      </c>
      <c r="B808">
        <v>45887.946590891203</v>
      </c>
      <c r="D808" t="s">
        <v>3886</v>
      </c>
      <c r="E808" t="s">
        <v>2431</v>
      </c>
      <c r="F808" t="s">
        <v>28</v>
      </c>
      <c r="G808" t="s">
        <v>28</v>
      </c>
      <c r="H808" t="s">
        <v>28</v>
      </c>
      <c r="I808" t="s">
        <v>28</v>
      </c>
      <c r="J808" t="s">
        <v>28</v>
      </c>
      <c r="K808" t="s">
        <v>28</v>
      </c>
      <c r="L808" t="s">
        <v>46</v>
      </c>
      <c r="N808" t="s">
        <v>3813</v>
      </c>
      <c r="O808" t="s">
        <v>49</v>
      </c>
      <c r="P808" t="s">
        <v>38</v>
      </c>
      <c r="Q808" t="s">
        <v>49</v>
      </c>
      <c r="R808" t="s">
        <v>2094</v>
      </c>
      <c r="S808" t="s">
        <v>49</v>
      </c>
      <c r="T808" t="s">
        <v>2095</v>
      </c>
      <c r="U808" t="s">
        <v>2282</v>
      </c>
      <c r="V808" t="s">
        <v>53</v>
      </c>
      <c r="W808" t="s">
        <v>3888</v>
      </c>
      <c r="X808" t="s">
        <v>127</v>
      </c>
      <c r="Y808" t="s">
        <v>3890</v>
      </c>
      <c r="Z808" t="s">
        <v>91</v>
      </c>
    </row>
    <row r="809" spans="1:26" ht="12.75" customHeight="1" x14ac:dyDescent="0.35">
      <c r="A809">
        <v>808</v>
      </c>
      <c r="B809">
        <v>45887.949284756949</v>
      </c>
      <c r="D809" t="s">
        <v>3891</v>
      </c>
      <c r="E809" t="s">
        <v>1960</v>
      </c>
      <c r="F809" t="s">
        <v>44</v>
      </c>
      <c r="G809" t="s">
        <v>44</v>
      </c>
      <c r="H809" t="s">
        <v>284</v>
      </c>
      <c r="I809" t="s">
        <v>103</v>
      </c>
      <c r="J809" t="s">
        <v>103</v>
      </c>
      <c r="K809" t="s">
        <v>45</v>
      </c>
      <c r="L809" t="s">
        <v>36</v>
      </c>
      <c r="N809" t="s">
        <v>2391</v>
      </c>
      <c r="O809" t="s">
        <v>38</v>
      </c>
      <c r="P809" t="s">
        <v>49</v>
      </c>
      <c r="Q809" t="s">
        <v>38</v>
      </c>
      <c r="R809" t="s">
        <v>3877</v>
      </c>
      <c r="S809" t="s">
        <v>49</v>
      </c>
      <c r="T809" t="s">
        <v>3878</v>
      </c>
      <c r="U809" t="s">
        <v>3879</v>
      </c>
      <c r="V809" t="s">
        <v>53</v>
      </c>
      <c r="W809" t="s">
        <v>3892</v>
      </c>
      <c r="X809" t="s">
        <v>1030</v>
      </c>
      <c r="Y809" t="s">
        <v>3893</v>
      </c>
      <c r="Z809" t="s">
        <v>91</v>
      </c>
    </row>
    <row r="810" spans="1:26" ht="12.75" customHeight="1" x14ac:dyDescent="0.35">
      <c r="A810">
        <v>809</v>
      </c>
      <c r="B810">
        <v>45887.949616828701</v>
      </c>
      <c r="D810" t="s">
        <v>3894</v>
      </c>
      <c r="E810" t="s">
        <v>2431</v>
      </c>
      <c r="F810" t="s">
        <v>28</v>
      </c>
      <c r="G810" t="s">
        <v>28</v>
      </c>
      <c r="H810" t="s">
        <v>28</v>
      </c>
      <c r="I810" t="s">
        <v>28</v>
      </c>
      <c r="J810" t="s">
        <v>28</v>
      </c>
      <c r="K810" t="s">
        <v>28</v>
      </c>
      <c r="L810" t="s">
        <v>36</v>
      </c>
      <c r="N810" t="s">
        <v>3813</v>
      </c>
      <c r="O810" t="s">
        <v>49</v>
      </c>
      <c r="P810" t="s">
        <v>49</v>
      </c>
      <c r="Q810" t="s">
        <v>49</v>
      </c>
      <c r="R810" t="s">
        <v>2094</v>
      </c>
      <c r="S810" t="s">
        <v>49</v>
      </c>
      <c r="T810" t="s">
        <v>3425</v>
      </c>
      <c r="U810" t="s">
        <v>3895</v>
      </c>
      <c r="V810" t="s">
        <v>53</v>
      </c>
      <c r="W810" t="s">
        <v>3896</v>
      </c>
      <c r="X810" t="s">
        <v>127</v>
      </c>
      <c r="Y810" t="s">
        <v>3897</v>
      </c>
      <c r="Z810" t="s">
        <v>91</v>
      </c>
    </row>
    <row r="811" spans="1:26" ht="12.75" customHeight="1" x14ac:dyDescent="0.35">
      <c r="A811">
        <v>810</v>
      </c>
      <c r="B811">
        <v>45887.951477557872</v>
      </c>
      <c r="D811" t="s">
        <v>3898</v>
      </c>
      <c r="E811" t="s">
        <v>1960</v>
      </c>
      <c r="F811" t="s">
        <v>60</v>
      </c>
      <c r="G811" t="s">
        <v>60</v>
      </c>
      <c r="H811" t="s">
        <v>28</v>
      </c>
      <c r="I811" t="s">
        <v>173</v>
      </c>
      <c r="J811" t="s">
        <v>30</v>
      </c>
      <c r="K811" t="s">
        <v>35</v>
      </c>
      <c r="L811" t="s">
        <v>46</v>
      </c>
      <c r="N811" t="s">
        <v>3899</v>
      </c>
      <c r="O811" t="s">
        <v>48</v>
      </c>
      <c r="P811" t="s">
        <v>48</v>
      </c>
      <c r="Q811" t="s">
        <v>38</v>
      </c>
      <c r="R811" t="s">
        <v>3877</v>
      </c>
      <c r="S811" t="s">
        <v>49</v>
      </c>
      <c r="T811" t="s">
        <v>3878</v>
      </c>
      <c r="U811" t="s">
        <v>3879</v>
      </c>
      <c r="V811" t="s">
        <v>53</v>
      </c>
      <c r="W811" t="s">
        <v>3900</v>
      </c>
      <c r="X811" t="s">
        <v>3515</v>
      </c>
      <c r="Y811" t="s">
        <v>3901</v>
      </c>
      <c r="Z811" t="s">
        <v>91</v>
      </c>
    </row>
    <row r="812" spans="1:26" ht="12.75" customHeight="1" x14ac:dyDescent="0.35">
      <c r="A812">
        <v>811</v>
      </c>
      <c r="B812">
        <v>45887.954329282409</v>
      </c>
      <c r="D812" t="s">
        <v>3902</v>
      </c>
      <c r="E812" t="s">
        <v>32</v>
      </c>
      <c r="F812" t="s">
        <v>344</v>
      </c>
      <c r="G812" t="s">
        <v>60</v>
      </c>
      <c r="H812" t="s">
        <v>44</v>
      </c>
      <c r="I812" t="s">
        <v>196</v>
      </c>
      <c r="J812" t="s">
        <v>368</v>
      </c>
      <c r="K812" t="s">
        <v>45</v>
      </c>
      <c r="L812" t="s">
        <v>36</v>
      </c>
      <c r="N812" t="s">
        <v>2540</v>
      </c>
      <c r="Q812" t="s">
        <v>38</v>
      </c>
      <c r="R812" t="s">
        <v>3903</v>
      </c>
      <c r="S812" t="s">
        <v>48</v>
      </c>
      <c r="V812" t="s">
        <v>53</v>
      </c>
      <c r="W812" t="s">
        <v>2938</v>
      </c>
      <c r="X812" t="s">
        <v>1030</v>
      </c>
      <c r="Y812" t="s">
        <v>2939</v>
      </c>
      <c r="Z812" t="s">
        <v>91</v>
      </c>
    </row>
    <row r="813" spans="1:26" ht="12.75" customHeight="1" x14ac:dyDescent="0.35">
      <c r="A813">
        <v>812</v>
      </c>
      <c r="B813">
        <v>45887.956232581018</v>
      </c>
      <c r="D813" t="s">
        <v>3904</v>
      </c>
      <c r="E813" t="s">
        <v>1960</v>
      </c>
      <c r="F813" t="s">
        <v>44</v>
      </c>
      <c r="G813" t="s">
        <v>44</v>
      </c>
      <c r="H813" t="s">
        <v>44</v>
      </c>
      <c r="I813" t="s">
        <v>28</v>
      </c>
      <c r="J813" t="s">
        <v>103</v>
      </c>
      <c r="K813" t="s">
        <v>45</v>
      </c>
      <c r="L813" t="s">
        <v>46</v>
      </c>
      <c r="N813" t="s">
        <v>3899</v>
      </c>
      <c r="O813" t="s">
        <v>48</v>
      </c>
      <c r="P813" t="s">
        <v>48</v>
      </c>
      <c r="Q813" t="s">
        <v>48</v>
      </c>
      <c r="R813" t="s">
        <v>3877</v>
      </c>
      <c r="S813" t="s">
        <v>49</v>
      </c>
      <c r="T813" t="s">
        <v>3878</v>
      </c>
      <c r="U813" t="s">
        <v>3879</v>
      </c>
      <c r="V813" t="s">
        <v>79</v>
      </c>
      <c r="W813" t="s">
        <v>3905</v>
      </c>
      <c r="X813" t="s">
        <v>3515</v>
      </c>
      <c r="Y813" t="s">
        <v>3906</v>
      </c>
      <c r="Z813" t="s">
        <v>91</v>
      </c>
    </row>
    <row r="814" spans="1:26" ht="12.75" customHeight="1" x14ac:dyDescent="0.35">
      <c r="A814">
        <v>813</v>
      </c>
      <c r="B814">
        <v>45887.957436122684</v>
      </c>
      <c r="D814" t="s">
        <v>3907</v>
      </c>
      <c r="E814" t="s">
        <v>32</v>
      </c>
      <c r="F814" t="s">
        <v>33</v>
      </c>
      <c r="G814" t="s">
        <v>29</v>
      </c>
      <c r="H814" t="s">
        <v>33</v>
      </c>
      <c r="I814" t="s">
        <v>30</v>
      </c>
      <c r="J814" t="s">
        <v>173</v>
      </c>
      <c r="K814" t="s">
        <v>73</v>
      </c>
      <c r="L814" t="s">
        <v>46</v>
      </c>
      <c r="N814" t="s">
        <v>2577</v>
      </c>
      <c r="O814" t="s">
        <v>48</v>
      </c>
      <c r="P814" t="s">
        <v>38</v>
      </c>
      <c r="Q814" t="s">
        <v>49</v>
      </c>
      <c r="R814" t="s">
        <v>3908</v>
      </c>
      <c r="S814" t="s">
        <v>48</v>
      </c>
      <c r="V814" t="s">
        <v>53</v>
      </c>
      <c r="W814" t="s">
        <v>3909</v>
      </c>
      <c r="X814" t="s">
        <v>1030</v>
      </c>
      <c r="Y814" t="s">
        <v>3910</v>
      </c>
      <c r="Z814" t="s">
        <v>91</v>
      </c>
    </row>
    <row r="815" spans="1:26" ht="12.75" customHeight="1" x14ac:dyDescent="0.35">
      <c r="A815">
        <v>814</v>
      </c>
      <c r="B815">
        <v>45887.95904637732</v>
      </c>
      <c r="D815" t="s">
        <v>3911</v>
      </c>
      <c r="E815" t="s">
        <v>1875</v>
      </c>
      <c r="F815" t="s">
        <v>28</v>
      </c>
      <c r="G815" t="s">
        <v>44</v>
      </c>
      <c r="H815" t="s">
        <v>157</v>
      </c>
      <c r="I815" t="s">
        <v>103</v>
      </c>
      <c r="J815" t="s">
        <v>45</v>
      </c>
      <c r="K815" t="s">
        <v>45</v>
      </c>
      <c r="L815" t="s">
        <v>46</v>
      </c>
      <c r="N815" t="s">
        <v>2540</v>
      </c>
      <c r="O815" t="s">
        <v>49</v>
      </c>
      <c r="P815" t="s">
        <v>48</v>
      </c>
      <c r="Q815" t="s">
        <v>49</v>
      </c>
      <c r="R815" t="s">
        <v>3912</v>
      </c>
      <c r="S815" t="s">
        <v>48</v>
      </c>
      <c r="T815" t="s">
        <v>3913</v>
      </c>
      <c r="U815" t="s">
        <v>3914</v>
      </c>
      <c r="V815" t="s">
        <v>53</v>
      </c>
      <c r="W815" t="s">
        <v>3915</v>
      </c>
      <c r="X815" t="s">
        <v>1030</v>
      </c>
      <c r="Y815" t="s">
        <v>3901</v>
      </c>
      <c r="Z815" t="s">
        <v>91</v>
      </c>
    </row>
    <row r="816" spans="1:26" ht="12.75" customHeight="1" x14ac:dyDescent="0.35">
      <c r="A816">
        <v>815</v>
      </c>
      <c r="B816">
        <v>45887.960954212962</v>
      </c>
      <c r="D816" t="s">
        <v>3916</v>
      </c>
      <c r="E816" t="s">
        <v>493</v>
      </c>
      <c r="F816" t="s">
        <v>449</v>
      </c>
      <c r="G816" t="s">
        <v>72</v>
      </c>
      <c r="H816" t="s">
        <v>28</v>
      </c>
      <c r="I816" t="s">
        <v>196</v>
      </c>
      <c r="J816" t="s">
        <v>94</v>
      </c>
      <c r="K816" t="s">
        <v>368</v>
      </c>
      <c r="L816" t="s">
        <v>36</v>
      </c>
      <c r="N816" t="s">
        <v>3917</v>
      </c>
      <c r="O816" t="s">
        <v>48</v>
      </c>
      <c r="P816" t="s">
        <v>48</v>
      </c>
      <c r="Q816" t="s">
        <v>48</v>
      </c>
      <c r="R816" t="s">
        <v>3918</v>
      </c>
      <c r="S816" t="s">
        <v>48</v>
      </c>
      <c r="V816" t="s">
        <v>53</v>
      </c>
      <c r="W816" t="s">
        <v>3919</v>
      </c>
      <c r="X816" t="s">
        <v>1030</v>
      </c>
      <c r="Y816" t="s">
        <v>3920</v>
      </c>
      <c r="Z816" t="s">
        <v>129</v>
      </c>
    </row>
    <row r="817" spans="1:26" ht="12.75" customHeight="1" x14ac:dyDescent="0.35">
      <c r="A817">
        <v>816</v>
      </c>
      <c r="B817">
        <v>45887.961577928239</v>
      </c>
      <c r="D817" t="s">
        <v>3921</v>
      </c>
      <c r="E817" t="s">
        <v>1875</v>
      </c>
      <c r="F817" t="s">
        <v>44</v>
      </c>
      <c r="G817" t="s">
        <v>44</v>
      </c>
      <c r="H817" t="s">
        <v>157</v>
      </c>
      <c r="I817" t="s">
        <v>103</v>
      </c>
      <c r="J817" t="s">
        <v>45</v>
      </c>
      <c r="K817" t="s">
        <v>45</v>
      </c>
      <c r="L817" t="s">
        <v>46</v>
      </c>
      <c r="N817" t="s">
        <v>2391</v>
      </c>
      <c r="O817" t="s">
        <v>49</v>
      </c>
      <c r="P817" t="s">
        <v>49</v>
      </c>
      <c r="Q817" t="s">
        <v>49</v>
      </c>
      <c r="R817" t="s">
        <v>3922</v>
      </c>
      <c r="S817" t="s">
        <v>49</v>
      </c>
      <c r="T817" t="s">
        <v>3923</v>
      </c>
      <c r="U817" t="s">
        <v>3924</v>
      </c>
      <c r="V817" t="s">
        <v>53</v>
      </c>
      <c r="W817" t="s">
        <v>3925</v>
      </c>
      <c r="X817" t="s">
        <v>1030</v>
      </c>
      <c r="Y817" t="s">
        <v>3926</v>
      </c>
      <c r="Z817" t="s">
        <v>91</v>
      </c>
    </row>
    <row r="818" spans="1:26" ht="12.75" customHeight="1" x14ac:dyDescent="0.35">
      <c r="A818">
        <v>817</v>
      </c>
      <c r="B818">
        <v>45887.964651423608</v>
      </c>
      <c r="D818" t="s">
        <v>3927</v>
      </c>
      <c r="E818" t="s">
        <v>1875</v>
      </c>
      <c r="F818" t="s">
        <v>28</v>
      </c>
      <c r="G818" t="s">
        <v>44</v>
      </c>
      <c r="H818" t="s">
        <v>157</v>
      </c>
      <c r="I818" t="s">
        <v>103</v>
      </c>
      <c r="J818" t="s">
        <v>28</v>
      </c>
      <c r="K818" t="s">
        <v>45</v>
      </c>
      <c r="L818" t="s">
        <v>46</v>
      </c>
      <c r="N818" t="s">
        <v>2391</v>
      </c>
      <c r="O818" t="s">
        <v>49</v>
      </c>
      <c r="P818" t="s">
        <v>48</v>
      </c>
      <c r="Q818" t="s">
        <v>49</v>
      </c>
      <c r="R818" t="s">
        <v>3928</v>
      </c>
      <c r="S818" t="s">
        <v>49</v>
      </c>
      <c r="T818" t="s">
        <v>3929</v>
      </c>
      <c r="U818" t="s">
        <v>3930</v>
      </c>
      <c r="V818" t="s">
        <v>53</v>
      </c>
      <c r="W818" t="s">
        <v>3931</v>
      </c>
      <c r="X818" t="s">
        <v>1030</v>
      </c>
      <c r="Y818" t="s">
        <v>3932</v>
      </c>
      <c r="Z818" t="s">
        <v>91</v>
      </c>
    </row>
    <row r="819" spans="1:26" ht="12.75" customHeight="1" x14ac:dyDescent="0.35">
      <c r="A819">
        <v>818</v>
      </c>
      <c r="B819">
        <v>45887.965051064813</v>
      </c>
      <c r="D819" t="s">
        <v>3933</v>
      </c>
      <c r="E819" t="s">
        <v>2119</v>
      </c>
      <c r="F819" t="s">
        <v>449</v>
      </c>
      <c r="G819" t="s">
        <v>196</v>
      </c>
      <c r="H819" t="s">
        <v>44</v>
      </c>
      <c r="I819" t="s">
        <v>197</v>
      </c>
      <c r="J819" t="s">
        <v>34</v>
      </c>
      <c r="K819" t="s">
        <v>368</v>
      </c>
      <c r="L819" t="s">
        <v>36</v>
      </c>
      <c r="N819" t="s">
        <v>2592</v>
      </c>
      <c r="P819" t="s">
        <v>49</v>
      </c>
      <c r="R819" t="s">
        <v>3934</v>
      </c>
      <c r="S819" t="s">
        <v>38</v>
      </c>
      <c r="V819" t="s">
        <v>53</v>
      </c>
      <c r="W819" t="s">
        <v>3935</v>
      </c>
      <c r="X819" t="s">
        <v>1030</v>
      </c>
      <c r="Y819" t="s">
        <v>3936</v>
      </c>
      <c r="Z819" t="s">
        <v>170</v>
      </c>
    </row>
    <row r="820" spans="1:26" ht="12.75" customHeight="1" x14ac:dyDescent="0.35">
      <c r="A820">
        <v>819</v>
      </c>
      <c r="B820">
        <v>45887.96714241898</v>
      </c>
      <c r="D820" t="s">
        <v>3937</v>
      </c>
      <c r="E820" t="s">
        <v>1875</v>
      </c>
      <c r="F820" t="s">
        <v>28</v>
      </c>
      <c r="G820" t="s">
        <v>44</v>
      </c>
      <c r="H820" t="s">
        <v>157</v>
      </c>
      <c r="I820" t="s">
        <v>103</v>
      </c>
      <c r="J820" t="s">
        <v>45</v>
      </c>
      <c r="K820" t="s">
        <v>45</v>
      </c>
      <c r="L820" t="s">
        <v>36</v>
      </c>
      <c r="N820" t="s">
        <v>2391</v>
      </c>
      <c r="O820" t="s">
        <v>49</v>
      </c>
      <c r="P820" t="s">
        <v>48</v>
      </c>
      <c r="Q820" t="s">
        <v>49</v>
      </c>
      <c r="R820" t="s">
        <v>3938</v>
      </c>
      <c r="S820" t="s">
        <v>49</v>
      </c>
      <c r="T820" t="s">
        <v>3939</v>
      </c>
      <c r="U820" t="s">
        <v>3940</v>
      </c>
      <c r="V820" t="s">
        <v>53</v>
      </c>
      <c r="W820" t="s">
        <v>3941</v>
      </c>
      <c r="X820" t="s">
        <v>1030</v>
      </c>
      <c r="Y820" t="s">
        <v>3942</v>
      </c>
      <c r="Z820" t="s">
        <v>91</v>
      </c>
    </row>
    <row r="821" spans="1:26" ht="12.75" customHeight="1" x14ac:dyDescent="0.35">
      <c r="A821">
        <v>820</v>
      </c>
      <c r="B821">
        <v>45887.968534027779</v>
      </c>
      <c r="D821" t="s">
        <v>3943</v>
      </c>
      <c r="E821" t="s">
        <v>2119</v>
      </c>
      <c r="F821" t="s">
        <v>344</v>
      </c>
      <c r="G821" t="s">
        <v>158</v>
      </c>
      <c r="H821" t="s">
        <v>29</v>
      </c>
      <c r="I821" t="s">
        <v>173</v>
      </c>
      <c r="J821" t="s">
        <v>368</v>
      </c>
      <c r="K821" t="s">
        <v>35</v>
      </c>
      <c r="L821" t="s">
        <v>36</v>
      </c>
      <c r="N821" t="s">
        <v>2592</v>
      </c>
      <c r="O821" t="s">
        <v>48</v>
      </c>
      <c r="P821" t="s">
        <v>49</v>
      </c>
      <c r="Q821" t="s">
        <v>48</v>
      </c>
      <c r="R821" t="s">
        <v>3944</v>
      </c>
      <c r="S821" t="s">
        <v>48</v>
      </c>
      <c r="V821" t="s">
        <v>53</v>
      </c>
      <c r="W821" t="s">
        <v>3945</v>
      </c>
      <c r="X821" t="s">
        <v>1030</v>
      </c>
      <c r="Y821" t="s">
        <v>3946</v>
      </c>
      <c r="Z821" t="s">
        <v>91</v>
      </c>
    </row>
    <row r="822" spans="1:26" ht="12.75" customHeight="1" x14ac:dyDescent="0.35">
      <c r="A822">
        <v>821</v>
      </c>
      <c r="B822">
        <v>45887.969828506946</v>
      </c>
      <c r="D822" t="s">
        <v>3947</v>
      </c>
      <c r="E822" t="s">
        <v>1875</v>
      </c>
      <c r="F822" t="s">
        <v>28</v>
      </c>
      <c r="G822" t="s">
        <v>44</v>
      </c>
      <c r="H822" t="s">
        <v>28</v>
      </c>
      <c r="I822" t="s">
        <v>103</v>
      </c>
      <c r="J822" t="s">
        <v>28</v>
      </c>
      <c r="K822" t="s">
        <v>45</v>
      </c>
      <c r="L822" t="s">
        <v>46</v>
      </c>
      <c r="N822" t="s">
        <v>2391</v>
      </c>
      <c r="O822" t="s">
        <v>49</v>
      </c>
      <c r="P822" t="s">
        <v>48</v>
      </c>
      <c r="Q822" t="s">
        <v>49</v>
      </c>
      <c r="R822" t="s">
        <v>3948</v>
      </c>
      <c r="S822" t="s">
        <v>48</v>
      </c>
      <c r="T822" t="s">
        <v>3949</v>
      </c>
      <c r="U822" t="s">
        <v>3950</v>
      </c>
      <c r="V822" t="s">
        <v>53</v>
      </c>
      <c r="W822" t="s">
        <v>3951</v>
      </c>
      <c r="X822" t="s">
        <v>1030</v>
      </c>
      <c r="Y822" t="s">
        <v>3952</v>
      </c>
      <c r="Z822" t="s">
        <v>91</v>
      </c>
    </row>
    <row r="823" spans="1:26" ht="12.75" customHeight="1" x14ac:dyDescent="0.35">
      <c r="A823">
        <v>822</v>
      </c>
      <c r="B823">
        <v>45887.972896574072</v>
      </c>
      <c r="D823" t="s">
        <v>3953</v>
      </c>
      <c r="E823" t="s">
        <v>1875</v>
      </c>
      <c r="F823" t="s">
        <v>28</v>
      </c>
      <c r="G823" t="s">
        <v>44</v>
      </c>
      <c r="H823" t="s">
        <v>28</v>
      </c>
      <c r="I823" t="s">
        <v>103</v>
      </c>
      <c r="J823" t="s">
        <v>28</v>
      </c>
      <c r="K823" t="s">
        <v>45</v>
      </c>
      <c r="L823" t="s">
        <v>46</v>
      </c>
      <c r="N823" t="s">
        <v>2391</v>
      </c>
      <c r="O823" t="s">
        <v>49</v>
      </c>
      <c r="P823" t="s">
        <v>48</v>
      </c>
      <c r="Q823" t="s">
        <v>48</v>
      </c>
      <c r="R823" t="s">
        <v>3954</v>
      </c>
      <c r="S823" t="s">
        <v>49</v>
      </c>
      <c r="T823" t="s">
        <v>3955</v>
      </c>
      <c r="U823" t="s">
        <v>3956</v>
      </c>
      <c r="V823" t="s">
        <v>53</v>
      </c>
      <c r="W823" t="s">
        <v>3957</v>
      </c>
      <c r="X823" t="s">
        <v>1030</v>
      </c>
      <c r="Y823" t="s">
        <v>3958</v>
      </c>
      <c r="Z823" t="s">
        <v>91</v>
      </c>
    </row>
    <row r="824" spans="1:26" ht="12.75" customHeight="1" x14ac:dyDescent="0.35">
      <c r="A824">
        <v>823</v>
      </c>
      <c r="B824">
        <v>45887.97297430555</v>
      </c>
      <c r="D824" t="s">
        <v>3959</v>
      </c>
      <c r="E824" t="s">
        <v>2119</v>
      </c>
      <c r="F824" t="s">
        <v>29</v>
      </c>
      <c r="G824" t="s">
        <v>44</v>
      </c>
      <c r="H824" t="s">
        <v>206</v>
      </c>
      <c r="I824" t="s">
        <v>103</v>
      </c>
      <c r="J824" t="s">
        <v>73</v>
      </c>
      <c r="K824" t="s">
        <v>28</v>
      </c>
      <c r="L824" t="s">
        <v>36</v>
      </c>
      <c r="N824" t="s">
        <v>2592</v>
      </c>
      <c r="O824" t="s">
        <v>48</v>
      </c>
      <c r="Q824" t="s">
        <v>48</v>
      </c>
      <c r="R824" t="s">
        <v>3960</v>
      </c>
      <c r="S824" t="s">
        <v>48</v>
      </c>
      <c r="V824" t="s">
        <v>53</v>
      </c>
      <c r="W824" t="s">
        <v>3961</v>
      </c>
      <c r="X824" t="s">
        <v>1030</v>
      </c>
      <c r="Y824" t="s">
        <v>2594</v>
      </c>
      <c r="Z824" t="s">
        <v>170</v>
      </c>
    </row>
    <row r="825" spans="1:26" ht="12.75" customHeight="1" x14ac:dyDescent="0.35">
      <c r="A825">
        <v>824</v>
      </c>
      <c r="B825">
        <v>45887.97625457176</v>
      </c>
      <c r="D825" t="s">
        <v>3962</v>
      </c>
      <c r="E825" t="s">
        <v>2119</v>
      </c>
      <c r="F825" t="s">
        <v>28</v>
      </c>
      <c r="G825" t="s">
        <v>28</v>
      </c>
      <c r="H825" t="s">
        <v>206</v>
      </c>
      <c r="I825" t="s">
        <v>72</v>
      </c>
      <c r="J825" t="s">
        <v>94</v>
      </c>
      <c r="K825" t="s">
        <v>45</v>
      </c>
      <c r="L825" t="s">
        <v>46</v>
      </c>
      <c r="N825" t="s">
        <v>2640</v>
      </c>
      <c r="P825" t="s">
        <v>38</v>
      </c>
      <c r="Q825" t="s">
        <v>40</v>
      </c>
      <c r="R825" t="s">
        <v>3963</v>
      </c>
      <c r="S825" t="s">
        <v>49</v>
      </c>
      <c r="V825" t="s">
        <v>53</v>
      </c>
      <c r="W825" t="s">
        <v>3964</v>
      </c>
      <c r="X825" t="s">
        <v>1030</v>
      </c>
      <c r="Y825" t="s">
        <v>3965</v>
      </c>
      <c r="Z825" t="s">
        <v>91</v>
      </c>
    </row>
    <row r="826" spans="1:26" ht="12.75" customHeight="1" x14ac:dyDescent="0.35">
      <c r="A826">
        <v>825</v>
      </c>
      <c r="B826">
        <v>45887.976881736111</v>
      </c>
      <c r="D826" t="s">
        <v>3966</v>
      </c>
      <c r="E826" t="s">
        <v>1875</v>
      </c>
      <c r="F826" t="s">
        <v>28</v>
      </c>
      <c r="G826" t="s">
        <v>44</v>
      </c>
      <c r="H826" t="s">
        <v>28</v>
      </c>
      <c r="I826" t="s">
        <v>103</v>
      </c>
      <c r="J826" t="s">
        <v>28</v>
      </c>
      <c r="K826" t="s">
        <v>45</v>
      </c>
      <c r="L826" t="s">
        <v>36</v>
      </c>
      <c r="N826" t="s">
        <v>3967</v>
      </c>
      <c r="O826" t="s">
        <v>49</v>
      </c>
      <c r="P826" t="s">
        <v>48</v>
      </c>
      <c r="Q826" t="s">
        <v>49</v>
      </c>
      <c r="R826" t="s">
        <v>3968</v>
      </c>
      <c r="S826" t="s">
        <v>49</v>
      </c>
      <c r="T826" t="s">
        <v>3969</v>
      </c>
      <c r="U826" t="s">
        <v>3970</v>
      </c>
      <c r="V826" t="s">
        <v>53</v>
      </c>
      <c r="W826" t="s">
        <v>3971</v>
      </c>
      <c r="X826" t="s">
        <v>1030</v>
      </c>
      <c r="Y826" t="s">
        <v>3972</v>
      </c>
      <c r="Z826" t="s">
        <v>91</v>
      </c>
    </row>
    <row r="827" spans="1:26" ht="12.75" customHeight="1" x14ac:dyDescent="0.35">
      <c r="A827">
        <v>826</v>
      </c>
      <c r="B827">
        <v>45887.979843449073</v>
      </c>
      <c r="D827" t="s">
        <v>3973</v>
      </c>
      <c r="E827" t="s">
        <v>1875</v>
      </c>
      <c r="F827" t="s">
        <v>28</v>
      </c>
      <c r="G827" t="s">
        <v>44</v>
      </c>
      <c r="H827" t="s">
        <v>28</v>
      </c>
      <c r="I827" t="s">
        <v>103</v>
      </c>
      <c r="J827" t="s">
        <v>28</v>
      </c>
      <c r="K827" t="s">
        <v>45</v>
      </c>
      <c r="L827" t="s">
        <v>36</v>
      </c>
      <c r="N827" t="s">
        <v>2379</v>
      </c>
      <c r="O827" t="s">
        <v>49</v>
      </c>
      <c r="P827" t="s">
        <v>49</v>
      </c>
      <c r="Q827" t="s">
        <v>48</v>
      </c>
      <c r="R827" t="s">
        <v>3974</v>
      </c>
      <c r="S827" t="s">
        <v>49</v>
      </c>
      <c r="T827" t="s">
        <v>3975</v>
      </c>
      <c r="U827" t="s">
        <v>3976</v>
      </c>
      <c r="V827" t="s">
        <v>53</v>
      </c>
      <c r="W827" t="s">
        <v>3977</v>
      </c>
      <c r="X827" t="s">
        <v>1030</v>
      </c>
      <c r="Y827" t="s">
        <v>3978</v>
      </c>
      <c r="Z827" t="s">
        <v>91</v>
      </c>
    </row>
    <row r="828" spans="1:26" ht="12.75" customHeight="1" x14ac:dyDescent="0.35">
      <c r="A828">
        <v>827</v>
      </c>
      <c r="B828">
        <v>45887.980808599532</v>
      </c>
      <c r="D828" t="s">
        <v>3979</v>
      </c>
      <c r="E828" t="s">
        <v>2119</v>
      </c>
      <c r="F828" t="s">
        <v>44</v>
      </c>
      <c r="G828" t="s">
        <v>196</v>
      </c>
      <c r="H828" t="s">
        <v>73</v>
      </c>
      <c r="I828" t="s">
        <v>196</v>
      </c>
      <c r="J828" t="s">
        <v>34</v>
      </c>
      <c r="K828" t="s">
        <v>74</v>
      </c>
      <c r="L828" t="s">
        <v>46</v>
      </c>
      <c r="N828" t="s">
        <v>2673</v>
      </c>
      <c r="O828" t="s">
        <v>48</v>
      </c>
      <c r="P828" t="s">
        <v>48</v>
      </c>
      <c r="Q828" t="s">
        <v>49</v>
      </c>
      <c r="R828" t="s">
        <v>3980</v>
      </c>
      <c r="V828" t="s">
        <v>53</v>
      </c>
      <c r="W828" t="s">
        <v>3981</v>
      </c>
      <c r="X828" t="s">
        <v>118</v>
      </c>
      <c r="Y828" t="s">
        <v>3982</v>
      </c>
      <c r="Z828" t="s">
        <v>91</v>
      </c>
    </row>
    <row r="829" spans="1:26" ht="12.75" customHeight="1" x14ac:dyDescent="0.35">
      <c r="A829">
        <v>828</v>
      </c>
      <c r="B829">
        <v>45887.980859062503</v>
      </c>
      <c r="D829" t="s">
        <v>3983</v>
      </c>
      <c r="E829" t="s">
        <v>1960</v>
      </c>
      <c r="F829" t="s">
        <v>44</v>
      </c>
      <c r="G829" t="s">
        <v>60</v>
      </c>
      <c r="H829" t="s">
        <v>157</v>
      </c>
      <c r="I829" t="s">
        <v>28</v>
      </c>
      <c r="J829" t="s">
        <v>45</v>
      </c>
      <c r="K829" t="s">
        <v>368</v>
      </c>
      <c r="L829" t="s">
        <v>46</v>
      </c>
      <c r="N829" t="s">
        <v>3899</v>
      </c>
      <c r="O829" t="s">
        <v>48</v>
      </c>
      <c r="P829" t="s">
        <v>48</v>
      </c>
      <c r="Q829" t="s">
        <v>38</v>
      </c>
      <c r="R829" t="s">
        <v>3877</v>
      </c>
      <c r="S829" t="s">
        <v>38</v>
      </c>
      <c r="T829" t="s">
        <v>3878</v>
      </c>
      <c r="U829" t="s">
        <v>3879</v>
      </c>
      <c r="V829" t="s">
        <v>53</v>
      </c>
      <c r="W829" t="s">
        <v>3984</v>
      </c>
      <c r="X829" t="s">
        <v>3515</v>
      </c>
      <c r="Y829" t="s">
        <v>3985</v>
      </c>
      <c r="Z829" t="s">
        <v>91</v>
      </c>
    </row>
    <row r="830" spans="1:26" ht="12.75" customHeight="1" x14ac:dyDescent="0.35">
      <c r="A830">
        <v>829</v>
      </c>
      <c r="B830">
        <v>45887.98278259259</v>
      </c>
      <c r="D830" t="s">
        <v>3986</v>
      </c>
      <c r="E830" t="s">
        <v>1875</v>
      </c>
      <c r="F830" t="s">
        <v>44</v>
      </c>
      <c r="G830" t="s">
        <v>60</v>
      </c>
      <c r="H830" t="s">
        <v>157</v>
      </c>
      <c r="I830" t="s">
        <v>173</v>
      </c>
      <c r="J830" t="s">
        <v>45</v>
      </c>
      <c r="K830" t="s">
        <v>368</v>
      </c>
      <c r="L830" t="s">
        <v>36</v>
      </c>
      <c r="N830" t="s">
        <v>2369</v>
      </c>
      <c r="O830" t="s">
        <v>49</v>
      </c>
      <c r="P830" t="s">
        <v>48</v>
      </c>
      <c r="Q830" t="s">
        <v>49</v>
      </c>
      <c r="R830" t="s">
        <v>3987</v>
      </c>
      <c r="S830" t="s">
        <v>48</v>
      </c>
      <c r="T830" t="s">
        <v>3988</v>
      </c>
      <c r="U830" t="s">
        <v>3989</v>
      </c>
      <c r="V830" t="s">
        <v>53</v>
      </c>
      <c r="W830" t="s">
        <v>3990</v>
      </c>
      <c r="X830" t="s">
        <v>1030</v>
      </c>
      <c r="Y830" t="s">
        <v>3991</v>
      </c>
      <c r="Z830" t="s">
        <v>91</v>
      </c>
    </row>
    <row r="831" spans="1:26" ht="12.75" customHeight="1" x14ac:dyDescent="0.35">
      <c r="A831">
        <v>830</v>
      </c>
      <c r="B831">
        <v>45887.983967037042</v>
      </c>
      <c r="D831" t="s">
        <v>3992</v>
      </c>
      <c r="E831" t="s">
        <v>1883</v>
      </c>
      <c r="F831" t="s">
        <v>29</v>
      </c>
      <c r="G831" t="s">
        <v>29</v>
      </c>
      <c r="H831" t="s">
        <v>29</v>
      </c>
      <c r="I831" t="s">
        <v>30</v>
      </c>
      <c r="J831" t="s">
        <v>30</v>
      </c>
      <c r="K831" t="s">
        <v>61</v>
      </c>
      <c r="L831" t="s">
        <v>46</v>
      </c>
      <c r="N831" t="s">
        <v>3993</v>
      </c>
      <c r="O831" t="s">
        <v>49</v>
      </c>
      <c r="P831" t="s">
        <v>49</v>
      </c>
      <c r="Q831" t="s">
        <v>49</v>
      </c>
      <c r="R831" t="s">
        <v>3877</v>
      </c>
      <c r="S831" t="s">
        <v>49</v>
      </c>
      <c r="T831" t="s">
        <v>3878</v>
      </c>
      <c r="U831" t="s">
        <v>3879</v>
      </c>
      <c r="V831" t="s">
        <v>53</v>
      </c>
      <c r="W831" t="s">
        <v>3994</v>
      </c>
      <c r="X831" t="s">
        <v>3995</v>
      </c>
      <c r="Y831" t="s">
        <v>3996</v>
      </c>
      <c r="Z831" t="s">
        <v>91</v>
      </c>
    </row>
    <row r="832" spans="1:26" ht="12.75" customHeight="1" x14ac:dyDescent="0.35">
      <c r="A832">
        <v>831</v>
      </c>
      <c r="B832">
        <v>45887.984611018517</v>
      </c>
      <c r="D832" t="s">
        <v>3997</v>
      </c>
      <c r="E832" t="s">
        <v>2119</v>
      </c>
      <c r="F832" t="s">
        <v>449</v>
      </c>
      <c r="G832" t="s">
        <v>158</v>
      </c>
      <c r="H832" t="s">
        <v>60</v>
      </c>
      <c r="I832" t="s">
        <v>196</v>
      </c>
      <c r="J832" t="s">
        <v>173</v>
      </c>
      <c r="K832" t="s">
        <v>28</v>
      </c>
      <c r="L832" t="s">
        <v>46</v>
      </c>
      <c r="N832" t="s">
        <v>2673</v>
      </c>
      <c r="O832" t="s">
        <v>48</v>
      </c>
      <c r="P832" t="s">
        <v>48</v>
      </c>
      <c r="Q832" t="s">
        <v>48</v>
      </c>
      <c r="R832" t="s">
        <v>3998</v>
      </c>
      <c r="S832" t="s">
        <v>48</v>
      </c>
      <c r="V832" t="s">
        <v>53</v>
      </c>
      <c r="W832" t="s">
        <v>3999</v>
      </c>
      <c r="X832" t="s">
        <v>118</v>
      </c>
      <c r="Y832" t="s">
        <v>4000</v>
      </c>
      <c r="Z832" t="s">
        <v>91</v>
      </c>
    </row>
    <row r="833" spans="1:26" ht="12.75" customHeight="1" x14ac:dyDescent="0.35">
      <c r="A833">
        <v>832</v>
      </c>
      <c r="B833">
        <v>45887.985510682869</v>
      </c>
      <c r="D833" t="s">
        <v>3986</v>
      </c>
      <c r="E833" t="s">
        <v>1875</v>
      </c>
      <c r="F833" t="s">
        <v>28</v>
      </c>
      <c r="G833" t="s">
        <v>44</v>
      </c>
      <c r="H833" t="s">
        <v>157</v>
      </c>
      <c r="I833" t="s">
        <v>103</v>
      </c>
      <c r="J833" t="s">
        <v>28</v>
      </c>
      <c r="K833" t="s">
        <v>45</v>
      </c>
      <c r="L833" t="s">
        <v>36</v>
      </c>
      <c r="N833" t="s">
        <v>2369</v>
      </c>
      <c r="O833" t="s">
        <v>49</v>
      </c>
      <c r="P833" t="s">
        <v>48</v>
      </c>
      <c r="Q833" t="s">
        <v>49</v>
      </c>
      <c r="R833" t="s">
        <v>4001</v>
      </c>
      <c r="S833" t="s">
        <v>49</v>
      </c>
      <c r="T833" t="s">
        <v>4002</v>
      </c>
      <c r="U833" t="s">
        <v>4003</v>
      </c>
      <c r="V833" t="s">
        <v>53</v>
      </c>
      <c r="W833" t="s">
        <v>3990</v>
      </c>
      <c r="X833" t="s">
        <v>1030</v>
      </c>
      <c r="Y833" t="s">
        <v>4004</v>
      </c>
      <c r="Z833" t="s">
        <v>91</v>
      </c>
    </row>
    <row r="834" spans="1:26" ht="12.75" customHeight="1" x14ac:dyDescent="0.35">
      <c r="A834">
        <v>833</v>
      </c>
      <c r="B834">
        <v>45887.986320509255</v>
      </c>
      <c r="D834" t="s">
        <v>4005</v>
      </c>
      <c r="E834" t="s">
        <v>1960</v>
      </c>
      <c r="F834" t="s">
        <v>44</v>
      </c>
      <c r="G834" t="s">
        <v>44</v>
      </c>
      <c r="H834" t="s">
        <v>44</v>
      </c>
      <c r="I834" t="s">
        <v>103</v>
      </c>
      <c r="J834" t="s">
        <v>103</v>
      </c>
      <c r="K834" t="s">
        <v>35</v>
      </c>
      <c r="L834" t="s">
        <v>46</v>
      </c>
      <c r="N834" t="s">
        <v>4006</v>
      </c>
      <c r="O834" t="s">
        <v>48</v>
      </c>
      <c r="P834" t="s">
        <v>48</v>
      </c>
      <c r="Q834" t="s">
        <v>48</v>
      </c>
      <c r="R834" t="s">
        <v>3877</v>
      </c>
      <c r="S834" t="s">
        <v>48</v>
      </c>
      <c r="T834" t="s">
        <v>3878</v>
      </c>
      <c r="U834" t="s">
        <v>3879</v>
      </c>
      <c r="V834" t="s">
        <v>53</v>
      </c>
      <c r="W834" t="s">
        <v>4007</v>
      </c>
      <c r="X834" t="s">
        <v>3515</v>
      </c>
      <c r="Y834" t="s">
        <v>4008</v>
      </c>
      <c r="Z834" t="s">
        <v>91</v>
      </c>
    </row>
    <row r="835" spans="1:26" ht="12.75" customHeight="1" x14ac:dyDescent="0.35">
      <c r="A835">
        <v>834</v>
      </c>
      <c r="B835">
        <v>45887.988502187502</v>
      </c>
      <c r="D835" t="s">
        <v>4009</v>
      </c>
      <c r="E835" t="s">
        <v>1875</v>
      </c>
      <c r="F835" t="s">
        <v>377</v>
      </c>
      <c r="G835" t="s">
        <v>44</v>
      </c>
      <c r="H835" t="s">
        <v>157</v>
      </c>
      <c r="I835" t="s">
        <v>103</v>
      </c>
      <c r="J835" t="s">
        <v>103</v>
      </c>
      <c r="K835" t="s">
        <v>368</v>
      </c>
      <c r="L835" t="s">
        <v>36</v>
      </c>
      <c r="N835" t="s">
        <v>2369</v>
      </c>
      <c r="O835" t="s">
        <v>49</v>
      </c>
      <c r="P835" t="s">
        <v>48</v>
      </c>
      <c r="Q835" t="s">
        <v>49</v>
      </c>
      <c r="R835" t="s">
        <v>4010</v>
      </c>
      <c r="S835" t="s">
        <v>48</v>
      </c>
      <c r="T835" t="s">
        <v>4011</v>
      </c>
      <c r="U835" t="s">
        <v>4012</v>
      </c>
      <c r="V835" t="s">
        <v>53</v>
      </c>
      <c r="W835" t="s">
        <v>4013</v>
      </c>
      <c r="X835" t="s">
        <v>1030</v>
      </c>
      <c r="Y835" t="s">
        <v>4014</v>
      </c>
      <c r="Z835" t="s">
        <v>91</v>
      </c>
    </row>
    <row r="836" spans="1:26" ht="12.75" customHeight="1" x14ac:dyDescent="0.35">
      <c r="A836">
        <v>835</v>
      </c>
      <c r="B836">
        <v>45887.99125392361</v>
      </c>
      <c r="D836" t="s">
        <v>4015</v>
      </c>
      <c r="E836" t="s">
        <v>1875</v>
      </c>
      <c r="F836" t="s">
        <v>377</v>
      </c>
      <c r="G836" t="s">
        <v>44</v>
      </c>
      <c r="H836" t="s">
        <v>44</v>
      </c>
      <c r="I836" t="s">
        <v>103</v>
      </c>
      <c r="J836" t="s">
        <v>173</v>
      </c>
      <c r="K836" t="s">
        <v>368</v>
      </c>
      <c r="L836" t="s">
        <v>36</v>
      </c>
      <c r="N836" t="s">
        <v>2356</v>
      </c>
      <c r="O836" t="s">
        <v>49</v>
      </c>
      <c r="P836" t="s">
        <v>48</v>
      </c>
      <c r="Q836" t="s">
        <v>49</v>
      </c>
      <c r="R836" t="s">
        <v>4016</v>
      </c>
      <c r="S836" t="s">
        <v>49</v>
      </c>
      <c r="T836" t="s">
        <v>4017</v>
      </c>
      <c r="U836" t="s">
        <v>4018</v>
      </c>
      <c r="V836" t="s">
        <v>53</v>
      </c>
      <c r="W836" t="s">
        <v>4019</v>
      </c>
      <c r="X836" t="s">
        <v>1030</v>
      </c>
      <c r="Y836" t="s">
        <v>56</v>
      </c>
      <c r="Z836" t="s">
        <v>91</v>
      </c>
    </row>
    <row r="837" spans="1:26" ht="12.75" customHeight="1" x14ac:dyDescent="0.35">
      <c r="A837">
        <v>836</v>
      </c>
      <c r="B837">
        <v>45888.000647939814</v>
      </c>
      <c r="D837" t="s">
        <v>4020</v>
      </c>
      <c r="E837" t="s">
        <v>1960</v>
      </c>
      <c r="F837" t="s">
        <v>44</v>
      </c>
      <c r="G837" t="s">
        <v>44</v>
      </c>
      <c r="H837" t="s">
        <v>44</v>
      </c>
      <c r="I837" t="s">
        <v>103</v>
      </c>
      <c r="J837" t="s">
        <v>103</v>
      </c>
      <c r="K837" t="s">
        <v>28</v>
      </c>
      <c r="L837" t="s">
        <v>46</v>
      </c>
      <c r="N837" t="s">
        <v>2592</v>
      </c>
      <c r="O837" t="s">
        <v>48</v>
      </c>
      <c r="P837" t="s">
        <v>48</v>
      </c>
      <c r="Q837" t="s">
        <v>49</v>
      </c>
      <c r="R837" t="s">
        <v>3877</v>
      </c>
      <c r="S837" t="s">
        <v>38</v>
      </c>
      <c r="T837" t="s">
        <v>3878</v>
      </c>
      <c r="U837" t="s">
        <v>3879</v>
      </c>
      <c r="V837" t="s">
        <v>53</v>
      </c>
      <c r="W837" t="s">
        <v>4021</v>
      </c>
      <c r="X837" t="s">
        <v>3515</v>
      </c>
      <c r="Y837" t="s">
        <v>4022</v>
      </c>
      <c r="Z837" t="s">
        <v>91</v>
      </c>
    </row>
    <row r="838" spans="1:26" ht="12.75" customHeight="1" x14ac:dyDescent="0.35">
      <c r="A838">
        <v>837</v>
      </c>
      <c r="B838">
        <v>45888.000786400458</v>
      </c>
      <c r="D838" t="s">
        <v>4023</v>
      </c>
      <c r="E838" t="s">
        <v>4024</v>
      </c>
      <c r="F838" t="s">
        <v>29</v>
      </c>
      <c r="G838" t="s">
        <v>29</v>
      </c>
      <c r="H838" t="s">
        <v>29</v>
      </c>
      <c r="I838" t="s">
        <v>30</v>
      </c>
      <c r="J838" t="s">
        <v>30</v>
      </c>
      <c r="K838" t="s">
        <v>61</v>
      </c>
      <c r="L838" t="s">
        <v>36</v>
      </c>
      <c r="N838" t="s">
        <v>4006</v>
      </c>
      <c r="O838" t="s">
        <v>49</v>
      </c>
      <c r="P838" t="s">
        <v>49</v>
      </c>
      <c r="Q838" t="s">
        <v>49</v>
      </c>
      <c r="R838" t="s">
        <v>3877</v>
      </c>
      <c r="S838" t="s">
        <v>49</v>
      </c>
      <c r="T838" t="s">
        <v>3878</v>
      </c>
      <c r="U838" t="s">
        <v>3879</v>
      </c>
      <c r="V838" t="s">
        <v>53</v>
      </c>
      <c r="W838" t="s">
        <v>4025</v>
      </c>
      <c r="X838" t="s">
        <v>3995</v>
      </c>
      <c r="Y838" t="s">
        <v>4026</v>
      </c>
      <c r="Z838" t="s">
        <v>91</v>
      </c>
    </row>
    <row r="839" spans="1:26" ht="12.75" customHeight="1" x14ac:dyDescent="0.35">
      <c r="A839">
        <v>838</v>
      </c>
      <c r="B839">
        <v>45888.006269872683</v>
      </c>
      <c r="D839" t="s">
        <v>4027</v>
      </c>
      <c r="E839" t="s">
        <v>1960</v>
      </c>
      <c r="F839" t="s">
        <v>44</v>
      </c>
      <c r="G839" t="s">
        <v>60</v>
      </c>
      <c r="H839" t="s">
        <v>60</v>
      </c>
      <c r="I839" t="s">
        <v>30</v>
      </c>
      <c r="J839" t="s">
        <v>30</v>
      </c>
      <c r="K839" t="s">
        <v>292</v>
      </c>
      <c r="L839" t="s">
        <v>46</v>
      </c>
      <c r="N839" t="s">
        <v>2792</v>
      </c>
      <c r="O839" t="s">
        <v>48</v>
      </c>
      <c r="P839" t="s">
        <v>48</v>
      </c>
      <c r="Q839" t="s">
        <v>49</v>
      </c>
      <c r="R839" t="s">
        <v>3877</v>
      </c>
      <c r="S839" t="s">
        <v>38</v>
      </c>
      <c r="T839" t="s">
        <v>3878</v>
      </c>
      <c r="U839" t="s">
        <v>3879</v>
      </c>
      <c r="V839" t="s">
        <v>53</v>
      </c>
      <c r="W839" t="s">
        <v>4028</v>
      </c>
      <c r="X839" t="s">
        <v>118</v>
      </c>
      <c r="Y839" t="s">
        <v>4029</v>
      </c>
      <c r="Z839" t="s">
        <v>91</v>
      </c>
    </row>
    <row r="840" spans="1:26" ht="12.75" customHeight="1" x14ac:dyDescent="0.35">
      <c r="A840">
        <v>839</v>
      </c>
      <c r="B840">
        <v>45888.010216342591</v>
      </c>
      <c r="D840" t="s">
        <v>4030</v>
      </c>
      <c r="E840" t="s">
        <v>1960</v>
      </c>
      <c r="F840" t="s">
        <v>44</v>
      </c>
      <c r="G840" t="s">
        <v>44</v>
      </c>
      <c r="H840" t="s">
        <v>60</v>
      </c>
      <c r="I840" t="s">
        <v>30</v>
      </c>
      <c r="J840" t="s">
        <v>103</v>
      </c>
      <c r="K840" t="s">
        <v>292</v>
      </c>
      <c r="L840" t="s">
        <v>46</v>
      </c>
      <c r="N840" t="s">
        <v>4031</v>
      </c>
      <c r="O840" t="s">
        <v>48</v>
      </c>
      <c r="P840" t="s">
        <v>48</v>
      </c>
      <c r="Q840" t="s">
        <v>38</v>
      </c>
      <c r="R840" t="s">
        <v>3877</v>
      </c>
      <c r="S840" t="s">
        <v>49</v>
      </c>
      <c r="T840" t="s">
        <v>3878</v>
      </c>
      <c r="U840" t="s">
        <v>3879</v>
      </c>
      <c r="V840" t="s">
        <v>53</v>
      </c>
      <c r="W840" t="s">
        <v>4032</v>
      </c>
      <c r="X840" t="s">
        <v>2485</v>
      </c>
      <c r="Y840" t="s">
        <v>4033</v>
      </c>
      <c r="Z840" t="s">
        <v>91</v>
      </c>
    </row>
    <row r="841" spans="1:26" ht="12.75" customHeight="1" x14ac:dyDescent="0.35">
      <c r="A841">
        <v>840</v>
      </c>
      <c r="B841">
        <v>45888.014306921294</v>
      </c>
      <c r="D841" t="s">
        <v>4034</v>
      </c>
      <c r="E841" t="s">
        <v>1960</v>
      </c>
      <c r="F841" t="s">
        <v>44</v>
      </c>
      <c r="G841" t="s">
        <v>44</v>
      </c>
      <c r="H841" t="s">
        <v>44</v>
      </c>
      <c r="I841" t="s">
        <v>103</v>
      </c>
      <c r="J841" t="s">
        <v>103</v>
      </c>
      <c r="K841" t="s">
        <v>94</v>
      </c>
      <c r="L841" t="s">
        <v>46</v>
      </c>
      <c r="N841" t="s">
        <v>4035</v>
      </c>
      <c r="O841" t="s">
        <v>48</v>
      </c>
      <c r="P841" t="s">
        <v>49</v>
      </c>
      <c r="Q841" t="s">
        <v>49</v>
      </c>
      <c r="R841" t="s">
        <v>3877</v>
      </c>
      <c r="S841" t="s">
        <v>48</v>
      </c>
      <c r="T841" t="s">
        <v>3878</v>
      </c>
      <c r="U841" t="s">
        <v>3879</v>
      </c>
      <c r="V841" t="s">
        <v>53</v>
      </c>
      <c r="W841" t="s">
        <v>4036</v>
      </c>
      <c r="X841" t="s">
        <v>2485</v>
      </c>
      <c r="Y841" t="s">
        <v>4037</v>
      </c>
      <c r="Z841" t="s">
        <v>91</v>
      </c>
    </row>
    <row r="842" spans="1:26" ht="12.75" customHeight="1" x14ac:dyDescent="0.35">
      <c r="A842">
        <v>841</v>
      </c>
      <c r="B842">
        <v>45888.016672812504</v>
      </c>
      <c r="D842" t="s">
        <v>4038</v>
      </c>
      <c r="E842" t="s">
        <v>2119</v>
      </c>
      <c r="F842" t="s">
        <v>44</v>
      </c>
      <c r="G842" t="s">
        <v>72</v>
      </c>
      <c r="H842" t="s">
        <v>29</v>
      </c>
      <c r="I842" t="s">
        <v>158</v>
      </c>
      <c r="J842" t="s">
        <v>30</v>
      </c>
      <c r="K842" t="s">
        <v>94</v>
      </c>
      <c r="L842" t="s">
        <v>36</v>
      </c>
      <c r="N842" t="s">
        <v>2897</v>
      </c>
      <c r="P842" t="s">
        <v>48</v>
      </c>
      <c r="R842" t="s">
        <v>4039</v>
      </c>
      <c r="S842" t="s">
        <v>48</v>
      </c>
      <c r="V842" t="s">
        <v>53</v>
      </c>
      <c r="W842" t="s">
        <v>4040</v>
      </c>
      <c r="X842" t="s">
        <v>118</v>
      </c>
      <c r="Y842" t="s">
        <v>4041</v>
      </c>
      <c r="Z842" t="s">
        <v>170</v>
      </c>
    </row>
    <row r="843" spans="1:26" ht="12.75" customHeight="1" x14ac:dyDescent="0.35">
      <c r="A843">
        <v>842</v>
      </c>
      <c r="B843">
        <v>45888.019121446763</v>
      </c>
      <c r="D843" t="s">
        <v>4042</v>
      </c>
      <c r="E843" t="s">
        <v>4043</v>
      </c>
      <c r="F843" t="s">
        <v>44</v>
      </c>
      <c r="G843" t="s">
        <v>44</v>
      </c>
      <c r="H843" t="s">
        <v>44</v>
      </c>
      <c r="I843" t="s">
        <v>103</v>
      </c>
      <c r="J843" t="s">
        <v>28</v>
      </c>
      <c r="K843" t="s">
        <v>45</v>
      </c>
      <c r="L843" t="s">
        <v>46</v>
      </c>
      <c r="N843" t="s">
        <v>4044</v>
      </c>
      <c r="O843" t="s">
        <v>48</v>
      </c>
      <c r="P843" t="s">
        <v>48</v>
      </c>
      <c r="Q843" t="s">
        <v>48</v>
      </c>
      <c r="R843" t="s">
        <v>3877</v>
      </c>
      <c r="S843" t="s">
        <v>49</v>
      </c>
      <c r="T843" t="s">
        <v>3878</v>
      </c>
      <c r="U843" t="s">
        <v>3879</v>
      </c>
      <c r="V843" t="s">
        <v>53</v>
      </c>
      <c r="W843" t="s">
        <v>3820</v>
      </c>
      <c r="X843" t="s">
        <v>2485</v>
      </c>
      <c r="Y843" t="s">
        <v>3821</v>
      </c>
      <c r="Z843" t="s">
        <v>91</v>
      </c>
    </row>
    <row r="844" spans="1:26" ht="12.75" customHeight="1" x14ac:dyDescent="0.35">
      <c r="A844">
        <v>843</v>
      </c>
      <c r="B844">
        <v>45888.019269328703</v>
      </c>
      <c r="D844" t="s">
        <v>4045</v>
      </c>
      <c r="E844" t="s">
        <v>1883</v>
      </c>
      <c r="F844" t="s">
        <v>29</v>
      </c>
      <c r="G844" t="s">
        <v>29</v>
      </c>
      <c r="H844" t="s">
        <v>29</v>
      </c>
      <c r="I844" t="s">
        <v>30</v>
      </c>
      <c r="J844" t="s">
        <v>30</v>
      </c>
      <c r="K844" t="s">
        <v>61</v>
      </c>
      <c r="L844" t="s">
        <v>46</v>
      </c>
      <c r="N844" t="s">
        <v>4044</v>
      </c>
      <c r="O844" t="s">
        <v>49</v>
      </c>
      <c r="P844" t="s">
        <v>49</v>
      </c>
      <c r="Q844" t="s">
        <v>49</v>
      </c>
      <c r="R844" t="s">
        <v>3877</v>
      </c>
      <c r="S844" t="s">
        <v>49</v>
      </c>
      <c r="T844" t="s">
        <v>3878</v>
      </c>
      <c r="U844" t="s">
        <v>3879</v>
      </c>
      <c r="V844" t="s">
        <v>53</v>
      </c>
      <c r="W844" t="s">
        <v>4046</v>
      </c>
      <c r="X844" t="s">
        <v>4047</v>
      </c>
      <c r="Y844" t="s">
        <v>4048</v>
      </c>
      <c r="Z844" t="s">
        <v>91</v>
      </c>
    </row>
    <row r="845" spans="1:26" ht="12.75" customHeight="1" x14ac:dyDescent="0.35">
      <c r="A845">
        <v>844</v>
      </c>
      <c r="B845">
        <v>45888.019897511578</v>
      </c>
      <c r="D845" t="s">
        <v>4049</v>
      </c>
      <c r="E845" t="s">
        <v>2119</v>
      </c>
      <c r="F845" t="s">
        <v>44</v>
      </c>
      <c r="G845" t="s">
        <v>28</v>
      </c>
      <c r="H845" t="s">
        <v>157</v>
      </c>
      <c r="I845" t="s">
        <v>103</v>
      </c>
      <c r="J845" t="s">
        <v>94</v>
      </c>
      <c r="K845" t="s">
        <v>73</v>
      </c>
      <c r="L845" t="s">
        <v>46</v>
      </c>
      <c r="N845" t="s">
        <v>2897</v>
      </c>
      <c r="P845" t="s">
        <v>48</v>
      </c>
      <c r="R845" t="s">
        <v>4050</v>
      </c>
      <c r="S845" t="s">
        <v>38</v>
      </c>
      <c r="V845" t="s">
        <v>53</v>
      </c>
      <c r="W845" t="s">
        <v>4051</v>
      </c>
      <c r="X845" t="s">
        <v>118</v>
      </c>
      <c r="Y845" t="s">
        <v>4052</v>
      </c>
      <c r="Z845" t="s">
        <v>170</v>
      </c>
    </row>
    <row r="846" spans="1:26" ht="12.75" customHeight="1" x14ac:dyDescent="0.35">
      <c r="A846">
        <v>845</v>
      </c>
      <c r="B846">
        <v>45888.023592048616</v>
      </c>
      <c r="D846" t="s">
        <v>4053</v>
      </c>
      <c r="E846" t="s">
        <v>1960</v>
      </c>
      <c r="F846" t="s">
        <v>44</v>
      </c>
      <c r="G846" t="s">
        <v>60</v>
      </c>
      <c r="H846" t="s">
        <v>44</v>
      </c>
      <c r="I846" t="s">
        <v>103</v>
      </c>
      <c r="J846" t="s">
        <v>173</v>
      </c>
      <c r="K846" t="s">
        <v>45</v>
      </c>
      <c r="L846" t="s">
        <v>36</v>
      </c>
      <c r="N846" t="s">
        <v>2640</v>
      </c>
      <c r="O846" t="s">
        <v>48</v>
      </c>
      <c r="P846" t="s">
        <v>48</v>
      </c>
      <c r="Q846" t="s">
        <v>49</v>
      </c>
      <c r="R846" t="s">
        <v>3877</v>
      </c>
      <c r="S846" t="s">
        <v>49</v>
      </c>
      <c r="T846" t="s">
        <v>3878</v>
      </c>
      <c r="U846" t="s">
        <v>3879</v>
      </c>
      <c r="V846" t="s">
        <v>53</v>
      </c>
      <c r="W846" t="s">
        <v>4054</v>
      </c>
      <c r="X846" t="s">
        <v>3515</v>
      </c>
      <c r="Y846" t="s">
        <v>4055</v>
      </c>
      <c r="Z846" t="s">
        <v>91</v>
      </c>
    </row>
    <row r="847" spans="1:26" ht="12.75" customHeight="1" x14ac:dyDescent="0.35">
      <c r="A847">
        <v>846</v>
      </c>
      <c r="B847">
        <v>45888.023667696762</v>
      </c>
      <c r="D847" t="s">
        <v>4056</v>
      </c>
      <c r="E847" t="s">
        <v>2119</v>
      </c>
      <c r="F847" t="s">
        <v>377</v>
      </c>
      <c r="G847" t="s">
        <v>158</v>
      </c>
      <c r="H847" t="s">
        <v>157</v>
      </c>
      <c r="I847" t="s">
        <v>103</v>
      </c>
      <c r="J847" t="s">
        <v>28</v>
      </c>
      <c r="K847" t="s">
        <v>45</v>
      </c>
      <c r="L847" t="s">
        <v>46</v>
      </c>
      <c r="N847" t="s">
        <v>2897</v>
      </c>
      <c r="O847" t="s">
        <v>39</v>
      </c>
      <c r="P847" t="s">
        <v>48</v>
      </c>
      <c r="Q847" t="s">
        <v>49</v>
      </c>
      <c r="R847" t="s">
        <v>4057</v>
      </c>
      <c r="S847" t="s">
        <v>48</v>
      </c>
      <c r="V847" t="s">
        <v>53</v>
      </c>
      <c r="W847" t="s">
        <v>4058</v>
      </c>
      <c r="X847" t="s">
        <v>118</v>
      </c>
      <c r="Y847" t="s">
        <v>4059</v>
      </c>
      <c r="Z847" t="s">
        <v>170</v>
      </c>
    </row>
    <row r="848" spans="1:26" ht="12.75" customHeight="1" x14ac:dyDescent="0.35">
      <c r="A848">
        <v>847</v>
      </c>
      <c r="B848">
        <v>45888.026800347223</v>
      </c>
      <c r="D848" t="s">
        <v>4060</v>
      </c>
      <c r="E848" t="s">
        <v>2119</v>
      </c>
      <c r="F848" t="s">
        <v>44</v>
      </c>
      <c r="G848" t="s">
        <v>28</v>
      </c>
      <c r="H848" t="s">
        <v>206</v>
      </c>
      <c r="I848" t="s">
        <v>173</v>
      </c>
      <c r="J848" t="s">
        <v>28</v>
      </c>
      <c r="K848" t="s">
        <v>45</v>
      </c>
      <c r="L848" t="s">
        <v>36</v>
      </c>
      <c r="N848" t="s">
        <v>2924</v>
      </c>
      <c r="O848" t="s">
        <v>49</v>
      </c>
      <c r="P848" t="s">
        <v>48</v>
      </c>
      <c r="Q848" t="s">
        <v>38</v>
      </c>
      <c r="R848" t="s">
        <v>4061</v>
      </c>
      <c r="S848" t="s">
        <v>49</v>
      </c>
      <c r="V848" t="s">
        <v>53</v>
      </c>
      <c r="W848" t="s">
        <v>4062</v>
      </c>
      <c r="X848" t="s">
        <v>118</v>
      </c>
      <c r="Y848" t="s">
        <v>4063</v>
      </c>
      <c r="Z848" t="s">
        <v>91</v>
      </c>
    </row>
    <row r="849" spans="1:26" ht="12.75" customHeight="1" x14ac:dyDescent="0.35">
      <c r="A849">
        <v>848</v>
      </c>
      <c r="B849">
        <v>45888.030298784724</v>
      </c>
      <c r="D849" t="s">
        <v>4064</v>
      </c>
      <c r="E849" t="s">
        <v>2119</v>
      </c>
      <c r="F849" t="s">
        <v>71</v>
      </c>
      <c r="G849" t="s">
        <v>44</v>
      </c>
      <c r="H849" t="s">
        <v>44</v>
      </c>
      <c r="I849" t="s">
        <v>72</v>
      </c>
      <c r="J849" t="s">
        <v>30</v>
      </c>
      <c r="K849" t="s">
        <v>292</v>
      </c>
      <c r="L849" t="s">
        <v>36</v>
      </c>
      <c r="N849" t="s">
        <v>2901</v>
      </c>
      <c r="P849" t="s">
        <v>38</v>
      </c>
      <c r="R849" t="s">
        <v>4065</v>
      </c>
      <c r="S849" t="s">
        <v>48</v>
      </c>
      <c r="V849" t="s">
        <v>53</v>
      </c>
      <c r="W849" t="s">
        <v>4066</v>
      </c>
      <c r="X849" t="s">
        <v>118</v>
      </c>
      <c r="Y849" t="s">
        <v>4067</v>
      </c>
      <c r="Z849" t="s">
        <v>170</v>
      </c>
    </row>
    <row r="850" spans="1:26" ht="12.75" customHeight="1" x14ac:dyDescent="0.35">
      <c r="A850">
        <v>849</v>
      </c>
      <c r="B850">
        <v>45888.034311932875</v>
      </c>
      <c r="D850" t="s">
        <v>4068</v>
      </c>
      <c r="E850" t="s">
        <v>2119</v>
      </c>
      <c r="F850" t="s">
        <v>71</v>
      </c>
      <c r="G850" t="s">
        <v>29</v>
      </c>
      <c r="H850" t="s">
        <v>33</v>
      </c>
      <c r="I850" t="s">
        <v>72</v>
      </c>
      <c r="J850" t="s">
        <v>73</v>
      </c>
      <c r="K850" t="s">
        <v>94</v>
      </c>
      <c r="L850" t="s">
        <v>46</v>
      </c>
      <c r="N850" t="s">
        <v>2828</v>
      </c>
      <c r="O850" t="s">
        <v>38</v>
      </c>
      <c r="P850" t="s">
        <v>38</v>
      </c>
      <c r="Q850" t="s">
        <v>49</v>
      </c>
      <c r="R850" t="s">
        <v>4069</v>
      </c>
      <c r="S850" t="s">
        <v>48</v>
      </c>
      <c r="V850" t="s">
        <v>53</v>
      </c>
      <c r="W850" t="s">
        <v>4070</v>
      </c>
      <c r="X850" t="s">
        <v>118</v>
      </c>
      <c r="Y850" t="s">
        <v>4071</v>
      </c>
      <c r="Z850" t="s">
        <v>91</v>
      </c>
    </row>
    <row r="851" spans="1:26" ht="12.75" customHeight="1" x14ac:dyDescent="0.35">
      <c r="A851">
        <v>850</v>
      </c>
      <c r="B851">
        <v>45888.039079756942</v>
      </c>
      <c r="D851" t="s">
        <v>4072</v>
      </c>
      <c r="E851" t="s">
        <v>2119</v>
      </c>
      <c r="F851" t="s">
        <v>44</v>
      </c>
      <c r="G851" t="s">
        <v>72</v>
      </c>
      <c r="H851" t="s">
        <v>33</v>
      </c>
      <c r="I851" t="s">
        <v>30</v>
      </c>
      <c r="J851" t="s">
        <v>173</v>
      </c>
      <c r="K851" t="s">
        <v>45</v>
      </c>
      <c r="L851" t="s">
        <v>36</v>
      </c>
      <c r="N851" t="s">
        <v>2553</v>
      </c>
      <c r="O851" t="s">
        <v>48</v>
      </c>
      <c r="R851" t="s">
        <v>4073</v>
      </c>
      <c r="S851" t="s">
        <v>49</v>
      </c>
      <c r="V851" t="s">
        <v>53</v>
      </c>
      <c r="W851" t="s">
        <v>4074</v>
      </c>
      <c r="X851" t="s">
        <v>118</v>
      </c>
      <c r="Y851" t="s">
        <v>4075</v>
      </c>
      <c r="Z851" t="s">
        <v>170</v>
      </c>
    </row>
    <row r="852" spans="1:26" ht="12.75" customHeight="1" x14ac:dyDescent="0.35">
      <c r="A852">
        <v>851</v>
      </c>
      <c r="B852">
        <v>45888.047761828704</v>
      </c>
      <c r="D852" t="s">
        <v>4076</v>
      </c>
      <c r="E852" t="s">
        <v>2119</v>
      </c>
      <c r="F852" t="s">
        <v>44</v>
      </c>
      <c r="G852" t="s">
        <v>158</v>
      </c>
      <c r="H852" t="s">
        <v>73</v>
      </c>
      <c r="I852" t="s">
        <v>30</v>
      </c>
      <c r="J852" t="s">
        <v>173</v>
      </c>
      <c r="K852" t="s">
        <v>45</v>
      </c>
      <c r="L852" t="s">
        <v>36</v>
      </c>
      <c r="N852" t="s">
        <v>4077</v>
      </c>
      <c r="O852" t="s">
        <v>49</v>
      </c>
      <c r="Q852" t="s">
        <v>49</v>
      </c>
      <c r="R852" t="s">
        <v>4078</v>
      </c>
      <c r="V852" t="s">
        <v>53</v>
      </c>
      <c r="W852" t="s">
        <v>4079</v>
      </c>
      <c r="X852" t="s">
        <v>118</v>
      </c>
      <c r="Y852" t="s">
        <v>4080</v>
      </c>
      <c r="Z852" t="s">
        <v>91</v>
      </c>
    </row>
    <row r="853" spans="1:26" ht="12.75" customHeight="1" x14ac:dyDescent="0.35">
      <c r="A853">
        <v>852</v>
      </c>
      <c r="B853">
        <v>45888.051676689814</v>
      </c>
      <c r="D853" t="s">
        <v>4081</v>
      </c>
      <c r="E853" t="s">
        <v>4082</v>
      </c>
      <c r="F853" t="s">
        <v>44</v>
      </c>
      <c r="G853" t="s">
        <v>60</v>
      </c>
      <c r="H853" t="s">
        <v>157</v>
      </c>
      <c r="I853" t="s">
        <v>196</v>
      </c>
      <c r="J853" t="s">
        <v>173</v>
      </c>
      <c r="K853" t="s">
        <v>35</v>
      </c>
      <c r="L853" t="s">
        <v>46</v>
      </c>
      <c r="N853" t="s">
        <v>2599</v>
      </c>
      <c r="O853" t="s">
        <v>40</v>
      </c>
      <c r="P853" t="s">
        <v>38</v>
      </c>
      <c r="Q853" t="s">
        <v>49</v>
      </c>
      <c r="R853" t="s">
        <v>4083</v>
      </c>
      <c r="S853" t="s">
        <v>38</v>
      </c>
      <c r="V853" t="s">
        <v>53</v>
      </c>
      <c r="W853" t="s">
        <v>4084</v>
      </c>
      <c r="X853" t="s">
        <v>118</v>
      </c>
      <c r="Y853" t="s">
        <v>4085</v>
      </c>
      <c r="Z853" t="s">
        <v>170</v>
      </c>
    </row>
    <row r="854" spans="1:26" ht="12.75" customHeight="1" x14ac:dyDescent="0.35">
      <c r="A854">
        <v>853</v>
      </c>
      <c r="B854">
        <v>45888.267159178242</v>
      </c>
      <c r="D854" t="s">
        <v>4086</v>
      </c>
      <c r="E854" t="s">
        <v>2119</v>
      </c>
      <c r="F854" t="s">
        <v>60</v>
      </c>
      <c r="G854" t="s">
        <v>197</v>
      </c>
      <c r="H854" t="s">
        <v>206</v>
      </c>
      <c r="I854" t="s">
        <v>103</v>
      </c>
      <c r="J854" t="s">
        <v>28</v>
      </c>
      <c r="K854" t="s">
        <v>292</v>
      </c>
      <c r="L854" t="s">
        <v>36</v>
      </c>
      <c r="N854" t="s">
        <v>2635</v>
      </c>
      <c r="O854" t="s">
        <v>49</v>
      </c>
      <c r="Q854" t="s">
        <v>48</v>
      </c>
      <c r="R854" t="s">
        <v>4087</v>
      </c>
      <c r="V854" t="s">
        <v>53</v>
      </c>
      <c r="W854" t="s">
        <v>4088</v>
      </c>
      <c r="X854" t="s">
        <v>118</v>
      </c>
      <c r="Y854" t="s">
        <v>4089</v>
      </c>
      <c r="Z854" t="s">
        <v>91</v>
      </c>
    </row>
    <row r="855" spans="1:26" ht="12.75" customHeight="1" x14ac:dyDescent="0.35">
      <c r="A855">
        <v>854</v>
      </c>
      <c r="B855">
        <v>45888.270394606487</v>
      </c>
      <c r="D855" t="s">
        <v>4090</v>
      </c>
      <c r="E855" t="s">
        <v>2119</v>
      </c>
      <c r="F855" t="s">
        <v>60</v>
      </c>
      <c r="G855" t="s">
        <v>60</v>
      </c>
      <c r="H855" t="s">
        <v>73</v>
      </c>
      <c r="I855" t="s">
        <v>72</v>
      </c>
      <c r="J855" t="s">
        <v>73</v>
      </c>
      <c r="K855" t="s">
        <v>45</v>
      </c>
      <c r="L855" t="s">
        <v>46</v>
      </c>
      <c r="N855" t="s">
        <v>2635</v>
      </c>
      <c r="O855" t="s">
        <v>48</v>
      </c>
      <c r="P855" t="s">
        <v>49</v>
      </c>
      <c r="Q855" t="s">
        <v>48</v>
      </c>
      <c r="R855" t="s">
        <v>4091</v>
      </c>
      <c r="S855" t="s">
        <v>48</v>
      </c>
      <c r="V855" t="s">
        <v>53</v>
      </c>
      <c r="W855" t="s">
        <v>4092</v>
      </c>
      <c r="X855" t="s">
        <v>118</v>
      </c>
      <c r="Y855" t="s">
        <v>4093</v>
      </c>
      <c r="Z855" t="s">
        <v>170</v>
      </c>
    </row>
    <row r="856" spans="1:26" ht="12.75" customHeight="1" x14ac:dyDescent="0.35">
      <c r="A856">
        <v>855</v>
      </c>
      <c r="B856">
        <v>45888.275650810188</v>
      </c>
      <c r="D856" t="s">
        <v>4094</v>
      </c>
      <c r="E856" t="s">
        <v>2119</v>
      </c>
      <c r="F856" t="s">
        <v>377</v>
      </c>
      <c r="G856" t="s">
        <v>72</v>
      </c>
      <c r="H856" t="s">
        <v>73</v>
      </c>
      <c r="I856" t="s">
        <v>173</v>
      </c>
      <c r="J856" t="s">
        <v>30</v>
      </c>
      <c r="K856" t="s">
        <v>28</v>
      </c>
      <c r="L856" t="s">
        <v>36</v>
      </c>
      <c r="N856" t="s">
        <v>2635</v>
      </c>
      <c r="P856" t="s">
        <v>48</v>
      </c>
      <c r="Q856" t="s">
        <v>48</v>
      </c>
      <c r="R856" t="s">
        <v>4095</v>
      </c>
      <c r="V856" t="s">
        <v>53</v>
      </c>
      <c r="W856" t="s">
        <v>4096</v>
      </c>
      <c r="X856" t="s">
        <v>118</v>
      </c>
      <c r="Y856" t="s">
        <v>4097</v>
      </c>
      <c r="Z856" t="s">
        <v>91</v>
      </c>
    </row>
    <row r="857" spans="1:26" ht="12.75" customHeight="1" x14ac:dyDescent="0.35">
      <c r="A857">
        <v>856</v>
      </c>
      <c r="B857">
        <v>45888.279252291672</v>
      </c>
      <c r="D857" t="s">
        <v>4098</v>
      </c>
      <c r="E857" t="s">
        <v>2740</v>
      </c>
      <c r="F857" t="s">
        <v>29</v>
      </c>
      <c r="G857" t="s">
        <v>29</v>
      </c>
      <c r="H857" t="s">
        <v>284</v>
      </c>
      <c r="I857" t="s">
        <v>28</v>
      </c>
      <c r="J857" t="s">
        <v>173</v>
      </c>
      <c r="K857" t="s">
        <v>368</v>
      </c>
      <c r="L857" t="s">
        <v>46</v>
      </c>
      <c r="N857" t="s">
        <v>2828</v>
      </c>
      <c r="O857" t="s">
        <v>49</v>
      </c>
      <c r="P857" t="s">
        <v>49</v>
      </c>
      <c r="Q857" t="s">
        <v>49</v>
      </c>
      <c r="R857" t="s">
        <v>4099</v>
      </c>
      <c r="S857" t="s">
        <v>49</v>
      </c>
      <c r="V857" t="s">
        <v>53</v>
      </c>
      <c r="W857" t="s">
        <v>4100</v>
      </c>
      <c r="X857" t="s">
        <v>127</v>
      </c>
      <c r="Y857" t="s">
        <v>4101</v>
      </c>
      <c r="Z857" t="s">
        <v>170</v>
      </c>
    </row>
    <row r="858" spans="1:26" ht="12.75" customHeight="1" x14ac:dyDescent="0.35">
      <c r="A858">
        <v>857</v>
      </c>
      <c r="B858">
        <v>45888.281791516201</v>
      </c>
      <c r="D858" t="s">
        <v>4102</v>
      </c>
      <c r="E858" t="s">
        <v>2740</v>
      </c>
      <c r="F858" t="s">
        <v>33</v>
      </c>
      <c r="G858" t="s">
        <v>197</v>
      </c>
      <c r="H858" t="s">
        <v>44</v>
      </c>
      <c r="I858" t="s">
        <v>30</v>
      </c>
      <c r="J858" t="s">
        <v>45</v>
      </c>
      <c r="K858" t="s">
        <v>292</v>
      </c>
      <c r="L858" t="s">
        <v>46</v>
      </c>
      <c r="N858" t="s">
        <v>2828</v>
      </c>
      <c r="O858" t="s">
        <v>48</v>
      </c>
      <c r="P858" t="s">
        <v>48</v>
      </c>
      <c r="Q858" t="s">
        <v>48</v>
      </c>
      <c r="R858" t="s">
        <v>4103</v>
      </c>
      <c r="S858" t="s">
        <v>48</v>
      </c>
      <c r="V858" t="s">
        <v>53</v>
      </c>
      <c r="W858" t="s">
        <v>4104</v>
      </c>
      <c r="X858" t="s">
        <v>127</v>
      </c>
      <c r="Y858" t="s">
        <v>4105</v>
      </c>
      <c r="Z858" t="s">
        <v>91</v>
      </c>
    </row>
    <row r="859" spans="1:26" ht="12.75" customHeight="1" x14ac:dyDescent="0.35">
      <c r="A859">
        <v>858</v>
      </c>
      <c r="B859">
        <v>45888.28468517361</v>
      </c>
      <c r="D859" t="s">
        <v>4106</v>
      </c>
      <c r="E859" t="s">
        <v>2740</v>
      </c>
      <c r="F859" t="s">
        <v>71</v>
      </c>
      <c r="G859" t="s">
        <v>197</v>
      </c>
      <c r="H859" t="s">
        <v>28</v>
      </c>
      <c r="I859" t="s">
        <v>103</v>
      </c>
      <c r="J859" t="s">
        <v>28</v>
      </c>
      <c r="K859" t="s">
        <v>45</v>
      </c>
      <c r="L859" t="s">
        <v>46</v>
      </c>
      <c r="N859" t="s">
        <v>2828</v>
      </c>
      <c r="O859" t="s">
        <v>48</v>
      </c>
      <c r="P859" t="s">
        <v>49</v>
      </c>
      <c r="Q859" t="s">
        <v>49</v>
      </c>
      <c r="R859" t="s">
        <v>4107</v>
      </c>
      <c r="S859" t="s">
        <v>49</v>
      </c>
      <c r="V859" t="s">
        <v>53</v>
      </c>
      <c r="W859" t="s">
        <v>4106</v>
      </c>
      <c r="X859" t="s">
        <v>118</v>
      </c>
      <c r="Y859" t="s">
        <v>4108</v>
      </c>
      <c r="Z859" t="s">
        <v>170</v>
      </c>
    </row>
    <row r="860" spans="1:26" ht="12.75" customHeight="1" x14ac:dyDescent="0.35">
      <c r="A860">
        <v>859</v>
      </c>
      <c r="B860">
        <v>45888.286861782406</v>
      </c>
      <c r="D860" t="s">
        <v>4109</v>
      </c>
      <c r="E860" t="s">
        <v>2740</v>
      </c>
      <c r="F860" t="s">
        <v>44</v>
      </c>
      <c r="G860" t="s">
        <v>29</v>
      </c>
      <c r="H860" t="s">
        <v>44</v>
      </c>
      <c r="I860" t="s">
        <v>28</v>
      </c>
      <c r="J860" t="s">
        <v>30</v>
      </c>
      <c r="K860" t="s">
        <v>61</v>
      </c>
      <c r="L860" t="s">
        <v>36</v>
      </c>
      <c r="N860" t="s">
        <v>2756</v>
      </c>
      <c r="O860" t="s">
        <v>48</v>
      </c>
      <c r="P860" t="s">
        <v>38</v>
      </c>
      <c r="Q860" t="s">
        <v>48</v>
      </c>
      <c r="R860" t="s">
        <v>4110</v>
      </c>
      <c r="S860" t="s">
        <v>49</v>
      </c>
      <c r="V860" t="s">
        <v>53</v>
      </c>
      <c r="W860" t="s">
        <v>4111</v>
      </c>
      <c r="X860" t="s">
        <v>118</v>
      </c>
      <c r="Y860" t="s">
        <v>4112</v>
      </c>
      <c r="Z860" t="s">
        <v>170</v>
      </c>
    </row>
    <row r="861" spans="1:26" ht="12.75" customHeight="1" x14ac:dyDescent="0.35">
      <c r="A861">
        <v>860</v>
      </c>
      <c r="B861">
        <v>45888.289410208337</v>
      </c>
      <c r="D861" t="s">
        <v>4113</v>
      </c>
      <c r="E861" t="s">
        <v>2740</v>
      </c>
      <c r="F861" t="s">
        <v>44</v>
      </c>
      <c r="G861" t="s">
        <v>44</v>
      </c>
      <c r="H861" t="s">
        <v>60</v>
      </c>
      <c r="I861" t="s">
        <v>173</v>
      </c>
      <c r="J861" t="s">
        <v>30</v>
      </c>
      <c r="K861" t="s">
        <v>45</v>
      </c>
      <c r="L861" t="s">
        <v>36</v>
      </c>
      <c r="N861" t="s">
        <v>2756</v>
      </c>
      <c r="O861" t="s">
        <v>38</v>
      </c>
      <c r="P861" t="s">
        <v>49</v>
      </c>
      <c r="Q861" t="s">
        <v>48</v>
      </c>
      <c r="R861" t="s">
        <v>4114</v>
      </c>
      <c r="S861" t="s">
        <v>48</v>
      </c>
      <c r="V861" t="s">
        <v>53</v>
      </c>
      <c r="W861" t="s">
        <v>4115</v>
      </c>
      <c r="X861" t="s">
        <v>118</v>
      </c>
      <c r="Y861" t="s">
        <v>4116</v>
      </c>
      <c r="Z861" t="s">
        <v>91</v>
      </c>
    </row>
    <row r="862" spans="1:26" ht="12.75" customHeight="1" x14ac:dyDescent="0.35">
      <c r="A862">
        <v>861</v>
      </c>
      <c r="B862">
        <v>45888.2918603125</v>
      </c>
      <c r="D862" t="s">
        <v>4117</v>
      </c>
      <c r="E862" t="s">
        <v>2740</v>
      </c>
      <c r="F862" t="s">
        <v>60</v>
      </c>
      <c r="G862" t="s">
        <v>60</v>
      </c>
      <c r="H862" t="s">
        <v>73</v>
      </c>
      <c r="I862" t="s">
        <v>30</v>
      </c>
      <c r="J862" t="s">
        <v>30</v>
      </c>
      <c r="K862" t="s">
        <v>73</v>
      </c>
      <c r="L862" t="s">
        <v>36</v>
      </c>
      <c r="N862" t="s">
        <v>2756</v>
      </c>
      <c r="O862" t="s">
        <v>48</v>
      </c>
      <c r="P862" t="s">
        <v>48</v>
      </c>
      <c r="Q862" t="s">
        <v>48</v>
      </c>
      <c r="R862" t="s">
        <v>4118</v>
      </c>
      <c r="S862" t="s">
        <v>48</v>
      </c>
      <c r="V862" t="s">
        <v>53</v>
      </c>
      <c r="W862" t="s">
        <v>4119</v>
      </c>
      <c r="X862" t="s">
        <v>127</v>
      </c>
      <c r="Y862" t="s">
        <v>4120</v>
      </c>
      <c r="Z862" t="s">
        <v>91</v>
      </c>
    </row>
    <row r="863" spans="1:26" ht="12.75" customHeight="1" x14ac:dyDescent="0.35">
      <c r="A863">
        <v>862</v>
      </c>
      <c r="B863">
        <v>45888.294201192126</v>
      </c>
      <c r="D863" t="s">
        <v>4121</v>
      </c>
      <c r="E863" t="s">
        <v>2740</v>
      </c>
      <c r="F863" t="s">
        <v>449</v>
      </c>
      <c r="G863" t="s">
        <v>33</v>
      </c>
      <c r="H863" t="s">
        <v>60</v>
      </c>
      <c r="I863" t="s">
        <v>173</v>
      </c>
      <c r="J863" t="s">
        <v>45</v>
      </c>
      <c r="K863" t="s">
        <v>45</v>
      </c>
      <c r="L863" t="s">
        <v>36</v>
      </c>
      <c r="N863" t="s">
        <v>2756</v>
      </c>
      <c r="O863" t="s">
        <v>49</v>
      </c>
      <c r="P863" t="s">
        <v>49</v>
      </c>
      <c r="Q863" t="s">
        <v>48</v>
      </c>
      <c r="R863" t="s">
        <v>4122</v>
      </c>
      <c r="S863" t="s">
        <v>48</v>
      </c>
      <c r="V863" t="s">
        <v>53</v>
      </c>
      <c r="W863" t="s">
        <v>4123</v>
      </c>
      <c r="X863" t="s">
        <v>127</v>
      </c>
      <c r="Y863" t="s">
        <v>4124</v>
      </c>
      <c r="Z863" t="s">
        <v>91</v>
      </c>
    </row>
    <row r="864" spans="1:26" ht="12.75" customHeight="1" x14ac:dyDescent="0.35">
      <c r="A864">
        <v>863</v>
      </c>
      <c r="B864">
        <v>45888.296563298616</v>
      </c>
      <c r="D864" t="s">
        <v>4125</v>
      </c>
      <c r="E864" t="s">
        <v>2740</v>
      </c>
      <c r="F864" t="s">
        <v>44</v>
      </c>
      <c r="G864" t="s">
        <v>60</v>
      </c>
      <c r="H864" t="s">
        <v>60</v>
      </c>
      <c r="I864" t="s">
        <v>28</v>
      </c>
      <c r="J864" t="s">
        <v>173</v>
      </c>
      <c r="K864" t="s">
        <v>61</v>
      </c>
      <c r="L864" t="s">
        <v>36</v>
      </c>
      <c r="N864" t="s">
        <v>2635</v>
      </c>
      <c r="O864" t="s">
        <v>48</v>
      </c>
      <c r="P864" t="s">
        <v>49</v>
      </c>
      <c r="Q864" t="s">
        <v>48</v>
      </c>
      <c r="R864" t="s">
        <v>4126</v>
      </c>
      <c r="S864" t="s">
        <v>48</v>
      </c>
      <c r="V864" t="s">
        <v>53</v>
      </c>
      <c r="W864" t="s">
        <v>4127</v>
      </c>
      <c r="X864" t="s">
        <v>127</v>
      </c>
      <c r="Y864" t="s">
        <v>4128</v>
      </c>
      <c r="Z864" t="s">
        <v>91</v>
      </c>
    </row>
    <row r="865" spans="1:26" ht="12.75" customHeight="1" x14ac:dyDescent="0.35">
      <c r="A865">
        <v>864</v>
      </c>
      <c r="B865">
        <v>45888.298313460647</v>
      </c>
      <c r="D865" t="s">
        <v>4129</v>
      </c>
      <c r="E865" t="s">
        <v>2740</v>
      </c>
      <c r="F865" t="s">
        <v>71</v>
      </c>
      <c r="G865" t="s">
        <v>60</v>
      </c>
      <c r="H865" t="s">
        <v>60</v>
      </c>
      <c r="I865" t="s">
        <v>103</v>
      </c>
      <c r="J865" t="s">
        <v>30</v>
      </c>
      <c r="K865" t="s">
        <v>292</v>
      </c>
      <c r="L865" t="s">
        <v>36</v>
      </c>
      <c r="N865" t="s">
        <v>4130</v>
      </c>
      <c r="O865" t="s">
        <v>48</v>
      </c>
      <c r="P865" t="s">
        <v>48</v>
      </c>
      <c r="Q865" t="s">
        <v>49</v>
      </c>
      <c r="R865" t="s">
        <v>4131</v>
      </c>
      <c r="S865" t="s">
        <v>48</v>
      </c>
      <c r="V865" t="s">
        <v>53</v>
      </c>
      <c r="W865" t="s">
        <v>4132</v>
      </c>
      <c r="X865" t="s">
        <v>127</v>
      </c>
      <c r="Y865" t="s">
        <v>4133</v>
      </c>
      <c r="Z865" t="s">
        <v>91</v>
      </c>
    </row>
    <row r="866" spans="1:26" ht="12.75" customHeight="1" x14ac:dyDescent="0.35">
      <c r="A866">
        <v>865</v>
      </c>
      <c r="B866">
        <v>45888.337362465274</v>
      </c>
      <c r="D866" t="s">
        <v>4134</v>
      </c>
      <c r="E866" t="s">
        <v>1883</v>
      </c>
      <c r="F866" t="s">
        <v>33</v>
      </c>
      <c r="G866" t="s">
        <v>33</v>
      </c>
      <c r="H866" t="s">
        <v>28</v>
      </c>
      <c r="I866" t="s">
        <v>28</v>
      </c>
      <c r="J866" t="s">
        <v>28</v>
      </c>
      <c r="K866" t="s">
        <v>74</v>
      </c>
      <c r="L866" t="s">
        <v>46</v>
      </c>
      <c r="N866" t="s">
        <v>4135</v>
      </c>
      <c r="O866" t="s">
        <v>49</v>
      </c>
      <c r="P866" t="s">
        <v>38</v>
      </c>
      <c r="Q866" t="s">
        <v>49</v>
      </c>
      <c r="R866" t="s">
        <v>3703</v>
      </c>
      <c r="S866" t="s">
        <v>38</v>
      </c>
      <c r="T866" t="s">
        <v>3682</v>
      </c>
      <c r="U866" t="s">
        <v>3793</v>
      </c>
      <c r="V866" t="s">
        <v>53</v>
      </c>
      <c r="W866" t="s">
        <v>4136</v>
      </c>
      <c r="X866" t="s">
        <v>1788</v>
      </c>
      <c r="Y866" t="s">
        <v>4137</v>
      </c>
      <c r="Z866" t="s">
        <v>91</v>
      </c>
    </row>
    <row r="867" spans="1:26" ht="12.75" customHeight="1" x14ac:dyDescent="0.35">
      <c r="A867">
        <v>866</v>
      </c>
      <c r="B867">
        <v>45888.341353530093</v>
      </c>
      <c r="D867" t="s">
        <v>4138</v>
      </c>
      <c r="E867" t="s">
        <v>2155</v>
      </c>
      <c r="F867" t="s">
        <v>28</v>
      </c>
      <c r="G867" t="s">
        <v>33</v>
      </c>
      <c r="H867" t="s">
        <v>73</v>
      </c>
      <c r="I867" t="s">
        <v>34</v>
      </c>
      <c r="J867" t="s">
        <v>73</v>
      </c>
      <c r="K867" t="s">
        <v>28</v>
      </c>
      <c r="L867" t="s">
        <v>46</v>
      </c>
      <c r="N867" t="s">
        <v>4135</v>
      </c>
      <c r="O867" t="s">
        <v>38</v>
      </c>
      <c r="P867" t="s">
        <v>49</v>
      </c>
      <c r="Q867" t="s">
        <v>38</v>
      </c>
      <c r="R867" t="s">
        <v>3703</v>
      </c>
      <c r="S867" t="s">
        <v>38</v>
      </c>
      <c r="T867" t="s">
        <v>3682</v>
      </c>
      <c r="U867" t="s">
        <v>3793</v>
      </c>
      <c r="V867" t="s">
        <v>53</v>
      </c>
      <c r="W867" t="s">
        <v>4139</v>
      </c>
      <c r="X867" t="s">
        <v>1788</v>
      </c>
      <c r="Y867" t="s">
        <v>4140</v>
      </c>
      <c r="Z867" t="s">
        <v>91</v>
      </c>
    </row>
    <row r="868" spans="1:26" ht="12.75" customHeight="1" x14ac:dyDescent="0.35">
      <c r="A868">
        <v>867</v>
      </c>
      <c r="B868">
        <v>45888.341764027777</v>
      </c>
      <c r="D868" t="s">
        <v>4141</v>
      </c>
      <c r="E868" t="s">
        <v>4142</v>
      </c>
      <c r="F868" t="s">
        <v>29</v>
      </c>
      <c r="G868" t="s">
        <v>29</v>
      </c>
      <c r="H868" t="s">
        <v>29</v>
      </c>
      <c r="I868" t="s">
        <v>30</v>
      </c>
      <c r="J868" t="s">
        <v>30</v>
      </c>
      <c r="K868" t="s">
        <v>94</v>
      </c>
      <c r="L868" t="s">
        <v>36</v>
      </c>
      <c r="N868" t="s">
        <v>4143</v>
      </c>
      <c r="O868" t="s">
        <v>49</v>
      </c>
      <c r="P868" t="s">
        <v>49</v>
      </c>
      <c r="Q868" t="s">
        <v>49</v>
      </c>
      <c r="R868" t="s">
        <v>4144</v>
      </c>
      <c r="S868" t="s">
        <v>49</v>
      </c>
      <c r="T868" t="s">
        <v>4145</v>
      </c>
      <c r="U868" t="s">
        <v>4146</v>
      </c>
      <c r="V868" t="s">
        <v>87</v>
      </c>
      <c r="W868" t="s">
        <v>4147</v>
      </c>
      <c r="X868" t="s">
        <v>4148</v>
      </c>
      <c r="Y868" t="s">
        <v>4149</v>
      </c>
      <c r="Z868" t="s">
        <v>91</v>
      </c>
    </row>
    <row r="869" spans="1:26" ht="12.75" customHeight="1" x14ac:dyDescent="0.35">
      <c r="A869">
        <v>868</v>
      </c>
      <c r="B869">
        <v>45888.344679756949</v>
      </c>
      <c r="D869" t="s">
        <v>4150</v>
      </c>
      <c r="E869" t="s">
        <v>4151</v>
      </c>
      <c r="F869" t="s">
        <v>71</v>
      </c>
      <c r="G869" t="s">
        <v>33</v>
      </c>
      <c r="H869" t="s">
        <v>33</v>
      </c>
      <c r="I869" t="s">
        <v>34</v>
      </c>
      <c r="J869" t="s">
        <v>34</v>
      </c>
      <c r="K869" t="s">
        <v>73</v>
      </c>
      <c r="L869" t="s">
        <v>46</v>
      </c>
      <c r="N869" t="s">
        <v>4152</v>
      </c>
      <c r="O869" t="s">
        <v>48</v>
      </c>
      <c r="P869" t="s">
        <v>48</v>
      </c>
      <c r="Q869" t="s">
        <v>48</v>
      </c>
      <c r="R869" t="s">
        <v>4153</v>
      </c>
      <c r="S869" t="s">
        <v>48</v>
      </c>
      <c r="T869" t="s">
        <v>4153</v>
      </c>
      <c r="U869" t="s">
        <v>4154</v>
      </c>
      <c r="V869" t="s">
        <v>65</v>
      </c>
      <c r="W869" t="s">
        <v>4155</v>
      </c>
      <c r="X869" t="s">
        <v>4148</v>
      </c>
      <c r="Y869" t="s">
        <v>4156</v>
      </c>
      <c r="Z869" t="s">
        <v>91</v>
      </c>
    </row>
    <row r="870" spans="1:26" ht="12.75" customHeight="1" x14ac:dyDescent="0.35">
      <c r="A870">
        <v>869</v>
      </c>
      <c r="B870">
        <v>45888.345322592591</v>
      </c>
      <c r="D870" t="s">
        <v>4157</v>
      </c>
      <c r="E870" t="s">
        <v>2155</v>
      </c>
      <c r="F870" t="s">
        <v>71</v>
      </c>
      <c r="G870" t="s">
        <v>33</v>
      </c>
      <c r="H870" t="s">
        <v>28</v>
      </c>
      <c r="I870" t="s">
        <v>34</v>
      </c>
      <c r="J870" t="s">
        <v>34</v>
      </c>
      <c r="K870" t="s">
        <v>28</v>
      </c>
      <c r="L870" t="s">
        <v>46</v>
      </c>
      <c r="N870" t="s">
        <v>4135</v>
      </c>
      <c r="O870" t="s">
        <v>38</v>
      </c>
      <c r="P870" t="s">
        <v>38</v>
      </c>
      <c r="Q870" t="s">
        <v>49</v>
      </c>
      <c r="R870" t="s">
        <v>3703</v>
      </c>
      <c r="S870" t="s">
        <v>38</v>
      </c>
      <c r="T870" t="s">
        <v>3682</v>
      </c>
      <c r="U870" t="s">
        <v>4158</v>
      </c>
      <c r="V870" t="s">
        <v>53</v>
      </c>
      <c r="W870" t="s">
        <v>4159</v>
      </c>
      <c r="X870" t="s">
        <v>1788</v>
      </c>
      <c r="Y870" t="s">
        <v>4160</v>
      </c>
      <c r="Z870" t="s">
        <v>91</v>
      </c>
    </row>
    <row r="871" spans="1:26" ht="12.75" customHeight="1" x14ac:dyDescent="0.35">
      <c r="A871">
        <v>870</v>
      </c>
      <c r="B871">
        <v>45888.347388518523</v>
      </c>
      <c r="D871" t="s">
        <v>4161</v>
      </c>
      <c r="E871" t="s">
        <v>4162</v>
      </c>
      <c r="F871" t="s">
        <v>29</v>
      </c>
      <c r="G871" t="s">
        <v>29</v>
      </c>
      <c r="H871" t="s">
        <v>206</v>
      </c>
      <c r="I871" t="s">
        <v>30</v>
      </c>
      <c r="J871" t="s">
        <v>94</v>
      </c>
      <c r="K871" t="s">
        <v>94</v>
      </c>
      <c r="L871" t="s">
        <v>46</v>
      </c>
      <c r="N871" t="s">
        <v>4163</v>
      </c>
      <c r="O871" t="s">
        <v>38</v>
      </c>
      <c r="P871" t="s">
        <v>38</v>
      </c>
      <c r="Q871" t="s">
        <v>38</v>
      </c>
      <c r="R871" t="s">
        <v>4164</v>
      </c>
      <c r="S871" t="s">
        <v>38</v>
      </c>
      <c r="T871" t="s">
        <v>4165</v>
      </c>
      <c r="U871" t="s">
        <v>4166</v>
      </c>
      <c r="V871" t="s">
        <v>87</v>
      </c>
      <c r="X871" t="s">
        <v>4148</v>
      </c>
      <c r="Y871" t="s">
        <v>4167</v>
      </c>
      <c r="Z871" t="s">
        <v>129</v>
      </c>
    </row>
    <row r="872" spans="1:26" ht="12.75" customHeight="1" x14ac:dyDescent="0.35">
      <c r="A872">
        <v>871</v>
      </c>
      <c r="B872">
        <v>45888.350636504634</v>
      </c>
      <c r="D872" t="s">
        <v>4168</v>
      </c>
      <c r="E872" t="s">
        <v>4169</v>
      </c>
      <c r="F872" t="s">
        <v>28</v>
      </c>
      <c r="G872" t="s">
        <v>28</v>
      </c>
      <c r="H872" t="s">
        <v>28</v>
      </c>
      <c r="I872" t="s">
        <v>28</v>
      </c>
      <c r="J872" t="s">
        <v>28</v>
      </c>
      <c r="K872" t="s">
        <v>28</v>
      </c>
      <c r="L872" t="s">
        <v>46</v>
      </c>
      <c r="N872" t="s">
        <v>4170</v>
      </c>
      <c r="O872" t="s">
        <v>49</v>
      </c>
      <c r="P872" t="s">
        <v>49</v>
      </c>
      <c r="Q872" t="s">
        <v>49</v>
      </c>
      <c r="R872" t="s">
        <v>4171</v>
      </c>
      <c r="S872" t="s">
        <v>49</v>
      </c>
      <c r="T872" t="s">
        <v>4172</v>
      </c>
      <c r="U872" t="s">
        <v>4173</v>
      </c>
      <c r="V872" t="s">
        <v>79</v>
      </c>
      <c r="W872" t="s">
        <v>4174</v>
      </c>
      <c r="X872" t="s">
        <v>4148</v>
      </c>
      <c r="Y872" t="s">
        <v>4175</v>
      </c>
      <c r="Z872" t="s">
        <v>91</v>
      </c>
    </row>
    <row r="873" spans="1:26" ht="12.75" customHeight="1" x14ac:dyDescent="0.35">
      <c r="A873">
        <v>872</v>
      </c>
      <c r="B873">
        <v>45888.351736307872</v>
      </c>
      <c r="D873" t="s">
        <v>4176</v>
      </c>
      <c r="E873" t="s">
        <v>2155</v>
      </c>
      <c r="F873" t="s">
        <v>29</v>
      </c>
      <c r="G873" t="s">
        <v>28</v>
      </c>
      <c r="H873" t="s">
        <v>29</v>
      </c>
      <c r="I873" t="s">
        <v>30</v>
      </c>
      <c r="J873" t="s">
        <v>34</v>
      </c>
      <c r="K873" t="s">
        <v>61</v>
      </c>
      <c r="L873" t="s">
        <v>46</v>
      </c>
      <c r="N873" t="s">
        <v>4135</v>
      </c>
      <c r="O873" t="s">
        <v>38</v>
      </c>
      <c r="P873" t="s">
        <v>38</v>
      </c>
      <c r="Q873" t="s">
        <v>38</v>
      </c>
      <c r="R873" t="s">
        <v>3703</v>
      </c>
      <c r="S873" t="s">
        <v>38</v>
      </c>
      <c r="T873" t="s">
        <v>3682</v>
      </c>
      <c r="U873" t="s">
        <v>3793</v>
      </c>
      <c r="V873" t="s">
        <v>53</v>
      </c>
      <c r="W873" t="s">
        <v>4177</v>
      </c>
      <c r="X873" t="s">
        <v>1788</v>
      </c>
      <c r="Y873" t="s">
        <v>4178</v>
      </c>
      <c r="Z873" t="s">
        <v>91</v>
      </c>
    </row>
    <row r="874" spans="1:26" ht="12.75" customHeight="1" x14ac:dyDescent="0.35">
      <c r="A874">
        <v>873</v>
      </c>
      <c r="B874">
        <v>45888.353723495369</v>
      </c>
      <c r="D874" t="s">
        <v>4179</v>
      </c>
      <c r="E874" t="s">
        <v>1320</v>
      </c>
      <c r="F874" t="s">
        <v>344</v>
      </c>
      <c r="G874" t="s">
        <v>29</v>
      </c>
      <c r="H874" t="s">
        <v>206</v>
      </c>
      <c r="I874" t="s">
        <v>30</v>
      </c>
      <c r="J874" t="s">
        <v>30</v>
      </c>
      <c r="K874" t="s">
        <v>61</v>
      </c>
      <c r="L874" t="s">
        <v>46</v>
      </c>
      <c r="N874" t="s">
        <v>4180</v>
      </c>
      <c r="O874" t="s">
        <v>49</v>
      </c>
      <c r="P874" t="s">
        <v>49</v>
      </c>
      <c r="Q874" t="s">
        <v>49</v>
      </c>
      <c r="R874" t="s">
        <v>4181</v>
      </c>
      <c r="S874" t="s">
        <v>49</v>
      </c>
      <c r="T874" t="s">
        <v>4182</v>
      </c>
      <c r="U874" t="s">
        <v>4183</v>
      </c>
      <c r="V874" t="s">
        <v>87</v>
      </c>
      <c r="W874" t="s">
        <v>4184</v>
      </c>
      <c r="X874" t="s">
        <v>4148</v>
      </c>
      <c r="Y874" t="s">
        <v>1532</v>
      </c>
      <c r="Z874" t="s">
        <v>91</v>
      </c>
    </row>
    <row r="875" spans="1:26" ht="12.75" customHeight="1" x14ac:dyDescent="0.35">
      <c r="A875">
        <v>874</v>
      </c>
      <c r="B875">
        <v>45888.355854108799</v>
      </c>
      <c r="D875" t="s">
        <v>4185</v>
      </c>
      <c r="E875" t="s">
        <v>2155</v>
      </c>
      <c r="F875" t="s">
        <v>60</v>
      </c>
      <c r="G875" t="s">
        <v>29</v>
      </c>
      <c r="H875" t="s">
        <v>44</v>
      </c>
      <c r="I875" t="s">
        <v>34</v>
      </c>
      <c r="J875" t="s">
        <v>34</v>
      </c>
      <c r="K875" t="s">
        <v>94</v>
      </c>
      <c r="L875" t="s">
        <v>46</v>
      </c>
      <c r="N875" t="s">
        <v>4135</v>
      </c>
      <c r="O875" t="s">
        <v>38</v>
      </c>
      <c r="P875" t="s">
        <v>38</v>
      </c>
      <c r="Q875" t="s">
        <v>38</v>
      </c>
      <c r="R875" t="s">
        <v>3703</v>
      </c>
      <c r="S875" t="s">
        <v>38</v>
      </c>
      <c r="T875" t="s">
        <v>3682</v>
      </c>
      <c r="U875" t="s">
        <v>3793</v>
      </c>
      <c r="V875" t="s">
        <v>53</v>
      </c>
      <c r="W875" t="s">
        <v>4186</v>
      </c>
      <c r="X875" t="s">
        <v>1788</v>
      </c>
      <c r="Y875" t="s">
        <v>4187</v>
      </c>
      <c r="Z875" t="s">
        <v>91</v>
      </c>
    </row>
    <row r="876" spans="1:26" ht="12.75" customHeight="1" x14ac:dyDescent="0.35">
      <c r="A876">
        <v>875</v>
      </c>
      <c r="B876">
        <v>45888.356763020834</v>
      </c>
      <c r="D876" t="s">
        <v>4188</v>
      </c>
      <c r="E876" t="s">
        <v>4189</v>
      </c>
      <c r="F876" t="s">
        <v>28</v>
      </c>
      <c r="G876" t="s">
        <v>28</v>
      </c>
      <c r="H876" t="s">
        <v>28</v>
      </c>
      <c r="I876" t="s">
        <v>28</v>
      </c>
      <c r="J876" t="s">
        <v>28</v>
      </c>
      <c r="K876" t="s">
        <v>28</v>
      </c>
      <c r="L876" t="s">
        <v>46</v>
      </c>
      <c r="N876" t="s">
        <v>4190</v>
      </c>
      <c r="O876" t="s">
        <v>49</v>
      </c>
      <c r="P876" t="s">
        <v>48</v>
      </c>
      <c r="Q876" t="s">
        <v>48</v>
      </c>
      <c r="R876" t="s">
        <v>4191</v>
      </c>
      <c r="S876" t="s">
        <v>48</v>
      </c>
      <c r="T876" t="s">
        <v>4192</v>
      </c>
      <c r="U876" t="s">
        <v>4193</v>
      </c>
      <c r="V876" t="s">
        <v>79</v>
      </c>
      <c r="W876" t="s">
        <v>4194</v>
      </c>
      <c r="X876" t="s">
        <v>4148</v>
      </c>
      <c r="Y876" t="s">
        <v>4195</v>
      </c>
      <c r="Z876" t="s">
        <v>57</v>
      </c>
    </row>
    <row r="877" spans="1:26" ht="12.75" customHeight="1" x14ac:dyDescent="0.35">
      <c r="A877">
        <v>876</v>
      </c>
      <c r="B877">
        <v>45888.360873726851</v>
      </c>
      <c r="D877" t="s">
        <v>4196</v>
      </c>
      <c r="E877" t="s">
        <v>2155</v>
      </c>
      <c r="F877" t="s">
        <v>29</v>
      </c>
      <c r="G877" t="s">
        <v>28</v>
      </c>
      <c r="H877" t="s">
        <v>29</v>
      </c>
      <c r="I877" t="s">
        <v>30</v>
      </c>
      <c r="J877" t="s">
        <v>30</v>
      </c>
      <c r="K877" t="s">
        <v>28</v>
      </c>
      <c r="L877" t="s">
        <v>46</v>
      </c>
      <c r="N877" t="s">
        <v>4135</v>
      </c>
      <c r="O877" t="s">
        <v>38</v>
      </c>
      <c r="P877" t="s">
        <v>49</v>
      </c>
      <c r="Q877" t="s">
        <v>38</v>
      </c>
      <c r="R877" t="s">
        <v>3703</v>
      </c>
      <c r="S877" t="s">
        <v>49</v>
      </c>
      <c r="T877" t="s">
        <v>3682</v>
      </c>
      <c r="U877" t="s">
        <v>3801</v>
      </c>
      <c r="V877" t="s">
        <v>53</v>
      </c>
      <c r="W877" t="s">
        <v>4197</v>
      </c>
      <c r="X877" t="s">
        <v>1788</v>
      </c>
      <c r="Y877" t="s">
        <v>4198</v>
      </c>
      <c r="Z877" t="s">
        <v>91</v>
      </c>
    </row>
    <row r="878" spans="1:26" ht="12.75" customHeight="1" x14ac:dyDescent="0.35">
      <c r="A878">
        <v>877</v>
      </c>
      <c r="B878">
        <v>45888.365246724541</v>
      </c>
      <c r="D878" t="s">
        <v>4199</v>
      </c>
      <c r="E878" t="s">
        <v>2155</v>
      </c>
      <c r="F878" t="s">
        <v>29</v>
      </c>
      <c r="G878" t="s">
        <v>44</v>
      </c>
      <c r="H878" t="s">
        <v>33</v>
      </c>
      <c r="I878" t="s">
        <v>34</v>
      </c>
      <c r="J878" t="s">
        <v>34</v>
      </c>
      <c r="K878" t="s">
        <v>28</v>
      </c>
      <c r="L878" t="s">
        <v>46</v>
      </c>
      <c r="N878" t="s">
        <v>4135</v>
      </c>
      <c r="O878" t="s">
        <v>38</v>
      </c>
      <c r="P878" t="s">
        <v>49</v>
      </c>
      <c r="Q878" t="s">
        <v>49</v>
      </c>
      <c r="R878" t="s">
        <v>3703</v>
      </c>
      <c r="S878" t="s">
        <v>48</v>
      </c>
      <c r="T878" t="s">
        <v>3682</v>
      </c>
      <c r="U878" t="s">
        <v>3793</v>
      </c>
      <c r="V878" t="s">
        <v>53</v>
      </c>
      <c r="W878" t="s">
        <v>4200</v>
      </c>
      <c r="X878" t="s">
        <v>4201</v>
      </c>
      <c r="Y878" t="s">
        <v>4202</v>
      </c>
      <c r="Z878" t="s">
        <v>91</v>
      </c>
    </row>
    <row r="879" spans="1:26" ht="12.75" customHeight="1" x14ac:dyDescent="0.35">
      <c r="A879">
        <v>878</v>
      </c>
      <c r="B879">
        <v>45888.368812233792</v>
      </c>
      <c r="D879" t="s">
        <v>4203</v>
      </c>
      <c r="E879" t="s">
        <v>2155</v>
      </c>
      <c r="F879" t="s">
        <v>33</v>
      </c>
      <c r="G879" t="s">
        <v>33</v>
      </c>
      <c r="H879" t="s">
        <v>28</v>
      </c>
      <c r="I879" t="s">
        <v>34</v>
      </c>
      <c r="J879" t="s">
        <v>34</v>
      </c>
      <c r="K879" t="s">
        <v>28</v>
      </c>
      <c r="L879" t="s">
        <v>36</v>
      </c>
      <c r="N879" t="s">
        <v>4135</v>
      </c>
      <c r="O879" t="s">
        <v>49</v>
      </c>
      <c r="P879" t="s">
        <v>38</v>
      </c>
      <c r="Q879" t="s">
        <v>49</v>
      </c>
      <c r="R879" t="s">
        <v>3703</v>
      </c>
      <c r="S879" t="s">
        <v>38</v>
      </c>
      <c r="T879" t="s">
        <v>3682</v>
      </c>
      <c r="U879" t="s">
        <v>3793</v>
      </c>
      <c r="V879" t="s">
        <v>53</v>
      </c>
      <c r="W879" t="s">
        <v>4204</v>
      </c>
      <c r="X879" t="s">
        <v>4201</v>
      </c>
      <c r="Y879" t="s">
        <v>4205</v>
      </c>
      <c r="Z879" t="s">
        <v>91</v>
      </c>
    </row>
    <row r="880" spans="1:26" ht="12.75" customHeight="1" x14ac:dyDescent="0.35">
      <c r="A880">
        <v>879</v>
      </c>
      <c r="B880">
        <v>45888.373751145831</v>
      </c>
      <c r="D880" t="s">
        <v>4206</v>
      </c>
      <c r="E880" t="s">
        <v>2155</v>
      </c>
      <c r="F880" t="s">
        <v>33</v>
      </c>
      <c r="G880" t="s">
        <v>33</v>
      </c>
      <c r="H880" t="s">
        <v>33</v>
      </c>
      <c r="I880" t="s">
        <v>34</v>
      </c>
      <c r="J880" t="s">
        <v>34</v>
      </c>
      <c r="K880" t="s">
        <v>74</v>
      </c>
      <c r="L880" t="s">
        <v>36</v>
      </c>
      <c r="N880" t="s">
        <v>4135</v>
      </c>
      <c r="O880" t="s">
        <v>38</v>
      </c>
      <c r="P880" t="s">
        <v>38</v>
      </c>
      <c r="Q880" t="s">
        <v>38</v>
      </c>
      <c r="R880" t="s">
        <v>3703</v>
      </c>
      <c r="S880" t="s">
        <v>38</v>
      </c>
      <c r="T880" t="s">
        <v>3682</v>
      </c>
      <c r="U880" t="s">
        <v>3793</v>
      </c>
      <c r="V880" t="s">
        <v>79</v>
      </c>
      <c r="W880" t="s">
        <v>4207</v>
      </c>
      <c r="X880" t="s">
        <v>4201</v>
      </c>
      <c r="Y880" t="s">
        <v>4208</v>
      </c>
      <c r="Z880" t="s">
        <v>91</v>
      </c>
    </row>
    <row r="881" spans="1:26" ht="12.75" customHeight="1" x14ac:dyDescent="0.35">
      <c r="A881">
        <v>880</v>
      </c>
      <c r="B881">
        <v>45888.378126736112</v>
      </c>
      <c r="D881" t="s">
        <v>4209</v>
      </c>
      <c r="E881" t="s">
        <v>4210</v>
      </c>
      <c r="F881" t="s">
        <v>29</v>
      </c>
      <c r="G881" t="s">
        <v>29</v>
      </c>
      <c r="H881" t="s">
        <v>29</v>
      </c>
      <c r="I881" t="s">
        <v>30</v>
      </c>
      <c r="J881" t="s">
        <v>30</v>
      </c>
      <c r="K881" t="s">
        <v>94</v>
      </c>
      <c r="L881" t="s">
        <v>36</v>
      </c>
      <c r="N881" t="s">
        <v>4211</v>
      </c>
      <c r="O881" t="s">
        <v>49</v>
      </c>
      <c r="P881" t="s">
        <v>49</v>
      </c>
      <c r="Q881" t="s">
        <v>49</v>
      </c>
      <c r="R881" t="s">
        <v>4212</v>
      </c>
      <c r="S881" t="s">
        <v>49</v>
      </c>
      <c r="T881" t="s">
        <v>4213</v>
      </c>
      <c r="U881" t="s">
        <v>4214</v>
      </c>
      <c r="V881" t="s">
        <v>135</v>
      </c>
      <c r="W881" t="s">
        <v>4215</v>
      </c>
      <c r="X881" t="s">
        <v>4216</v>
      </c>
      <c r="Y881" t="s">
        <v>1440</v>
      </c>
      <c r="Z881" t="s">
        <v>91</v>
      </c>
    </row>
    <row r="882" spans="1:26" ht="12.75" customHeight="1" x14ac:dyDescent="0.35">
      <c r="A882">
        <v>881</v>
      </c>
      <c r="B882">
        <v>45888.381289942132</v>
      </c>
      <c r="D882" t="s">
        <v>4217</v>
      </c>
      <c r="E882" t="s">
        <v>4218</v>
      </c>
      <c r="F882" t="s">
        <v>28</v>
      </c>
      <c r="G882" t="s">
        <v>28</v>
      </c>
      <c r="H882" t="s">
        <v>28</v>
      </c>
      <c r="I882" t="s">
        <v>28</v>
      </c>
      <c r="J882" t="s">
        <v>28</v>
      </c>
      <c r="K882" t="s">
        <v>28</v>
      </c>
      <c r="L882" t="s">
        <v>46</v>
      </c>
      <c r="N882" t="s">
        <v>4219</v>
      </c>
      <c r="O882" t="s">
        <v>49</v>
      </c>
      <c r="P882" t="s">
        <v>48</v>
      </c>
      <c r="Q882" t="s">
        <v>48</v>
      </c>
      <c r="R882" t="s">
        <v>4220</v>
      </c>
      <c r="S882" t="s">
        <v>49</v>
      </c>
      <c r="T882" t="s">
        <v>4221</v>
      </c>
      <c r="U882" t="s">
        <v>4222</v>
      </c>
      <c r="V882" t="s">
        <v>135</v>
      </c>
      <c r="W882" t="s">
        <v>4223</v>
      </c>
      <c r="X882" t="s">
        <v>2042</v>
      </c>
      <c r="Y882" t="s">
        <v>1235</v>
      </c>
      <c r="Z882" t="s">
        <v>170</v>
      </c>
    </row>
    <row r="883" spans="1:26" ht="12.75" customHeight="1" x14ac:dyDescent="0.35">
      <c r="A883">
        <v>882</v>
      </c>
      <c r="B883">
        <v>45888.38494650463</v>
      </c>
      <c r="D883" t="s">
        <v>4224</v>
      </c>
      <c r="E883" t="s">
        <v>4225</v>
      </c>
      <c r="F883" t="s">
        <v>344</v>
      </c>
      <c r="G883" t="s">
        <v>196</v>
      </c>
      <c r="H883" t="s">
        <v>29</v>
      </c>
      <c r="I883" t="s">
        <v>196</v>
      </c>
      <c r="J883" t="s">
        <v>94</v>
      </c>
      <c r="K883" t="s">
        <v>61</v>
      </c>
      <c r="L883" t="s">
        <v>36</v>
      </c>
      <c r="N883" t="s">
        <v>4226</v>
      </c>
      <c r="O883" t="s">
        <v>49</v>
      </c>
      <c r="P883" t="s">
        <v>49</v>
      </c>
      <c r="Q883" t="s">
        <v>48</v>
      </c>
      <c r="R883" t="s">
        <v>4227</v>
      </c>
      <c r="S883" t="s">
        <v>48</v>
      </c>
      <c r="T883" t="s">
        <v>4228</v>
      </c>
      <c r="U883" t="s">
        <v>4229</v>
      </c>
      <c r="V883" t="s">
        <v>87</v>
      </c>
      <c r="W883" t="s">
        <v>4230</v>
      </c>
      <c r="X883" t="s">
        <v>2042</v>
      </c>
      <c r="Y883" t="s">
        <v>647</v>
      </c>
      <c r="Z883" t="s">
        <v>129</v>
      </c>
    </row>
    <row r="884" spans="1:26" ht="12.75" customHeight="1" x14ac:dyDescent="0.35">
      <c r="A884">
        <v>883</v>
      </c>
      <c r="B884">
        <v>45888.38823542824</v>
      </c>
      <c r="D884" t="s">
        <v>4231</v>
      </c>
      <c r="E884" t="s">
        <v>1112</v>
      </c>
      <c r="F884" t="s">
        <v>28</v>
      </c>
      <c r="G884" t="s">
        <v>28</v>
      </c>
      <c r="H884" t="s">
        <v>28</v>
      </c>
      <c r="I884" t="s">
        <v>28</v>
      </c>
      <c r="J884" t="s">
        <v>28</v>
      </c>
      <c r="K884" t="s">
        <v>28</v>
      </c>
      <c r="L884" t="s">
        <v>46</v>
      </c>
      <c r="N884" t="s">
        <v>4232</v>
      </c>
      <c r="O884" t="s">
        <v>49</v>
      </c>
      <c r="P884" t="s">
        <v>49</v>
      </c>
      <c r="Q884" t="s">
        <v>49</v>
      </c>
      <c r="R884" t="s">
        <v>4233</v>
      </c>
      <c r="S884" t="s">
        <v>49</v>
      </c>
      <c r="T884" t="s">
        <v>4234</v>
      </c>
      <c r="U884" t="s">
        <v>4235</v>
      </c>
      <c r="V884" t="s">
        <v>87</v>
      </c>
      <c r="W884" t="s">
        <v>4236</v>
      </c>
      <c r="X884" t="s">
        <v>2042</v>
      </c>
      <c r="Y884" t="s">
        <v>1235</v>
      </c>
      <c r="Z884" t="s">
        <v>129</v>
      </c>
    </row>
    <row r="885" spans="1:26" ht="12.75" customHeight="1" x14ac:dyDescent="0.35">
      <c r="A885">
        <v>884</v>
      </c>
      <c r="B885">
        <v>45888.393562060184</v>
      </c>
      <c r="D885" t="s">
        <v>4237</v>
      </c>
      <c r="E885" t="s">
        <v>4238</v>
      </c>
      <c r="F885" t="s">
        <v>71</v>
      </c>
      <c r="G885" t="s">
        <v>72</v>
      </c>
      <c r="H885" t="s">
        <v>33</v>
      </c>
      <c r="I885" t="s">
        <v>72</v>
      </c>
      <c r="J885" t="s">
        <v>73</v>
      </c>
      <c r="K885" t="s">
        <v>74</v>
      </c>
      <c r="L885" t="s">
        <v>36</v>
      </c>
      <c r="N885" t="s">
        <v>4239</v>
      </c>
      <c r="O885" t="s">
        <v>48</v>
      </c>
      <c r="P885" t="s">
        <v>48</v>
      </c>
      <c r="Q885" t="s">
        <v>48</v>
      </c>
      <c r="R885" t="s">
        <v>4240</v>
      </c>
      <c r="S885" t="s">
        <v>48</v>
      </c>
      <c r="T885" t="s">
        <v>4241</v>
      </c>
      <c r="U885" t="s">
        <v>4242</v>
      </c>
      <c r="V885" t="s">
        <v>53</v>
      </c>
      <c r="W885" t="s">
        <v>4243</v>
      </c>
      <c r="X885" t="s">
        <v>2042</v>
      </c>
      <c r="Y885" t="s">
        <v>759</v>
      </c>
      <c r="Z885" t="s">
        <v>91</v>
      </c>
    </row>
    <row r="886" spans="1:26" ht="12.75" customHeight="1" x14ac:dyDescent="0.35">
      <c r="A886">
        <v>885</v>
      </c>
      <c r="B886">
        <v>45888.496067858796</v>
      </c>
      <c r="D886" t="s">
        <v>4244</v>
      </c>
      <c r="E886" t="s">
        <v>4245</v>
      </c>
      <c r="F886" t="s">
        <v>71</v>
      </c>
      <c r="G886" t="s">
        <v>72</v>
      </c>
      <c r="H886" t="s">
        <v>73</v>
      </c>
      <c r="I886" t="s">
        <v>72</v>
      </c>
      <c r="J886" t="s">
        <v>73</v>
      </c>
      <c r="K886" t="s">
        <v>73</v>
      </c>
      <c r="L886" t="s">
        <v>46</v>
      </c>
      <c r="N886" t="s">
        <v>2093</v>
      </c>
      <c r="O886" t="s">
        <v>48</v>
      </c>
      <c r="P886" t="s">
        <v>48</v>
      </c>
      <c r="Q886" t="s">
        <v>48</v>
      </c>
      <c r="R886" t="s">
        <v>4246</v>
      </c>
      <c r="S886" t="s">
        <v>48</v>
      </c>
      <c r="T886" t="s">
        <v>4247</v>
      </c>
      <c r="U886" t="s">
        <v>4248</v>
      </c>
      <c r="V886" t="s">
        <v>53</v>
      </c>
      <c r="W886" t="s">
        <v>4249</v>
      </c>
      <c r="X886" t="s">
        <v>2042</v>
      </c>
      <c r="Y886" t="s">
        <v>4250</v>
      </c>
      <c r="Z886" t="s">
        <v>91</v>
      </c>
    </row>
    <row r="887" spans="1:26" ht="12.75" customHeight="1" x14ac:dyDescent="0.35">
      <c r="A887">
        <v>886</v>
      </c>
      <c r="B887">
        <v>45888.499074317129</v>
      </c>
      <c r="D887" t="s">
        <v>4251</v>
      </c>
      <c r="E887" t="s">
        <v>4252</v>
      </c>
      <c r="F887" t="s">
        <v>28</v>
      </c>
      <c r="G887" t="s">
        <v>28</v>
      </c>
      <c r="H887" t="s">
        <v>28</v>
      </c>
      <c r="I887" t="s">
        <v>28</v>
      </c>
      <c r="J887" t="s">
        <v>28</v>
      </c>
      <c r="K887" t="s">
        <v>28</v>
      </c>
      <c r="L887" t="s">
        <v>36</v>
      </c>
      <c r="N887" t="s">
        <v>4219</v>
      </c>
      <c r="O887" t="s">
        <v>49</v>
      </c>
      <c r="P887" t="s">
        <v>49</v>
      </c>
      <c r="Q887" t="s">
        <v>49</v>
      </c>
      <c r="R887" t="s">
        <v>4253</v>
      </c>
      <c r="S887" t="s">
        <v>49</v>
      </c>
      <c r="T887" t="s">
        <v>4254</v>
      </c>
      <c r="U887" t="s">
        <v>4255</v>
      </c>
      <c r="V887" t="s">
        <v>53</v>
      </c>
      <c r="W887" t="s">
        <v>4256</v>
      </c>
      <c r="X887" t="s">
        <v>2042</v>
      </c>
      <c r="Y887" t="s">
        <v>1235</v>
      </c>
      <c r="Z887" t="s">
        <v>170</v>
      </c>
    </row>
    <row r="888" spans="1:26" ht="12.75" customHeight="1" x14ac:dyDescent="0.35">
      <c r="A888">
        <v>887</v>
      </c>
      <c r="B888">
        <v>45888.502171458334</v>
      </c>
      <c r="D888" t="s">
        <v>4257</v>
      </c>
      <c r="E888" t="s">
        <v>4258</v>
      </c>
      <c r="F888" t="s">
        <v>29</v>
      </c>
      <c r="G888" t="s">
        <v>29</v>
      </c>
      <c r="H888" t="s">
        <v>206</v>
      </c>
      <c r="I888" t="s">
        <v>30</v>
      </c>
      <c r="J888" t="s">
        <v>94</v>
      </c>
      <c r="K888" t="s">
        <v>94</v>
      </c>
      <c r="L888" t="s">
        <v>46</v>
      </c>
      <c r="N888" t="s">
        <v>4259</v>
      </c>
      <c r="O888" t="s">
        <v>49</v>
      </c>
      <c r="P888" t="s">
        <v>48</v>
      </c>
      <c r="Q888" t="s">
        <v>49</v>
      </c>
      <c r="R888" t="s">
        <v>4260</v>
      </c>
      <c r="S888" t="s">
        <v>48</v>
      </c>
      <c r="T888" t="s">
        <v>4261</v>
      </c>
      <c r="U888" t="s">
        <v>4262</v>
      </c>
      <c r="V888" t="s">
        <v>53</v>
      </c>
      <c r="W888" t="s">
        <v>4263</v>
      </c>
      <c r="X888" t="s">
        <v>2042</v>
      </c>
      <c r="Y888" t="s">
        <v>694</v>
      </c>
      <c r="Z888" t="s">
        <v>129</v>
      </c>
    </row>
    <row r="889" spans="1:26" ht="12.75" customHeight="1" x14ac:dyDescent="0.35">
      <c r="A889">
        <v>888</v>
      </c>
      <c r="B889">
        <v>45888.505952222222</v>
      </c>
      <c r="D889" t="s">
        <v>4264</v>
      </c>
      <c r="E889" t="s">
        <v>4265</v>
      </c>
      <c r="F889" t="s">
        <v>28</v>
      </c>
      <c r="G889" t="s">
        <v>28</v>
      </c>
      <c r="H889" t="s">
        <v>28</v>
      </c>
      <c r="I889" t="s">
        <v>28</v>
      </c>
      <c r="J889" t="s">
        <v>28</v>
      </c>
      <c r="K889" t="s">
        <v>28</v>
      </c>
      <c r="L889" t="s">
        <v>36</v>
      </c>
      <c r="N889" t="s">
        <v>4226</v>
      </c>
      <c r="O889" t="s">
        <v>49</v>
      </c>
      <c r="P889" t="s">
        <v>49</v>
      </c>
      <c r="Q889" t="s">
        <v>49</v>
      </c>
      <c r="R889" t="s">
        <v>4266</v>
      </c>
      <c r="S889" t="s">
        <v>49</v>
      </c>
      <c r="T889" t="s">
        <v>4267</v>
      </c>
      <c r="U889" t="s">
        <v>4268</v>
      </c>
      <c r="V889" t="s">
        <v>79</v>
      </c>
      <c r="W889" t="s">
        <v>4269</v>
      </c>
      <c r="X889" t="s">
        <v>2042</v>
      </c>
      <c r="Y889" t="s">
        <v>1235</v>
      </c>
      <c r="Z889" t="s">
        <v>91</v>
      </c>
    </row>
    <row r="890" spans="1:26" ht="12.75" customHeight="1" x14ac:dyDescent="0.35">
      <c r="A890">
        <v>889</v>
      </c>
      <c r="B890">
        <v>45888.509695057874</v>
      </c>
      <c r="D890" t="s">
        <v>4270</v>
      </c>
      <c r="E890" t="s">
        <v>1041</v>
      </c>
      <c r="F890" t="s">
        <v>344</v>
      </c>
      <c r="G890" t="s">
        <v>29</v>
      </c>
      <c r="H890" t="s">
        <v>206</v>
      </c>
      <c r="I890" t="s">
        <v>30</v>
      </c>
      <c r="J890" t="s">
        <v>94</v>
      </c>
      <c r="K890" t="s">
        <v>61</v>
      </c>
      <c r="L890" t="s">
        <v>46</v>
      </c>
      <c r="N890" t="s">
        <v>4211</v>
      </c>
      <c r="O890" t="s">
        <v>49</v>
      </c>
      <c r="P890" t="s">
        <v>48</v>
      </c>
      <c r="Q890" t="s">
        <v>48</v>
      </c>
      <c r="R890" t="s">
        <v>4271</v>
      </c>
      <c r="S890" t="s">
        <v>49</v>
      </c>
      <c r="T890" t="s">
        <v>4272</v>
      </c>
      <c r="U890" t="s">
        <v>4273</v>
      </c>
      <c r="V890" t="s">
        <v>79</v>
      </c>
      <c r="W890" t="s">
        <v>4274</v>
      </c>
      <c r="X890" t="s">
        <v>2042</v>
      </c>
      <c r="Y890" t="s">
        <v>4275</v>
      </c>
      <c r="Z890" t="s">
        <v>91</v>
      </c>
    </row>
    <row r="891" spans="1:26" ht="12.75" customHeight="1" x14ac:dyDescent="0.35">
      <c r="A891">
        <v>890</v>
      </c>
      <c r="B891">
        <v>45888.512650671299</v>
      </c>
      <c r="D891" t="s">
        <v>4276</v>
      </c>
      <c r="E891" t="s">
        <v>4277</v>
      </c>
      <c r="F891" t="s">
        <v>29</v>
      </c>
      <c r="G891" t="s">
        <v>196</v>
      </c>
      <c r="H891" t="s">
        <v>29</v>
      </c>
      <c r="I891" t="s">
        <v>196</v>
      </c>
      <c r="J891" t="s">
        <v>30</v>
      </c>
      <c r="K891" t="s">
        <v>94</v>
      </c>
      <c r="L891" t="s">
        <v>36</v>
      </c>
      <c r="N891" t="s">
        <v>4232</v>
      </c>
      <c r="O891" t="s">
        <v>49</v>
      </c>
      <c r="P891" t="s">
        <v>49</v>
      </c>
      <c r="Q891" t="s">
        <v>48</v>
      </c>
      <c r="R891" t="s">
        <v>4278</v>
      </c>
      <c r="S891" t="s">
        <v>48</v>
      </c>
      <c r="T891" t="s">
        <v>4279</v>
      </c>
      <c r="U891" t="s">
        <v>4280</v>
      </c>
      <c r="V891" t="s">
        <v>79</v>
      </c>
      <c r="W891" t="s">
        <v>4281</v>
      </c>
      <c r="X891" t="s">
        <v>2042</v>
      </c>
      <c r="Y891" t="s">
        <v>1235</v>
      </c>
      <c r="Z891" t="s">
        <v>129</v>
      </c>
    </row>
    <row r="892" spans="1:26" ht="12.75" customHeight="1" x14ac:dyDescent="0.35">
      <c r="A892">
        <v>891</v>
      </c>
      <c r="B892">
        <v>45888.515890300929</v>
      </c>
      <c r="D892" t="s">
        <v>4282</v>
      </c>
      <c r="E892" t="s">
        <v>4283</v>
      </c>
      <c r="F892" t="s">
        <v>28</v>
      </c>
      <c r="G892" t="s">
        <v>28</v>
      </c>
      <c r="H892" t="s">
        <v>28</v>
      </c>
      <c r="I892" t="s">
        <v>28</v>
      </c>
      <c r="J892" t="s">
        <v>28</v>
      </c>
      <c r="K892" t="s">
        <v>28</v>
      </c>
      <c r="L892" t="s">
        <v>46</v>
      </c>
      <c r="N892" t="s">
        <v>2093</v>
      </c>
      <c r="O892" t="s">
        <v>48</v>
      </c>
      <c r="P892" t="s">
        <v>48</v>
      </c>
      <c r="Q892" t="s">
        <v>48</v>
      </c>
      <c r="R892" t="s">
        <v>4284</v>
      </c>
      <c r="S892" t="s">
        <v>48</v>
      </c>
      <c r="T892" t="s">
        <v>4285</v>
      </c>
      <c r="U892" t="s">
        <v>4286</v>
      </c>
      <c r="V892" t="s">
        <v>79</v>
      </c>
      <c r="W892" t="s">
        <v>4287</v>
      </c>
      <c r="X892" t="s">
        <v>2042</v>
      </c>
      <c r="Y892" t="s">
        <v>4288</v>
      </c>
      <c r="Z892" t="s">
        <v>91</v>
      </c>
    </row>
    <row r="893" spans="1:26" ht="12.75" customHeight="1" x14ac:dyDescent="0.35">
      <c r="A893">
        <v>892</v>
      </c>
      <c r="B893">
        <v>45888.519315046295</v>
      </c>
      <c r="D893" t="s">
        <v>4289</v>
      </c>
      <c r="E893" t="s">
        <v>4290</v>
      </c>
      <c r="F893" t="s">
        <v>28</v>
      </c>
      <c r="G893" t="s">
        <v>28</v>
      </c>
      <c r="H893" t="s">
        <v>28</v>
      </c>
      <c r="I893" t="s">
        <v>28</v>
      </c>
      <c r="J893" t="s">
        <v>28</v>
      </c>
      <c r="K893" t="s">
        <v>28</v>
      </c>
      <c r="L893" t="s">
        <v>36</v>
      </c>
      <c r="N893" t="s">
        <v>4219</v>
      </c>
      <c r="O893" t="s">
        <v>49</v>
      </c>
      <c r="P893" t="s">
        <v>49</v>
      </c>
      <c r="Q893" t="s">
        <v>48</v>
      </c>
      <c r="R893" t="s">
        <v>4291</v>
      </c>
      <c r="S893" t="s">
        <v>48</v>
      </c>
      <c r="T893" t="s">
        <v>4292</v>
      </c>
      <c r="U893" t="s">
        <v>4293</v>
      </c>
      <c r="V893" t="s">
        <v>79</v>
      </c>
      <c r="W893" t="s">
        <v>4294</v>
      </c>
      <c r="X893" t="s">
        <v>2042</v>
      </c>
      <c r="Y893" t="s">
        <v>1235</v>
      </c>
      <c r="Z893" t="s">
        <v>91</v>
      </c>
    </row>
    <row r="894" spans="1:26" ht="12.75" customHeight="1" x14ac:dyDescent="0.35">
      <c r="A894">
        <v>893</v>
      </c>
      <c r="B894">
        <v>45888.522703194445</v>
      </c>
      <c r="D894" t="s">
        <v>4295</v>
      </c>
      <c r="E894" t="s">
        <v>4296</v>
      </c>
      <c r="F894" t="s">
        <v>71</v>
      </c>
      <c r="G894" t="s">
        <v>33</v>
      </c>
      <c r="H894" t="s">
        <v>73</v>
      </c>
      <c r="I894" t="s">
        <v>34</v>
      </c>
      <c r="J894" t="s">
        <v>34</v>
      </c>
      <c r="K894" t="s">
        <v>73</v>
      </c>
      <c r="L894" t="s">
        <v>46</v>
      </c>
      <c r="N894" t="s">
        <v>4226</v>
      </c>
      <c r="O894" t="s">
        <v>48</v>
      </c>
      <c r="P894" t="s">
        <v>48</v>
      </c>
      <c r="Q894" t="s">
        <v>48</v>
      </c>
      <c r="R894" t="s">
        <v>4297</v>
      </c>
      <c r="S894" t="s">
        <v>48</v>
      </c>
      <c r="T894" t="s">
        <v>4297</v>
      </c>
      <c r="U894" t="s">
        <v>4298</v>
      </c>
      <c r="V894" t="s">
        <v>65</v>
      </c>
      <c r="W894" t="s">
        <v>4299</v>
      </c>
      <c r="X894" t="s">
        <v>2042</v>
      </c>
      <c r="Y894" t="s">
        <v>1235</v>
      </c>
      <c r="Z894" t="s">
        <v>170</v>
      </c>
    </row>
    <row r="895" spans="1:26" ht="12.75" customHeight="1" x14ac:dyDescent="0.35">
      <c r="A895">
        <v>894</v>
      </c>
      <c r="B895">
        <v>45888.525985879634</v>
      </c>
      <c r="D895" t="s">
        <v>4300</v>
      </c>
      <c r="E895" t="s">
        <v>1320</v>
      </c>
      <c r="F895" t="s">
        <v>71</v>
      </c>
      <c r="G895" t="s">
        <v>33</v>
      </c>
      <c r="H895" t="s">
        <v>73</v>
      </c>
      <c r="I895" t="s">
        <v>34</v>
      </c>
      <c r="J895" t="s">
        <v>34</v>
      </c>
      <c r="K895" t="s">
        <v>73</v>
      </c>
      <c r="L895" t="s">
        <v>36</v>
      </c>
      <c r="N895" t="s">
        <v>4259</v>
      </c>
      <c r="O895" t="s">
        <v>49</v>
      </c>
      <c r="P895" t="s">
        <v>48</v>
      </c>
      <c r="Q895" t="s">
        <v>49</v>
      </c>
      <c r="R895" t="s">
        <v>4301</v>
      </c>
      <c r="S895" t="s">
        <v>48</v>
      </c>
      <c r="T895" t="s">
        <v>4302</v>
      </c>
      <c r="U895" t="s">
        <v>4303</v>
      </c>
      <c r="V895" t="s">
        <v>65</v>
      </c>
      <c r="W895" t="s">
        <v>4304</v>
      </c>
      <c r="X895" t="s">
        <v>109</v>
      </c>
      <c r="Y895" t="s">
        <v>1235</v>
      </c>
      <c r="Z895" t="s">
        <v>57</v>
      </c>
    </row>
    <row r="896" spans="1:26" ht="12.75" customHeight="1" x14ac:dyDescent="0.35">
      <c r="A896">
        <v>895</v>
      </c>
      <c r="B896">
        <v>45888.527704050925</v>
      </c>
      <c r="D896" t="s">
        <v>4305</v>
      </c>
      <c r="E896" t="s">
        <v>4189</v>
      </c>
      <c r="F896" t="s">
        <v>28</v>
      </c>
      <c r="G896" t="s">
        <v>28</v>
      </c>
      <c r="H896" t="s">
        <v>28</v>
      </c>
      <c r="I896" t="s">
        <v>28</v>
      </c>
      <c r="J896" t="s">
        <v>28</v>
      </c>
      <c r="K896" t="s">
        <v>28</v>
      </c>
      <c r="L896" t="s">
        <v>46</v>
      </c>
      <c r="N896" t="s">
        <v>4211</v>
      </c>
      <c r="O896" t="s">
        <v>38</v>
      </c>
      <c r="P896" t="s">
        <v>38</v>
      </c>
      <c r="Q896" t="s">
        <v>38</v>
      </c>
      <c r="R896" t="s">
        <v>4306</v>
      </c>
      <c r="S896" t="s">
        <v>38</v>
      </c>
      <c r="T896" t="s">
        <v>4307</v>
      </c>
      <c r="U896" t="s">
        <v>4308</v>
      </c>
      <c r="V896" t="s">
        <v>65</v>
      </c>
      <c r="W896" t="s">
        <v>4309</v>
      </c>
      <c r="X896" t="s">
        <v>2042</v>
      </c>
      <c r="Y896" t="s">
        <v>4310</v>
      </c>
      <c r="Z896" t="s">
        <v>91</v>
      </c>
    </row>
    <row r="897" spans="1:26" ht="12.75" customHeight="1" x14ac:dyDescent="0.35">
      <c r="A897">
        <v>896</v>
      </c>
      <c r="B897">
        <v>45888.531701018517</v>
      </c>
      <c r="D897" t="s">
        <v>4311</v>
      </c>
      <c r="E897" t="s">
        <v>4312</v>
      </c>
      <c r="F897" t="s">
        <v>344</v>
      </c>
      <c r="G897" t="s">
        <v>29</v>
      </c>
      <c r="H897" t="s">
        <v>206</v>
      </c>
      <c r="I897" t="s">
        <v>30</v>
      </c>
      <c r="J897" t="s">
        <v>173</v>
      </c>
      <c r="K897" t="s">
        <v>94</v>
      </c>
      <c r="L897" t="s">
        <v>36</v>
      </c>
      <c r="N897" t="s">
        <v>4313</v>
      </c>
      <c r="O897" t="s">
        <v>49</v>
      </c>
      <c r="P897" t="s">
        <v>49</v>
      </c>
      <c r="Q897" t="s">
        <v>49</v>
      </c>
      <c r="R897" t="s">
        <v>4314</v>
      </c>
      <c r="S897" t="s">
        <v>49</v>
      </c>
      <c r="T897" t="s">
        <v>4315</v>
      </c>
      <c r="U897" t="s">
        <v>4316</v>
      </c>
      <c r="V897" t="s">
        <v>65</v>
      </c>
      <c r="W897" t="s">
        <v>4317</v>
      </c>
      <c r="X897" t="s">
        <v>2042</v>
      </c>
      <c r="Y897" t="s">
        <v>4318</v>
      </c>
      <c r="Z897" t="s">
        <v>91</v>
      </c>
    </row>
    <row r="898" spans="1:26" ht="12.75" customHeight="1" x14ac:dyDescent="0.35">
      <c r="A898">
        <v>897</v>
      </c>
      <c r="B898">
        <v>45888.534967777778</v>
      </c>
      <c r="D898" t="s">
        <v>4319</v>
      </c>
      <c r="E898" t="s">
        <v>1520</v>
      </c>
      <c r="F898" t="s">
        <v>28</v>
      </c>
      <c r="G898" t="s">
        <v>28</v>
      </c>
      <c r="H898" t="s">
        <v>28</v>
      </c>
      <c r="I898" t="s">
        <v>28</v>
      </c>
      <c r="J898" t="s">
        <v>28</v>
      </c>
      <c r="K898" t="s">
        <v>28</v>
      </c>
      <c r="L898" t="s">
        <v>46</v>
      </c>
      <c r="N898" t="s">
        <v>4226</v>
      </c>
      <c r="O898" t="s">
        <v>49</v>
      </c>
      <c r="P898" t="s">
        <v>49</v>
      </c>
      <c r="Q898" t="s">
        <v>49</v>
      </c>
      <c r="R898" t="s">
        <v>4320</v>
      </c>
      <c r="S898" t="s">
        <v>49</v>
      </c>
      <c r="T898" t="s">
        <v>4321</v>
      </c>
      <c r="U898" t="s">
        <v>4322</v>
      </c>
      <c r="V898" t="s">
        <v>65</v>
      </c>
      <c r="W898" t="s">
        <v>4323</v>
      </c>
      <c r="X898" t="s">
        <v>2042</v>
      </c>
      <c r="Y898" t="s">
        <v>1235</v>
      </c>
      <c r="Z898" t="s">
        <v>170</v>
      </c>
    </row>
    <row r="899" spans="1:26" ht="12.75" customHeight="1" x14ac:dyDescent="0.35">
      <c r="A899">
        <v>898</v>
      </c>
      <c r="B899">
        <v>45888.537715497689</v>
      </c>
      <c r="D899" t="s">
        <v>4324</v>
      </c>
      <c r="E899" t="s">
        <v>4325</v>
      </c>
      <c r="F899" t="s">
        <v>28</v>
      </c>
      <c r="G899" t="s">
        <v>28</v>
      </c>
      <c r="H899" t="s">
        <v>28</v>
      </c>
      <c r="I899" t="s">
        <v>28</v>
      </c>
      <c r="J899" t="s">
        <v>28</v>
      </c>
      <c r="K899" t="s">
        <v>28</v>
      </c>
      <c r="L899" t="s">
        <v>36</v>
      </c>
      <c r="N899" t="s">
        <v>4219</v>
      </c>
      <c r="O899" t="s">
        <v>49</v>
      </c>
      <c r="P899" t="s">
        <v>49</v>
      </c>
      <c r="Q899" t="s">
        <v>49</v>
      </c>
      <c r="R899" t="s">
        <v>4326</v>
      </c>
      <c r="S899" t="s">
        <v>49</v>
      </c>
      <c r="T899" t="s">
        <v>4326</v>
      </c>
      <c r="U899" t="s">
        <v>4327</v>
      </c>
      <c r="V899" t="s">
        <v>65</v>
      </c>
      <c r="W899" t="s">
        <v>4328</v>
      </c>
      <c r="X899" t="s">
        <v>2042</v>
      </c>
      <c r="Y899" t="s">
        <v>4329</v>
      </c>
      <c r="Z899" t="s">
        <v>129</v>
      </c>
    </row>
    <row r="900" spans="1:26" ht="12.75" customHeight="1" x14ac:dyDescent="0.35">
      <c r="A900">
        <v>899</v>
      </c>
      <c r="B900">
        <v>45888.539554085648</v>
      </c>
      <c r="D900" t="s">
        <v>4330</v>
      </c>
      <c r="E900" t="s">
        <v>4331</v>
      </c>
      <c r="F900" t="s">
        <v>71</v>
      </c>
      <c r="G900" t="s">
        <v>33</v>
      </c>
      <c r="H900" t="s">
        <v>73</v>
      </c>
      <c r="I900" t="s">
        <v>34</v>
      </c>
      <c r="J900" t="s">
        <v>73</v>
      </c>
      <c r="K900" t="s">
        <v>73</v>
      </c>
      <c r="L900" t="s">
        <v>46</v>
      </c>
      <c r="N900" t="s">
        <v>4211</v>
      </c>
      <c r="O900" t="s">
        <v>48</v>
      </c>
      <c r="P900" t="s">
        <v>48</v>
      </c>
      <c r="Q900" t="s">
        <v>48</v>
      </c>
      <c r="R900" t="s">
        <v>4332</v>
      </c>
      <c r="S900" t="s">
        <v>48</v>
      </c>
      <c r="T900" t="s">
        <v>4333</v>
      </c>
      <c r="U900" t="s">
        <v>4334</v>
      </c>
      <c r="V900" t="s">
        <v>65</v>
      </c>
      <c r="W900" t="s">
        <v>4335</v>
      </c>
      <c r="X900" t="s">
        <v>2042</v>
      </c>
      <c r="Y900" t="s">
        <v>1235</v>
      </c>
      <c r="Z900" t="s">
        <v>129</v>
      </c>
    </row>
    <row r="901" spans="1:26" ht="12.75" customHeight="1" x14ac:dyDescent="0.35">
      <c r="A901">
        <v>900</v>
      </c>
      <c r="B901">
        <v>45888.552187604168</v>
      </c>
      <c r="D901" t="s">
        <v>4336</v>
      </c>
      <c r="E901" t="s">
        <v>4337</v>
      </c>
      <c r="F901" t="s">
        <v>28</v>
      </c>
      <c r="G901" t="s">
        <v>197</v>
      </c>
      <c r="H901" t="s">
        <v>28</v>
      </c>
      <c r="I901" t="s">
        <v>28</v>
      </c>
      <c r="J901" t="s">
        <v>28</v>
      </c>
      <c r="K901" t="s">
        <v>28</v>
      </c>
      <c r="L901" t="s">
        <v>36</v>
      </c>
      <c r="N901" t="s">
        <v>4338</v>
      </c>
      <c r="O901" t="s">
        <v>49</v>
      </c>
      <c r="P901" t="s">
        <v>49</v>
      </c>
      <c r="Q901" t="s">
        <v>38</v>
      </c>
      <c r="R901" t="s">
        <v>4339</v>
      </c>
      <c r="S901" t="s">
        <v>49</v>
      </c>
      <c r="T901" t="s">
        <v>4340</v>
      </c>
      <c r="U901" t="s">
        <v>4341</v>
      </c>
      <c r="V901" t="s">
        <v>135</v>
      </c>
      <c r="W901" t="s">
        <v>4342</v>
      </c>
      <c r="X901" t="s">
        <v>1046</v>
      </c>
      <c r="Y901" t="s">
        <v>4343</v>
      </c>
      <c r="Z901" t="s">
        <v>129</v>
      </c>
    </row>
    <row r="902" spans="1:26" ht="12.75" customHeight="1" x14ac:dyDescent="0.35">
      <c r="A902">
        <v>901</v>
      </c>
      <c r="B902">
        <v>45888.556980590278</v>
      </c>
      <c r="D902" t="s">
        <v>4344</v>
      </c>
      <c r="E902" t="s">
        <v>4345</v>
      </c>
      <c r="F902" t="s">
        <v>28</v>
      </c>
      <c r="G902" t="s">
        <v>28</v>
      </c>
      <c r="H902" t="s">
        <v>28</v>
      </c>
      <c r="I902" t="s">
        <v>28</v>
      </c>
      <c r="J902" t="s">
        <v>28</v>
      </c>
      <c r="K902" t="s">
        <v>28</v>
      </c>
      <c r="L902" t="s">
        <v>46</v>
      </c>
      <c r="N902" t="s">
        <v>1042</v>
      </c>
      <c r="O902" t="s">
        <v>49</v>
      </c>
      <c r="P902" t="s">
        <v>49</v>
      </c>
      <c r="Q902" t="s">
        <v>49</v>
      </c>
      <c r="R902" t="s">
        <v>4346</v>
      </c>
      <c r="S902" t="s">
        <v>49</v>
      </c>
      <c r="T902" t="s">
        <v>4347</v>
      </c>
      <c r="U902" t="s">
        <v>4348</v>
      </c>
      <c r="V902" t="s">
        <v>135</v>
      </c>
      <c r="W902" t="s">
        <v>4349</v>
      </c>
      <c r="X902" t="s">
        <v>1046</v>
      </c>
      <c r="Y902" t="s">
        <v>4350</v>
      </c>
      <c r="Z902" t="s">
        <v>170</v>
      </c>
    </row>
    <row r="903" spans="1:26" ht="12.75" customHeight="1" x14ac:dyDescent="0.35">
      <c r="A903">
        <v>902</v>
      </c>
      <c r="B903">
        <v>45888.561630046301</v>
      </c>
      <c r="D903" t="s">
        <v>4351</v>
      </c>
      <c r="E903" t="s">
        <v>4352</v>
      </c>
      <c r="F903" t="s">
        <v>28</v>
      </c>
      <c r="G903" t="s">
        <v>28</v>
      </c>
      <c r="H903" t="s">
        <v>28</v>
      </c>
      <c r="I903" t="s">
        <v>28</v>
      </c>
      <c r="J903" t="s">
        <v>28</v>
      </c>
      <c r="K903" t="s">
        <v>28</v>
      </c>
      <c r="L903" t="s">
        <v>36</v>
      </c>
      <c r="N903" t="s">
        <v>4353</v>
      </c>
      <c r="O903" t="s">
        <v>38</v>
      </c>
      <c r="P903" t="s">
        <v>38</v>
      </c>
      <c r="Q903" t="s">
        <v>38</v>
      </c>
      <c r="R903" t="s">
        <v>4354</v>
      </c>
      <c r="S903" t="s">
        <v>38</v>
      </c>
      <c r="T903" t="s">
        <v>4355</v>
      </c>
      <c r="U903" t="s">
        <v>4356</v>
      </c>
      <c r="V903" t="s">
        <v>87</v>
      </c>
      <c r="W903" t="s">
        <v>4357</v>
      </c>
      <c r="X903" t="s">
        <v>1046</v>
      </c>
      <c r="Y903" t="s">
        <v>4358</v>
      </c>
      <c r="Z903" t="s">
        <v>91</v>
      </c>
    </row>
    <row r="904" spans="1:26" ht="12.75" customHeight="1" x14ac:dyDescent="0.35">
      <c r="A904">
        <v>903</v>
      </c>
      <c r="B904">
        <v>45888.563789803244</v>
      </c>
      <c r="D904" t="s">
        <v>4359</v>
      </c>
      <c r="E904" t="s">
        <v>4360</v>
      </c>
      <c r="F904" t="s">
        <v>44</v>
      </c>
      <c r="G904" t="s">
        <v>44</v>
      </c>
      <c r="H904" t="s">
        <v>206</v>
      </c>
      <c r="I904" t="s">
        <v>173</v>
      </c>
      <c r="J904" t="s">
        <v>94</v>
      </c>
      <c r="K904" t="s">
        <v>94</v>
      </c>
      <c r="L904" t="s">
        <v>36</v>
      </c>
      <c r="N904" t="s">
        <v>1042</v>
      </c>
      <c r="O904" t="s">
        <v>49</v>
      </c>
      <c r="P904" t="s">
        <v>49</v>
      </c>
      <c r="Q904" t="s">
        <v>49</v>
      </c>
      <c r="R904" t="s">
        <v>4339</v>
      </c>
      <c r="S904" t="s">
        <v>48</v>
      </c>
      <c r="T904" t="s">
        <v>4361</v>
      </c>
      <c r="U904" t="s">
        <v>4362</v>
      </c>
      <c r="V904" t="s">
        <v>87</v>
      </c>
      <c r="W904" t="s">
        <v>4342</v>
      </c>
      <c r="X904" t="s">
        <v>1046</v>
      </c>
      <c r="Y904" t="s">
        <v>4363</v>
      </c>
      <c r="Z904" t="s">
        <v>129</v>
      </c>
    </row>
    <row r="905" spans="1:26" ht="12.75" customHeight="1" x14ac:dyDescent="0.35">
      <c r="A905">
        <v>904</v>
      </c>
      <c r="B905">
        <v>45888.564795520833</v>
      </c>
      <c r="D905" t="s">
        <v>4344</v>
      </c>
      <c r="E905" t="s">
        <v>4312</v>
      </c>
      <c r="F905" t="s">
        <v>60</v>
      </c>
      <c r="G905" t="s">
        <v>60</v>
      </c>
      <c r="H905" t="s">
        <v>29</v>
      </c>
      <c r="I905" t="s">
        <v>173</v>
      </c>
      <c r="J905" t="s">
        <v>173</v>
      </c>
      <c r="K905" t="s">
        <v>28</v>
      </c>
      <c r="L905" t="s">
        <v>46</v>
      </c>
      <c r="N905" t="s">
        <v>1042</v>
      </c>
      <c r="O905" t="s">
        <v>48</v>
      </c>
      <c r="P905" t="s">
        <v>49</v>
      </c>
      <c r="Q905" t="s">
        <v>49</v>
      </c>
      <c r="R905" t="s">
        <v>4346</v>
      </c>
      <c r="S905" t="s">
        <v>49</v>
      </c>
      <c r="T905" t="s">
        <v>4364</v>
      </c>
      <c r="U905" t="s">
        <v>4365</v>
      </c>
      <c r="V905" t="s">
        <v>53</v>
      </c>
      <c r="W905" t="s">
        <v>4349</v>
      </c>
      <c r="X905" t="s">
        <v>1046</v>
      </c>
      <c r="Y905" t="s">
        <v>4149</v>
      </c>
      <c r="Z905" t="s">
        <v>170</v>
      </c>
    </row>
    <row r="906" spans="1:26" ht="12.75" customHeight="1" x14ac:dyDescent="0.35">
      <c r="A906">
        <v>905</v>
      </c>
      <c r="B906">
        <v>45888.56584354167</v>
      </c>
      <c r="D906" t="s">
        <v>4351</v>
      </c>
      <c r="E906" t="s">
        <v>4352</v>
      </c>
      <c r="F906" t="s">
        <v>449</v>
      </c>
      <c r="G906" t="s">
        <v>44</v>
      </c>
      <c r="H906" t="s">
        <v>44</v>
      </c>
      <c r="I906" t="s">
        <v>196</v>
      </c>
      <c r="J906" t="s">
        <v>30</v>
      </c>
      <c r="K906" t="s">
        <v>35</v>
      </c>
      <c r="L906" t="s">
        <v>36</v>
      </c>
      <c r="N906" t="s">
        <v>1057</v>
      </c>
      <c r="O906" t="s">
        <v>49</v>
      </c>
      <c r="P906" t="s">
        <v>48</v>
      </c>
      <c r="Q906" t="s">
        <v>49</v>
      </c>
      <c r="R906" t="s">
        <v>4354</v>
      </c>
      <c r="S906" t="s">
        <v>49</v>
      </c>
      <c r="T906" t="s">
        <v>4355</v>
      </c>
      <c r="U906" t="s">
        <v>4366</v>
      </c>
      <c r="V906" t="s">
        <v>87</v>
      </c>
      <c r="W906" t="s">
        <v>4357</v>
      </c>
      <c r="X906" t="s">
        <v>1046</v>
      </c>
      <c r="Y906" t="s">
        <v>4367</v>
      </c>
      <c r="Z906" t="s">
        <v>91</v>
      </c>
    </row>
    <row r="907" spans="1:26" ht="12.75" customHeight="1" x14ac:dyDescent="0.35">
      <c r="A907">
        <v>906</v>
      </c>
      <c r="B907">
        <v>45888.566530972224</v>
      </c>
      <c r="D907" t="s">
        <v>4368</v>
      </c>
      <c r="E907" t="s">
        <v>4369</v>
      </c>
      <c r="F907" t="s">
        <v>28</v>
      </c>
      <c r="G907" t="s">
        <v>28</v>
      </c>
      <c r="H907" t="s">
        <v>28</v>
      </c>
      <c r="I907" t="s">
        <v>28</v>
      </c>
      <c r="J907" t="s">
        <v>28</v>
      </c>
      <c r="K907" t="s">
        <v>28</v>
      </c>
      <c r="L907" t="s">
        <v>46</v>
      </c>
      <c r="N907" t="s">
        <v>4370</v>
      </c>
      <c r="O907" t="s">
        <v>49</v>
      </c>
      <c r="P907" t="s">
        <v>49</v>
      </c>
      <c r="Q907" t="s">
        <v>49</v>
      </c>
      <c r="R907" t="s">
        <v>4371</v>
      </c>
      <c r="S907" t="s">
        <v>49</v>
      </c>
      <c r="T907" t="s">
        <v>4372</v>
      </c>
      <c r="U907" t="s">
        <v>4373</v>
      </c>
      <c r="V907" t="s">
        <v>135</v>
      </c>
      <c r="W907" t="s">
        <v>4374</v>
      </c>
      <c r="X907" t="s">
        <v>1046</v>
      </c>
      <c r="Y907" t="s">
        <v>1280</v>
      </c>
      <c r="Z907" t="s">
        <v>129</v>
      </c>
    </row>
    <row r="908" spans="1:26" ht="12.75" customHeight="1" x14ac:dyDescent="0.35">
      <c r="A908">
        <v>907</v>
      </c>
      <c r="B908">
        <v>45888.566967638893</v>
      </c>
      <c r="D908" t="s">
        <v>4368</v>
      </c>
      <c r="E908" t="s">
        <v>4369</v>
      </c>
      <c r="F908" t="s">
        <v>344</v>
      </c>
      <c r="G908" t="s">
        <v>44</v>
      </c>
      <c r="H908" t="s">
        <v>284</v>
      </c>
      <c r="I908" t="s">
        <v>30</v>
      </c>
      <c r="J908" t="s">
        <v>173</v>
      </c>
      <c r="K908" t="s">
        <v>368</v>
      </c>
      <c r="L908" t="s">
        <v>46</v>
      </c>
      <c r="N908" t="s">
        <v>1050</v>
      </c>
      <c r="O908" t="s">
        <v>49</v>
      </c>
      <c r="P908" t="s">
        <v>48</v>
      </c>
      <c r="Q908" t="s">
        <v>38</v>
      </c>
      <c r="R908" t="s">
        <v>4371</v>
      </c>
      <c r="S908" t="s">
        <v>49</v>
      </c>
      <c r="T908" t="s">
        <v>4375</v>
      </c>
      <c r="U908" t="s">
        <v>4373</v>
      </c>
      <c r="V908" t="s">
        <v>79</v>
      </c>
      <c r="W908" t="s">
        <v>4374</v>
      </c>
      <c r="X908" t="s">
        <v>1046</v>
      </c>
      <c r="Y908" t="s">
        <v>4376</v>
      </c>
      <c r="Z908" t="s">
        <v>129</v>
      </c>
    </row>
    <row r="909" spans="1:26" ht="12.75" customHeight="1" x14ac:dyDescent="0.35">
      <c r="A909">
        <v>908</v>
      </c>
      <c r="B909">
        <v>45888.568313344906</v>
      </c>
      <c r="D909" t="s">
        <v>4377</v>
      </c>
      <c r="E909" t="s">
        <v>4238</v>
      </c>
      <c r="F909" t="s">
        <v>28</v>
      </c>
      <c r="G909" t="s">
        <v>197</v>
      </c>
      <c r="H909" t="s">
        <v>44</v>
      </c>
      <c r="I909" t="s">
        <v>196</v>
      </c>
      <c r="J909" t="s">
        <v>103</v>
      </c>
      <c r="K909" t="s">
        <v>61</v>
      </c>
      <c r="L909" t="s">
        <v>36</v>
      </c>
      <c r="N909" t="s">
        <v>1207</v>
      </c>
      <c r="O909" t="s">
        <v>49</v>
      </c>
      <c r="P909" t="s">
        <v>49</v>
      </c>
      <c r="Q909" t="s">
        <v>48</v>
      </c>
      <c r="R909" t="s">
        <v>4378</v>
      </c>
      <c r="S909" t="s">
        <v>49</v>
      </c>
      <c r="T909" t="s">
        <v>4379</v>
      </c>
      <c r="U909" t="s">
        <v>4380</v>
      </c>
      <c r="V909" t="s">
        <v>87</v>
      </c>
      <c r="W909" t="s">
        <v>4381</v>
      </c>
      <c r="X909" t="s">
        <v>1046</v>
      </c>
      <c r="Y909" t="s">
        <v>4382</v>
      </c>
      <c r="Z909" t="s">
        <v>91</v>
      </c>
    </row>
    <row r="910" spans="1:26" ht="12.75" customHeight="1" x14ac:dyDescent="0.35">
      <c r="A910">
        <v>909</v>
      </c>
      <c r="B910">
        <v>45888.570107997686</v>
      </c>
      <c r="D910" t="s">
        <v>4383</v>
      </c>
      <c r="E910" t="s">
        <v>4384</v>
      </c>
      <c r="F910" t="s">
        <v>449</v>
      </c>
      <c r="G910" t="s">
        <v>44</v>
      </c>
      <c r="H910" t="s">
        <v>44</v>
      </c>
      <c r="I910" t="s">
        <v>196</v>
      </c>
      <c r="J910" t="s">
        <v>30</v>
      </c>
      <c r="K910" t="s">
        <v>28</v>
      </c>
      <c r="L910" t="s">
        <v>46</v>
      </c>
      <c r="N910" t="s">
        <v>1071</v>
      </c>
      <c r="O910" t="s">
        <v>49</v>
      </c>
      <c r="P910" t="s">
        <v>48</v>
      </c>
      <c r="Q910" t="s">
        <v>49</v>
      </c>
      <c r="R910" t="s">
        <v>4385</v>
      </c>
      <c r="S910" t="s">
        <v>49</v>
      </c>
      <c r="T910" t="s">
        <v>4386</v>
      </c>
      <c r="U910" t="s">
        <v>4387</v>
      </c>
      <c r="V910" t="s">
        <v>135</v>
      </c>
      <c r="W910" t="s">
        <v>4388</v>
      </c>
      <c r="X910" t="s">
        <v>1046</v>
      </c>
      <c r="Y910" t="s">
        <v>1054</v>
      </c>
      <c r="Z910" t="s">
        <v>91</v>
      </c>
    </row>
    <row r="911" spans="1:26" ht="12.75" customHeight="1" x14ac:dyDescent="0.35">
      <c r="A911">
        <v>910</v>
      </c>
      <c r="B911">
        <v>45888.571302129625</v>
      </c>
      <c r="D911" t="s">
        <v>4389</v>
      </c>
      <c r="E911" t="s">
        <v>4390</v>
      </c>
      <c r="F911" t="s">
        <v>28</v>
      </c>
      <c r="G911" t="s">
        <v>28</v>
      </c>
      <c r="H911" t="s">
        <v>28</v>
      </c>
      <c r="I911" t="s">
        <v>28</v>
      </c>
      <c r="J911" t="s">
        <v>28</v>
      </c>
      <c r="K911" t="s">
        <v>28</v>
      </c>
      <c r="L911" t="s">
        <v>36</v>
      </c>
      <c r="N911" t="s">
        <v>4391</v>
      </c>
      <c r="O911" t="s">
        <v>49</v>
      </c>
      <c r="P911" t="s">
        <v>49</v>
      </c>
      <c r="Q911" t="s">
        <v>48</v>
      </c>
      <c r="R911" t="s">
        <v>4378</v>
      </c>
      <c r="S911" t="s">
        <v>38</v>
      </c>
      <c r="T911" t="s">
        <v>4379</v>
      </c>
      <c r="U911" t="s">
        <v>4380</v>
      </c>
      <c r="V911" t="s">
        <v>135</v>
      </c>
      <c r="W911" t="s">
        <v>4381</v>
      </c>
      <c r="X911" t="s">
        <v>1046</v>
      </c>
      <c r="Y911" t="s">
        <v>1422</v>
      </c>
      <c r="Z911" t="s">
        <v>91</v>
      </c>
    </row>
    <row r="912" spans="1:26" ht="12.75" customHeight="1" x14ac:dyDescent="0.35">
      <c r="A912">
        <v>911</v>
      </c>
      <c r="B912">
        <v>45888.574000428242</v>
      </c>
      <c r="D912" t="s">
        <v>1164</v>
      </c>
      <c r="E912" t="s">
        <v>4392</v>
      </c>
      <c r="F912" t="s">
        <v>28</v>
      </c>
      <c r="G912" t="s">
        <v>60</v>
      </c>
      <c r="H912" t="s">
        <v>206</v>
      </c>
      <c r="I912" t="s">
        <v>173</v>
      </c>
      <c r="J912" t="s">
        <v>94</v>
      </c>
      <c r="K912" t="s">
        <v>73</v>
      </c>
      <c r="L912" t="s">
        <v>36</v>
      </c>
      <c r="N912" t="s">
        <v>1086</v>
      </c>
      <c r="O912" t="s">
        <v>49</v>
      </c>
      <c r="P912" t="s">
        <v>49</v>
      </c>
      <c r="Q912" t="s">
        <v>49</v>
      </c>
      <c r="R912" t="s">
        <v>4393</v>
      </c>
      <c r="S912" t="s">
        <v>48</v>
      </c>
      <c r="T912" t="s">
        <v>4394</v>
      </c>
      <c r="U912" t="s">
        <v>4395</v>
      </c>
      <c r="V912" t="s">
        <v>53</v>
      </c>
      <c r="W912" t="s">
        <v>4396</v>
      </c>
      <c r="X912" t="s">
        <v>1046</v>
      </c>
      <c r="Y912" t="s">
        <v>4397</v>
      </c>
      <c r="Z912" t="s">
        <v>170</v>
      </c>
    </row>
    <row r="913" spans="1:26" ht="12.75" customHeight="1" x14ac:dyDescent="0.35">
      <c r="A913">
        <v>912</v>
      </c>
      <c r="B913">
        <v>45888.577277870369</v>
      </c>
      <c r="D913" t="s">
        <v>4398</v>
      </c>
      <c r="E913" t="s">
        <v>1320</v>
      </c>
      <c r="F913" t="s">
        <v>60</v>
      </c>
      <c r="G913" t="s">
        <v>29</v>
      </c>
      <c r="H913" t="s">
        <v>29</v>
      </c>
      <c r="I913" t="s">
        <v>173</v>
      </c>
      <c r="J913" t="s">
        <v>173</v>
      </c>
      <c r="K913" t="s">
        <v>368</v>
      </c>
      <c r="L913" t="s">
        <v>46</v>
      </c>
      <c r="N913" t="s">
        <v>1100</v>
      </c>
      <c r="O913" t="s">
        <v>48</v>
      </c>
      <c r="P913" t="s">
        <v>49</v>
      </c>
      <c r="Q913" t="s">
        <v>49</v>
      </c>
      <c r="R913" t="s">
        <v>4399</v>
      </c>
      <c r="S913" t="s">
        <v>49</v>
      </c>
      <c r="T913" t="s">
        <v>4400</v>
      </c>
      <c r="U913" t="s">
        <v>4401</v>
      </c>
      <c r="V913" t="s">
        <v>53</v>
      </c>
      <c r="W913" t="s">
        <v>4402</v>
      </c>
      <c r="X913" t="s">
        <v>1046</v>
      </c>
      <c r="Y913" t="s">
        <v>1532</v>
      </c>
      <c r="Z913" t="s">
        <v>91</v>
      </c>
    </row>
    <row r="914" spans="1:26" ht="12.75" customHeight="1" x14ac:dyDescent="0.35">
      <c r="A914">
        <v>913</v>
      </c>
      <c r="B914">
        <v>45888.578868969911</v>
      </c>
      <c r="D914" t="s">
        <v>4403</v>
      </c>
      <c r="E914" t="s">
        <v>1041</v>
      </c>
      <c r="F914" t="s">
        <v>449</v>
      </c>
      <c r="G914" t="s">
        <v>44</v>
      </c>
      <c r="H914" t="s">
        <v>44</v>
      </c>
      <c r="I914" t="s">
        <v>173</v>
      </c>
      <c r="J914" t="s">
        <v>173</v>
      </c>
      <c r="K914" t="s">
        <v>28</v>
      </c>
      <c r="L914" t="s">
        <v>36</v>
      </c>
      <c r="N914" t="s">
        <v>1093</v>
      </c>
      <c r="O914" t="s">
        <v>49</v>
      </c>
      <c r="P914" t="s">
        <v>48</v>
      </c>
      <c r="Q914" t="s">
        <v>49</v>
      </c>
      <c r="R914" t="s">
        <v>4404</v>
      </c>
      <c r="S914" t="s">
        <v>49</v>
      </c>
      <c r="T914" t="s">
        <v>4405</v>
      </c>
      <c r="U914" t="s">
        <v>4406</v>
      </c>
      <c r="V914" t="s">
        <v>53</v>
      </c>
      <c r="W914" t="s">
        <v>4407</v>
      </c>
      <c r="X914" t="s">
        <v>1046</v>
      </c>
      <c r="Y914" t="s">
        <v>1047</v>
      </c>
      <c r="Z914" t="s">
        <v>91</v>
      </c>
    </row>
    <row r="915" spans="1:26" ht="12.75" customHeight="1" x14ac:dyDescent="0.35">
      <c r="A915">
        <v>914</v>
      </c>
      <c r="B915">
        <v>45888.580343298614</v>
      </c>
      <c r="D915" t="s">
        <v>4408</v>
      </c>
      <c r="E915" t="s">
        <v>1657</v>
      </c>
      <c r="F915" t="s">
        <v>449</v>
      </c>
      <c r="G915" t="s">
        <v>29</v>
      </c>
      <c r="H915" t="s">
        <v>206</v>
      </c>
      <c r="I915" t="s">
        <v>30</v>
      </c>
      <c r="J915" t="s">
        <v>94</v>
      </c>
      <c r="K915" t="s">
        <v>73</v>
      </c>
      <c r="L915" t="s">
        <v>46</v>
      </c>
      <c r="N915" t="s">
        <v>1120</v>
      </c>
      <c r="O915" t="s">
        <v>49</v>
      </c>
      <c r="P915" t="s">
        <v>49</v>
      </c>
      <c r="Q915" t="s">
        <v>38</v>
      </c>
      <c r="R915" t="s">
        <v>4409</v>
      </c>
      <c r="S915" t="s">
        <v>48</v>
      </c>
      <c r="T915" t="s">
        <v>4410</v>
      </c>
      <c r="U915" t="s">
        <v>4411</v>
      </c>
      <c r="V915" t="s">
        <v>87</v>
      </c>
      <c r="W915" t="s">
        <v>4412</v>
      </c>
      <c r="X915" t="s">
        <v>1046</v>
      </c>
      <c r="Y915" t="s">
        <v>4413</v>
      </c>
      <c r="Z915" t="s">
        <v>129</v>
      </c>
    </row>
    <row r="916" spans="1:26" ht="12.75" customHeight="1" x14ac:dyDescent="0.35">
      <c r="A916">
        <v>915</v>
      </c>
      <c r="B916">
        <v>45888.581963206016</v>
      </c>
      <c r="D916" t="s">
        <v>4414</v>
      </c>
      <c r="E916" t="s">
        <v>4415</v>
      </c>
      <c r="F916" t="s">
        <v>60</v>
      </c>
      <c r="G916" t="s">
        <v>29</v>
      </c>
      <c r="H916" t="s">
        <v>29</v>
      </c>
      <c r="I916" t="s">
        <v>103</v>
      </c>
      <c r="J916" t="s">
        <v>103</v>
      </c>
      <c r="K916" t="s">
        <v>28</v>
      </c>
      <c r="L916" t="s">
        <v>36</v>
      </c>
      <c r="N916" t="s">
        <v>4416</v>
      </c>
      <c r="O916" t="s">
        <v>48</v>
      </c>
      <c r="P916" t="s">
        <v>49</v>
      </c>
      <c r="Q916" t="s">
        <v>38</v>
      </c>
      <c r="R916" t="s">
        <v>4417</v>
      </c>
      <c r="S916" t="s">
        <v>38</v>
      </c>
      <c r="T916" t="s">
        <v>4418</v>
      </c>
      <c r="U916" t="s">
        <v>4419</v>
      </c>
      <c r="V916" t="s">
        <v>53</v>
      </c>
      <c r="W916" t="s">
        <v>4420</v>
      </c>
      <c r="X916" t="s">
        <v>1046</v>
      </c>
      <c r="Y916" t="s">
        <v>4421</v>
      </c>
      <c r="Z916" t="s">
        <v>91</v>
      </c>
    </row>
    <row r="917" spans="1:26" ht="12.75" customHeight="1" x14ac:dyDescent="0.35">
      <c r="A917">
        <v>916</v>
      </c>
      <c r="B917">
        <v>45888.59113429398</v>
      </c>
      <c r="D917" t="s">
        <v>4422</v>
      </c>
      <c r="E917" t="s">
        <v>4423</v>
      </c>
      <c r="F917" t="s">
        <v>60</v>
      </c>
      <c r="G917" t="s">
        <v>29</v>
      </c>
      <c r="H917" t="s">
        <v>29</v>
      </c>
      <c r="I917" t="s">
        <v>173</v>
      </c>
      <c r="J917" t="s">
        <v>173</v>
      </c>
      <c r="K917" t="s">
        <v>45</v>
      </c>
      <c r="L917" t="s">
        <v>46</v>
      </c>
      <c r="N917" t="s">
        <v>1207</v>
      </c>
      <c r="O917" t="s">
        <v>48</v>
      </c>
      <c r="P917" t="s">
        <v>49</v>
      </c>
      <c r="Q917" t="s">
        <v>49</v>
      </c>
      <c r="R917" t="s">
        <v>4424</v>
      </c>
      <c r="S917" t="s">
        <v>49</v>
      </c>
      <c r="T917" t="s">
        <v>4425</v>
      </c>
      <c r="U917" t="s">
        <v>4426</v>
      </c>
      <c r="V917" t="s">
        <v>87</v>
      </c>
      <c r="W917" t="s">
        <v>4427</v>
      </c>
      <c r="X917" t="s">
        <v>1046</v>
      </c>
      <c r="Y917" t="s">
        <v>4413</v>
      </c>
      <c r="Z917" t="s">
        <v>91</v>
      </c>
    </row>
    <row r="918" spans="1:26" ht="12.75" customHeight="1" x14ac:dyDescent="0.35">
      <c r="A918">
        <v>917</v>
      </c>
      <c r="B918">
        <v>45888.592116145832</v>
      </c>
      <c r="D918" t="s">
        <v>4428</v>
      </c>
      <c r="E918" t="s">
        <v>4429</v>
      </c>
      <c r="F918" t="s">
        <v>344</v>
      </c>
      <c r="G918" t="s">
        <v>44</v>
      </c>
      <c r="H918" t="s">
        <v>44</v>
      </c>
      <c r="I918" t="s">
        <v>30</v>
      </c>
      <c r="J918" t="s">
        <v>30</v>
      </c>
      <c r="K918" t="s">
        <v>35</v>
      </c>
      <c r="L918" t="s">
        <v>36</v>
      </c>
      <c r="N918" t="s">
        <v>1132</v>
      </c>
      <c r="O918" t="s">
        <v>49</v>
      </c>
      <c r="P918" t="s">
        <v>48</v>
      </c>
      <c r="Q918" t="s">
        <v>49</v>
      </c>
      <c r="R918" t="s">
        <v>4430</v>
      </c>
      <c r="S918" t="s">
        <v>49</v>
      </c>
      <c r="T918" t="s">
        <v>4431</v>
      </c>
      <c r="U918" t="s">
        <v>4432</v>
      </c>
      <c r="V918" t="s">
        <v>79</v>
      </c>
      <c r="W918" t="s">
        <v>4433</v>
      </c>
      <c r="X918" t="s">
        <v>1046</v>
      </c>
      <c r="Y918" t="s">
        <v>4434</v>
      </c>
      <c r="Z918" t="s">
        <v>170</v>
      </c>
    </row>
    <row r="919" spans="1:26" ht="12.75" customHeight="1" x14ac:dyDescent="0.35">
      <c r="A919">
        <v>918</v>
      </c>
      <c r="B919">
        <v>45888.593444421298</v>
      </c>
      <c r="D919" t="s">
        <v>4435</v>
      </c>
      <c r="E919" t="s">
        <v>4436</v>
      </c>
      <c r="F919" t="s">
        <v>449</v>
      </c>
      <c r="G919" t="s">
        <v>44</v>
      </c>
      <c r="H919" t="s">
        <v>284</v>
      </c>
      <c r="I919" t="s">
        <v>173</v>
      </c>
      <c r="J919" t="s">
        <v>368</v>
      </c>
      <c r="K919" t="s">
        <v>368</v>
      </c>
      <c r="L919" t="s">
        <v>46</v>
      </c>
      <c r="N919" t="s">
        <v>1086</v>
      </c>
      <c r="O919" t="s">
        <v>49</v>
      </c>
      <c r="P919" t="s">
        <v>49</v>
      </c>
      <c r="Q919" t="s">
        <v>49</v>
      </c>
      <c r="R919" t="s">
        <v>4437</v>
      </c>
      <c r="S919" t="s">
        <v>48</v>
      </c>
      <c r="T919" t="s">
        <v>4438</v>
      </c>
      <c r="U919" t="s">
        <v>4439</v>
      </c>
      <c r="V919" t="s">
        <v>87</v>
      </c>
      <c r="W919" t="s">
        <v>4440</v>
      </c>
      <c r="X919" t="s">
        <v>1046</v>
      </c>
      <c r="Y919" t="s">
        <v>1532</v>
      </c>
      <c r="Z919" t="s">
        <v>91</v>
      </c>
    </row>
    <row r="920" spans="1:26" ht="12.75" customHeight="1" x14ac:dyDescent="0.35">
      <c r="A920">
        <v>919</v>
      </c>
      <c r="B920">
        <v>45888.5946247338</v>
      </c>
      <c r="D920" t="s">
        <v>4441</v>
      </c>
      <c r="E920" t="s">
        <v>4442</v>
      </c>
      <c r="F920" t="s">
        <v>28</v>
      </c>
      <c r="G920" t="s">
        <v>197</v>
      </c>
      <c r="H920" t="s">
        <v>28</v>
      </c>
      <c r="I920" t="s">
        <v>197</v>
      </c>
      <c r="J920" t="s">
        <v>28</v>
      </c>
      <c r="K920" t="s">
        <v>292</v>
      </c>
      <c r="L920" t="s">
        <v>36</v>
      </c>
      <c r="N920" t="s">
        <v>1100</v>
      </c>
      <c r="O920" t="s">
        <v>49</v>
      </c>
      <c r="P920" t="s">
        <v>49</v>
      </c>
      <c r="Q920" t="s">
        <v>48</v>
      </c>
      <c r="R920" t="s">
        <v>4443</v>
      </c>
      <c r="S920" t="s">
        <v>49</v>
      </c>
      <c r="T920" t="s">
        <v>4444</v>
      </c>
      <c r="U920" t="s">
        <v>4445</v>
      </c>
      <c r="V920" t="s">
        <v>53</v>
      </c>
      <c r="W920" t="s">
        <v>4446</v>
      </c>
      <c r="X920" t="s">
        <v>1046</v>
      </c>
      <c r="Y920" t="s">
        <v>4397</v>
      </c>
      <c r="Z920" t="s">
        <v>91</v>
      </c>
    </row>
    <row r="921" spans="1:26" ht="12.75" customHeight="1" x14ac:dyDescent="0.35">
      <c r="A921">
        <v>920</v>
      </c>
      <c r="B921">
        <v>45888.595947384259</v>
      </c>
      <c r="D921" t="s">
        <v>4447</v>
      </c>
      <c r="E921" t="s">
        <v>4448</v>
      </c>
      <c r="F921" t="s">
        <v>377</v>
      </c>
      <c r="G921" t="s">
        <v>44</v>
      </c>
      <c r="H921" t="s">
        <v>206</v>
      </c>
      <c r="I921" t="s">
        <v>103</v>
      </c>
      <c r="J921" t="s">
        <v>94</v>
      </c>
      <c r="K921" t="s">
        <v>94</v>
      </c>
      <c r="L921" t="s">
        <v>46</v>
      </c>
      <c r="N921" t="s">
        <v>1042</v>
      </c>
      <c r="O921" t="s">
        <v>49</v>
      </c>
      <c r="P921" t="s">
        <v>49</v>
      </c>
      <c r="Q921" t="s">
        <v>49</v>
      </c>
      <c r="R921" t="s">
        <v>4449</v>
      </c>
      <c r="S921" t="s">
        <v>48</v>
      </c>
      <c r="T921" t="s">
        <v>4450</v>
      </c>
      <c r="U921" t="s">
        <v>4451</v>
      </c>
      <c r="V921" t="s">
        <v>79</v>
      </c>
      <c r="W921" t="s">
        <v>4452</v>
      </c>
      <c r="X921" t="s">
        <v>1046</v>
      </c>
      <c r="Y921" t="s">
        <v>1104</v>
      </c>
      <c r="Z921" t="s">
        <v>91</v>
      </c>
    </row>
    <row r="922" spans="1:26" ht="12.75" customHeight="1" x14ac:dyDescent="0.35">
      <c r="A922">
        <v>921</v>
      </c>
      <c r="B922">
        <v>45888.597285833333</v>
      </c>
      <c r="D922" t="s">
        <v>4453</v>
      </c>
      <c r="E922" t="s">
        <v>4454</v>
      </c>
      <c r="F922" t="s">
        <v>344</v>
      </c>
      <c r="G922" t="s">
        <v>197</v>
      </c>
      <c r="H922" t="s">
        <v>44</v>
      </c>
      <c r="I922" t="s">
        <v>30</v>
      </c>
      <c r="J922" t="s">
        <v>30</v>
      </c>
      <c r="K922" t="s">
        <v>35</v>
      </c>
      <c r="L922" t="s">
        <v>36</v>
      </c>
      <c r="N922" t="s">
        <v>1126</v>
      </c>
      <c r="O922" t="s">
        <v>49</v>
      </c>
      <c r="P922" t="s">
        <v>48</v>
      </c>
      <c r="Q922" t="s">
        <v>49</v>
      </c>
      <c r="R922" t="s">
        <v>4455</v>
      </c>
      <c r="S922" t="s">
        <v>49</v>
      </c>
      <c r="T922" t="s">
        <v>4456</v>
      </c>
      <c r="U922" t="s">
        <v>4457</v>
      </c>
      <c r="V922" t="s">
        <v>53</v>
      </c>
      <c r="W922" t="s">
        <v>4458</v>
      </c>
      <c r="X922" t="s">
        <v>1046</v>
      </c>
      <c r="Y922" t="s">
        <v>1047</v>
      </c>
      <c r="Z922" t="s">
        <v>129</v>
      </c>
    </row>
    <row r="923" spans="1:26" ht="12.75" customHeight="1" x14ac:dyDescent="0.35">
      <c r="A923">
        <v>922</v>
      </c>
      <c r="B923">
        <v>45888.599689988427</v>
      </c>
      <c r="D923" t="s">
        <v>4459</v>
      </c>
      <c r="E923" t="s">
        <v>4460</v>
      </c>
      <c r="F923" t="s">
        <v>60</v>
      </c>
      <c r="G923" t="s">
        <v>60</v>
      </c>
      <c r="H923" t="s">
        <v>44</v>
      </c>
      <c r="I923" t="s">
        <v>173</v>
      </c>
      <c r="J923" t="s">
        <v>368</v>
      </c>
      <c r="K923" t="s">
        <v>94</v>
      </c>
      <c r="L923" t="s">
        <v>46</v>
      </c>
      <c r="N923" t="s">
        <v>1050</v>
      </c>
      <c r="O923" t="s">
        <v>48</v>
      </c>
      <c r="P923" t="s">
        <v>49</v>
      </c>
      <c r="Q923" t="s">
        <v>49</v>
      </c>
      <c r="R923" t="s">
        <v>4461</v>
      </c>
      <c r="S923" t="s">
        <v>49</v>
      </c>
      <c r="T923" t="s">
        <v>4462</v>
      </c>
      <c r="U923" t="s">
        <v>4463</v>
      </c>
      <c r="V923" t="s">
        <v>53</v>
      </c>
      <c r="W923" t="s">
        <v>4464</v>
      </c>
      <c r="X923" t="s">
        <v>1046</v>
      </c>
      <c r="Y923" t="s">
        <v>4465</v>
      </c>
      <c r="Z923" t="s">
        <v>91</v>
      </c>
    </row>
    <row r="924" spans="1:26" ht="12.75" customHeight="1" x14ac:dyDescent="0.35">
      <c r="A924">
        <v>923</v>
      </c>
      <c r="B924">
        <v>45888.600924351849</v>
      </c>
      <c r="D924" t="s">
        <v>4466</v>
      </c>
      <c r="E924" t="s">
        <v>4467</v>
      </c>
      <c r="F924" t="s">
        <v>44</v>
      </c>
      <c r="G924" t="s">
        <v>60</v>
      </c>
      <c r="H924" t="s">
        <v>206</v>
      </c>
      <c r="I924" t="s">
        <v>173</v>
      </c>
      <c r="J924" t="s">
        <v>94</v>
      </c>
      <c r="K924" t="s">
        <v>73</v>
      </c>
      <c r="L924" t="s">
        <v>36</v>
      </c>
      <c r="N924" t="s">
        <v>1057</v>
      </c>
      <c r="O924" t="s">
        <v>49</v>
      </c>
      <c r="P924" t="s">
        <v>49</v>
      </c>
      <c r="Q924" t="s">
        <v>38</v>
      </c>
      <c r="R924" t="s">
        <v>4468</v>
      </c>
      <c r="S924" t="s">
        <v>48</v>
      </c>
      <c r="T924" t="s">
        <v>4469</v>
      </c>
      <c r="U924" t="s">
        <v>4470</v>
      </c>
      <c r="V924" t="s">
        <v>87</v>
      </c>
      <c r="W924" t="s">
        <v>4471</v>
      </c>
      <c r="X924" t="s">
        <v>1046</v>
      </c>
      <c r="Y924" t="s">
        <v>1532</v>
      </c>
      <c r="Z924" t="s">
        <v>129</v>
      </c>
    </row>
    <row r="925" spans="1:26" ht="12.75" customHeight="1" x14ac:dyDescent="0.35">
      <c r="A925">
        <v>924</v>
      </c>
      <c r="B925">
        <v>45888.601928229167</v>
      </c>
      <c r="D925" t="s">
        <v>4472</v>
      </c>
      <c r="E925" t="s">
        <v>4283</v>
      </c>
      <c r="F925" t="s">
        <v>29</v>
      </c>
      <c r="G925" t="s">
        <v>29</v>
      </c>
      <c r="H925" t="s">
        <v>29</v>
      </c>
      <c r="I925" t="s">
        <v>173</v>
      </c>
      <c r="J925" t="s">
        <v>173</v>
      </c>
      <c r="K925" t="s">
        <v>35</v>
      </c>
      <c r="L925" t="s">
        <v>46</v>
      </c>
      <c r="N925" t="s">
        <v>1207</v>
      </c>
      <c r="O925" t="s">
        <v>48</v>
      </c>
      <c r="P925" t="s">
        <v>49</v>
      </c>
      <c r="Q925" t="s">
        <v>49</v>
      </c>
      <c r="R925" t="s">
        <v>4473</v>
      </c>
      <c r="S925" t="s">
        <v>49</v>
      </c>
      <c r="T925" t="s">
        <v>4474</v>
      </c>
      <c r="U925" t="s">
        <v>4475</v>
      </c>
      <c r="V925" t="s">
        <v>87</v>
      </c>
      <c r="W925" t="s">
        <v>4476</v>
      </c>
      <c r="X925" t="s">
        <v>1046</v>
      </c>
      <c r="Y925" t="s">
        <v>759</v>
      </c>
      <c r="Z925" t="s">
        <v>91</v>
      </c>
    </row>
    <row r="926" spans="1:26" ht="12.75" customHeight="1" x14ac:dyDescent="0.35">
      <c r="A926">
        <v>925</v>
      </c>
      <c r="B926">
        <v>45888.603154259261</v>
      </c>
      <c r="D926" t="s">
        <v>4477</v>
      </c>
      <c r="E926" t="s">
        <v>4478</v>
      </c>
      <c r="F926" t="s">
        <v>28</v>
      </c>
      <c r="G926" t="s">
        <v>28</v>
      </c>
      <c r="H926" t="s">
        <v>28</v>
      </c>
      <c r="I926" t="s">
        <v>28</v>
      </c>
      <c r="J926" t="s">
        <v>28</v>
      </c>
      <c r="K926" t="s">
        <v>28</v>
      </c>
      <c r="L926" t="s">
        <v>46</v>
      </c>
      <c r="N926" t="s">
        <v>4479</v>
      </c>
      <c r="O926" t="s">
        <v>49</v>
      </c>
      <c r="P926" t="s">
        <v>38</v>
      </c>
      <c r="Q926" t="s">
        <v>38</v>
      </c>
      <c r="R926" t="s">
        <v>4480</v>
      </c>
      <c r="S926" t="s">
        <v>49</v>
      </c>
      <c r="T926" t="s">
        <v>4481</v>
      </c>
      <c r="U926" t="s">
        <v>4482</v>
      </c>
      <c r="V926" t="s">
        <v>87</v>
      </c>
      <c r="W926" t="s">
        <v>4483</v>
      </c>
      <c r="X926" t="s">
        <v>4484</v>
      </c>
      <c r="Y926" t="s">
        <v>1260</v>
      </c>
      <c r="Z926" t="s">
        <v>91</v>
      </c>
    </row>
    <row r="927" spans="1:26" ht="12.75" customHeight="1" x14ac:dyDescent="0.35">
      <c r="A927">
        <v>926</v>
      </c>
      <c r="B927">
        <v>45888.609261782403</v>
      </c>
      <c r="D927" t="s">
        <v>4485</v>
      </c>
      <c r="E927" t="s">
        <v>4486</v>
      </c>
      <c r="F927" t="s">
        <v>28</v>
      </c>
      <c r="G927" t="s">
        <v>28</v>
      </c>
      <c r="H927" t="s">
        <v>28</v>
      </c>
      <c r="I927" t="s">
        <v>28</v>
      </c>
      <c r="J927" t="s">
        <v>28</v>
      </c>
      <c r="K927" t="s">
        <v>28</v>
      </c>
      <c r="L927" t="s">
        <v>36</v>
      </c>
      <c r="N927" t="s">
        <v>4487</v>
      </c>
      <c r="O927" t="s">
        <v>49</v>
      </c>
      <c r="P927" t="s">
        <v>38</v>
      </c>
      <c r="Q927" t="s">
        <v>49</v>
      </c>
      <c r="R927" t="s">
        <v>4488</v>
      </c>
      <c r="S927" t="s">
        <v>38</v>
      </c>
      <c r="T927" t="s">
        <v>4489</v>
      </c>
      <c r="U927" t="s">
        <v>4490</v>
      </c>
      <c r="V927" t="s">
        <v>87</v>
      </c>
      <c r="W927" t="s">
        <v>4491</v>
      </c>
      <c r="X927" t="s">
        <v>4484</v>
      </c>
      <c r="Y927" t="s">
        <v>4492</v>
      </c>
      <c r="Z927" t="s">
        <v>129</v>
      </c>
    </row>
    <row r="928" spans="1:26" ht="12.75" customHeight="1" x14ac:dyDescent="0.35">
      <c r="A928">
        <v>927</v>
      </c>
      <c r="B928">
        <v>45888.614466041661</v>
      </c>
      <c r="D928" t="s">
        <v>4493</v>
      </c>
      <c r="E928" t="s">
        <v>3596</v>
      </c>
      <c r="F928" t="s">
        <v>28</v>
      </c>
      <c r="G928" t="s">
        <v>28</v>
      </c>
      <c r="H928" t="s">
        <v>28</v>
      </c>
      <c r="I928" t="s">
        <v>28</v>
      </c>
      <c r="J928" t="s">
        <v>28</v>
      </c>
      <c r="K928" t="s">
        <v>28</v>
      </c>
      <c r="L928" t="s">
        <v>36</v>
      </c>
      <c r="N928" t="s">
        <v>4494</v>
      </c>
      <c r="O928" t="s">
        <v>49</v>
      </c>
      <c r="P928" t="s">
        <v>38</v>
      </c>
      <c r="Q928" t="s">
        <v>49</v>
      </c>
      <c r="R928" t="s">
        <v>4495</v>
      </c>
      <c r="S928" t="s">
        <v>38</v>
      </c>
      <c r="T928" t="s">
        <v>4496</v>
      </c>
      <c r="U928" t="s">
        <v>4497</v>
      </c>
      <c r="V928" t="s">
        <v>87</v>
      </c>
      <c r="W928" t="s">
        <v>4498</v>
      </c>
      <c r="X928" t="s">
        <v>4484</v>
      </c>
      <c r="Y928" t="s">
        <v>1325</v>
      </c>
      <c r="Z928" t="s">
        <v>91</v>
      </c>
    </row>
    <row r="929" spans="1:26" ht="12.75" customHeight="1" x14ac:dyDescent="0.35">
      <c r="A929">
        <v>928</v>
      </c>
      <c r="B929">
        <v>45888.657674768518</v>
      </c>
      <c r="D929" t="s">
        <v>4499</v>
      </c>
      <c r="E929" t="s">
        <v>4500</v>
      </c>
      <c r="F929" t="s">
        <v>33</v>
      </c>
      <c r="G929" t="s">
        <v>158</v>
      </c>
      <c r="H929" t="s">
        <v>157</v>
      </c>
      <c r="I929" t="s">
        <v>103</v>
      </c>
      <c r="J929" t="s">
        <v>45</v>
      </c>
      <c r="K929" t="s">
        <v>45</v>
      </c>
      <c r="L929" t="s">
        <v>46</v>
      </c>
      <c r="N929" t="s">
        <v>4501</v>
      </c>
      <c r="O929" t="s">
        <v>38</v>
      </c>
      <c r="P929" t="s">
        <v>48</v>
      </c>
      <c r="Q929" t="s">
        <v>49</v>
      </c>
      <c r="R929" t="s">
        <v>4502</v>
      </c>
      <c r="S929" t="s">
        <v>38</v>
      </c>
      <c r="T929" t="s">
        <v>4503</v>
      </c>
      <c r="U929" t="s">
        <v>4504</v>
      </c>
      <c r="V929" t="s">
        <v>79</v>
      </c>
      <c r="X929" t="s">
        <v>4505</v>
      </c>
      <c r="Y929" t="s">
        <v>4506</v>
      </c>
      <c r="Z929" t="s">
        <v>91</v>
      </c>
    </row>
    <row r="930" spans="1:26" ht="12.75" customHeight="1" x14ac:dyDescent="0.35">
      <c r="A930">
        <v>929</v>
      </c>
      <c r="B930">
        <v>45888.664405625001</v>
      </c>
      <c r="D930" t="s">
        <v>4507</v>
      </c>
      <c r="E930" t="s">
        <v>4508</v>
      </c>
      <c r="F930" t="s">
        <v>28</v>
      </c>
      <c r="G930" t="s">
        <v>29</v>
      </c>
      <c r="H930" t="s">
        <v>60</v>
      </c>
      <c r="I930" t="s">
        <v>173</v>
      </c>
      <c r="J930" t="s">
        <v>28</v>
      </c>
      <c r="K930" t="s">
        <v>28</v>
      </c>
      <c r="L930" t="s">
        <v>36</v>
      </c>
      <c r="N930" t="s">
        <v>4509</v>
      </c>
      <c r="O930" t="s">
        <v>48</v>
      </c>
      <c r="P930" t="s">
        <v>48</v>
      </c>
      <c r="Q930" t="s">
        <v>39</v>
      </c>
      <c r="R930" t="s">
        <v>4510</v>
      </c>
      <c r="S930" t="s">
        <v>38</v>
      </c>
      <c r="T930" t="s">
        <v>4511</v>
      </c>
      <c r="U930" t="s">
        <v>4512</v>
      </c>
      <c r="V930" t="s">
        <v>65</v>
      </c>
      <c r="W930" t="s">
        <v>4513</v>
      </c>
      <c r="X930" t="s">
        <v>4514</v>
      </c>
      <c r="Y930" t="s">
        <v>4515</v>
      </c>
      <c r="Z930" t="s">
        <v>91</v>
      </c>
    </row>
    <row r="931" spans="1:26" ht="12.75" customHeight="1" x14ac:dyDescent="0.35">
      <c r="A931">
        <v>930</v>
      </c>
      <c r="B931">
        <v>45888.665261412039</v>
      </c>
      <c r="D931" t="s">
        <v>4516</v>
      </c>
      <c r="E931" t="s">
        <v>4517</v>
      </c>
      <c r="F931" t="s">
        <v>28</v>
      </c>
      <c r="G931" t="s">
        <v>33</v>
      </c>
      <c r="H931" t="s">
        <v>28</v>
      </c>
      <c r="I931" t="s">
        <v>30</v>
      </c>
      <c r="J931" t="s">
        <v>28</v>
      </c>
      <c r="K931" t="s">
        <v>45</v>
      </c>
      <c r="L931" t="s">
        <v>46</v>
      </c>
      <c r="N931" t="s">
        <v>4518</v>
      </c>
      <c r="O931" t="s">
        <v>48</v>
      </c>
      <c r="P931" t="s">
        <v>48</v>
      </c>
      <c r="Q931" t="s">
        <v>39</v>
      </c>
      <c r="R931" t="s">
        <v>4519</v>
      </c>
      <c r="S931" t="s">
        <v>48</v>
      </c>
      <c r="T931" t="s">
        <v>4520</v>
      </c>
      <c r="U931" t="s">
        <v>4521</v>
      </c>
      <c r="V931" t="s">
        <v>79</v>
      </c>
      <c r="W931" t="s">
        <v>4522</v>
      </c>
      <c r="X931" t="s">
        <v>4514</v>
      </c>
      <c r="Y931" t="s">
        <v>1117</v>
      </c>
      <c r="Z931" t="s">
        <v>170</v>
      </c>
    </row>
    <row r="932" spans="1:26" ht="12.75" customHeight="1" x14ac:dyDescent="0.35">
      <c r="A932">
        <v>931</v>
      </c>
      <c r="B932">
        <v>45888.66535516204</v>
      </c>
      <c r="D932" t="s">
        <v>4523</v>
      </c>
      <c r="E932" t="s">
        <v>4524</v>
      </c>
      <c r="F932" t="s">
        <v>44</v>
      </c>
      <c r="G932" t="s">
        <v>60</v>
      </c>
      <c r="H932" t="s">
        <v>28</v>
      </c>
      <c r="I932" t="s">
        <v>103</v>
      </c>
      <c r="J932" t="s">
        <v>103</v>
      </c>
      <c r="K932" t="s">
        <v>35</v>
      </c>
      <c r="L932" t="s">
        <v>36</v>
      </c>
      <c r="N932" t="s">
        <v>4525</v>
      </c>
      <c r="O932" t="s">
        <v>49</v>
      </c>
      <c r="P932" t="s">
        <v>38</v>
      </c>
      <c r="Q932" t="s">
        <v>38</v>
      </c>
      <c r="R932" t="s">
        <v>4526</v>
      </c>
      <c r="S932" t="s">
        <v>49</v>
      </c>
      <c r="T932" t="s">
        <v>4527</v>
      </c>
      <c r="U932" t="s">
        <v>4528</v>
      </c>
      <c r="V932" t="s">
        <v>79</v>
      </c>
      <c r="W932" t="s">
        <v>4529</v>
      </c>
      <c r="X932" t="s">
        <v>4530</v>
      </c>
      <c r="Y932" t="s">
        <v>1152</v>
      </c>
      <c r="Z932" t="s">
        <v>170</v>
      </c>
    </row>
    <row r="933" spans="1:26" ht="12.75" customHeight="1" x14ac:dyDescent="0.35">
      <c r="A933">
        <v>932</v>
      </c>
      <c r="B933">
        <v>45888.66627799769</v>
      </c>
      <c r="D933" t="s">
        <v>4531</v>
      </c>
      <c r="E933" t="s">
        <v>4532</v>
      </c>
      <c r="F933" t="s">
        <v>28</v>
      </c>
      <c r="G933" t="s">
        <v>29</v>
      </c>
      <c r="H933" t="s">
        <v>28</v>
      </c>
      <c r="I933" t="s">
        <v>30</v>
      </c>
      <c r="J933" t="s">
        <v>173</v>
      </c>
      <c r="K933" t="s">
        <v>368</v>
      </c>
      <c r="L933" t="s">
        <v>36</v>
      </c>
      <c r="N933" t="s">
        <v>4533</v>
      </c>
      <c r="O933" t="s">
        <v>48</v>
      </c>
      <c r="P933" t="s">
        <v>49</v>
      </c>
      <c r="Q933" t="s">
        <v>40</v>
      </c>
      <c r="R933" t="s">
        <v>4533</v>
      </c>
      <c r="S933" t="s">
        <v>49</v>
      </c>
      <c r="T933" t="s">
        <v>4534</v>
      </c>
      <c r="U933" t="s">
        <v>4535</v>
      </c>
      <c r="V933" t="s">
        <v>53</v>
      </c>
      <c r="W933" t="s">
        <v>4536</v>
      </c>
      <c r="X933" t="s">
        <v>4514</v>
      </c>
      <c r="Y933" t="s">
        <v>759</v>
      </c>
      <c r="Z933" t="s">
        <v>91</v>
      </c>
    </row>
    <row r="934" spans="1:26" ht="12.75" customHeight="1" x14ac:dyDescent="0.35">
      <c r="A934">
        <v>933</v>
      </c>
      <c r="B934">
        <v>45888.667302210648</v>
      </c>
      <c r="D934" t="s">
        <v>4537</v>
      </c>
      <c r="E934" t="s">
        <v>4538</v>
      </c>
      <c r="F934" t="s">
        <v>29</v>
      </c>
      <c r="G934" t="s">
        <v>60</v>
      </c>
      <c r="H934" t="s">
        <v>60</v>
      </c>
      <c r="I934" t="s">
        <v>30</v>
      </c>
      <c r="J934" t="s">
        <v>28</v>
      </c>
      <c r="K934" t="s">
        <v>28</v>
      </c>
      <c r="L934" t="s">
        <v>46</v>
      </c>
      <c r="N934" t="s">
        <v>4539</v>
      </c>
      <c r="O934" t="s">
        <v>38</v>
      </c>
      <c r="P934" t="s">
        <v>38</v>
      </c>
      <c r="Q934" t="s">
        <v>49</v>
      </c>
      <c r="R934" t="s">
        <v>4540</v>
      </c>
      <c r="S934" t="s">
        <v>48</v>
      </c>
      <c r="T934" t="s">
        <v>4541</v>
      </c>
      <c r="U934" t="s">
        <v>4542</v>
      </c>
      <c r="V934" t="s">
        <v>79</v>
      </c>
      <c r="W934" t="s">
        <v>4543</v>
      </c>
      <c r="X934" t="s">
        <v>4544</v>
      </c>
      <c r="Y934" t="s">
        <v>4545</v>
      </c>
      <c r="Z934" t="s">
        <v>91</v>
      </c>
    </row>
    <row r="935" spans="1:26" ht="12.75" customHeight="1" x14ac:dyDescent="0.35">
      <c r="A935">
        <v>934</v>
      </c>
      <c r="B935">
        <v>45888.667518969909</v>
      </c>
      <c r="D935" t="s">
        <v>4546</v>
      </c>
      <c r="E935" t="s">
        <v>4547</v>
      </c>
      <c r="F935" t="s">
        <v>28</v>
      </c>
      <c r="G935" t="s">
        <v>60</v>
      </c>
      <c r="H935" t="s">
        <v>60</v>
      </c>
      <c r="I935" t="s">
        <v>30</v>
      </c>
      <c r="J935" t="s">
        <v>45</v>
      </c>
      <c r="K935" t="s">
        <v>45</v>
      </c>
      <c r="L935" t="s">
        <v>46</v>
      </c>
      <c r="N935" t="s">
        <v>4548</v>
      </c>
      <c r="O935" t="s">
        <v>48</v>
      </c>
      <c r="P935" t="s">
        <v>48</v>
      </c>
      <c r="Q935" t="s">
        <v>38</v>
      </c>
      <c r="R935" t="s">
        <v>4549</v>
      </c>
      <c r="S935" t="s">
        <v>38</v>
      </c>
      <c r="T935" t="s">
        <v>4550</v>
      </c>
      <c r="U935" t="s">
        <v>4551</v>
      </c>
      <c r="V935" t="s">
        <v>53</v>
      </c>
      <c r="W935" t="s">
        <v>4552</v>
      </c>
      <c r="X935" t="s">
        <v>4514</v>
      </c>
      <c r="Y935" t="s">
        <v>4376</v>
      </c>
      <c r="Z935" t="s">
        <v>129</v>
      </c>
    </row>
    <row r="936" spans="1:26" ht="12.75" customHeight="1" x14ac:dyDescent="0.35">
      <c r="A936">
        <v>935</v>
      </c>
      <c r="B936">
        <v>45888.669218935189</v>
      </c>
      <c r="D936" t="s">
        <v>4553</v>
      </c>
      <c r="E936" t="s">
        <v>4554</v>
      </c>
      <c r="F936" t="s">
        <v>28</v>
      </c>
      <c r="G936" t="s">
        <v>44</v>
      </c>
      <c r="H936" t="s">
        <v>60</v>
      </c>
      <c r="I936" t="s">
        <v>173</v>
      </c>
      <c r="J936" t="s">
        <v>173</v>
      </c>
      <c r="K936" t="s">
        <v>61</v>
      </c>
      <c r="L936" t="s">
        <v>36</v>
      </c>
      <c r="N936" t="s">
        <v>4555</v>
      </c>
      <c r="O936" t="s">
        <v>38</v>
      </c>
      <c r="P936" t="s">
        <v>38</v>
      </c>
      <c r="Q936" t="s">
        <v>38</v>
      </c>
      <c r="R936" t="s">
        <v>4556</v>
      </c>
      <c r="S936" t="s">
        <v>38</v>
      </c>
      <c r="T936" t="s">
        <v>4557</v>
      </c>
      <c r="U936" t="s">
        <v>4558</v>
      </c>
      <c r="V936" t="s">
        <v>65</v>
      </c>
      <c r="W936" t="s">
        <v>4559</v>
      </c>
      <c r="X936" t="s">
        <v>4544</v>
      </c>
      <c r="Y936" t="s">
        <v>4560</v>
      </c>
      <c r="Z936" t="s">
        <v>129</v>
      </c>
    </row>
    <row r="937" spans="1:26" ht="12.75" customHeight="1" x14ac:dyDescent="0.35">
      <c r="A937">
        <v>936</v>
      </c>
      <c r="B937">
        <v>45888.669717500001</v>
      </c>
      <c r="D937" t="s">
        <v>4561</v>
      </c>
      <c r="E937" t="s">
        <v>4238</v>
      </c>
      <c r="F937" t="s">
        <v>28</v>
      </c>
      <c r="G937" t="s">
        <v>29</v>
      </c>
      <c r="H937" t="s">
        <v>60</v>
      </c>
      <c r="I937" t="s">
        <v>30</v>
      </c>
      <c r="J937" t="s">
        <v>30</v>
      </c>
      <c r="K937" t="s">
        <v>94</v>
      </c>
      <c r="L937" t="s">
        <v>36</v>
      </c>
      <c r="N937" t="s">
        <v>4562</v>
      </c>
      <c r="O937" t="s">
        <v>48</v>
      </c>
      <c r="P937" t="s">
        <v>48</v>
      </c>
      <c r="Q937" t="s">
        <v>39</v>
      </c>
      <c r="R937" t="s">
        <v>4563</v>
      </c>
      <c r="S937" t="s">
        <v>38</v>
      </c>
      <c r="T937" t="s">
        <v>4564</v>
      </c>
      <c r="U937" t="s">
        <v>4565</v>
      </c>
      <c r="V937" t="s">
        <v>65</v>
      </c>
      <c r="W937" t="s">
        <v>4566</v>
      </c>
      <c r="X937" t="s">
        <v>4514</v>
      </c>
      <c r="Y937" t="s">
        <v>4567</v>
      </c>
      <c r="Z937" t="s">
        <v>91</v>
      </c>
    </row>
    <row r="938" spans="1:26" ht="12.75" customHeight="1" x14ac:dyDescent="0.35">
      <c r="A938">
        <v>937</v>
      </c>
      <c r="B938">
        <v>45888.670564247688</v>
      </c>
      <c r="D938" t="s">
        <v>4568</v>
      </c>
      <c r="E938" t="s">
        <v>4569</v>
      </c>
      <c r="F938" t="s">
        <v>449</v>
      </c>
      <c r="G938" t="s">
        <v>29</v>
      </c>
      <c r="H938" t="s">
        <v>29</v>
      </c>
      <c r="I938" t="s">
        <v>30</v>
      </c>
      <c r="J938" t="s">
        <v>34</v>
      </c>
      <c r="K938" t="s">
        <v>45</v>
      </c>
      <c r="L938" t="s">
        <v>46</v>
      </c>
      <c r="N938" t="s">
        <v>4570</v>
      </c>
      <c r="O938" t="s">
        <v>49</v>
      </c>
      <c r="P938" t="s">
        <v>48</v>
      </c>
      <c r="Q938" t="s">
        <v>40</v>
      </c>
      <c r="R938" t="s">
        <v>4571</v>
      </c>
      <c r="S938" t="s">
        <v>38</v>
      </c>
      <c r="T938" t="s">
        <v>4572</v>
      </c>
      <c r="U938" t="s">
        <v>4573</v>
      </c>
      <c r="V938" t="s">
        <v>87</v>
      </c>
      <c r="W938" t="s">
        <v>4574</v>
      </c>
      <c r="X938" t="s">
        <v>4514</v>
      </c>
      <c r="Y938" t="s">
        <v>4575</v>
      </c>
      <c r="Z938" t="s">
        <v>170</v>
      </c>
    </row>
    <row r="939" spans="1:26" ht="12.75" customHeight="1" x14ac:dyDescent="0.35">
      <c r="A939">
        <v>938</v>
      </c>
      <c r="B939">
        <v>45888.675483715277</v>
      </c>
      <c r="D939" t="s">
        <v>4576</v>
      </c>
      <c r="E939" t="s">
        <v>4577</v>
      </c>
      <c r="F939" t="s">
        <v>28</v>
      </c>
      <c r="G939" t="s">
        <v>29</v>
      </c>
      <c r="H939" t="s">
        <v>28</v>
      </c>
      <c r="I939" t="s">
        <v>30</v>
      </c>
      <c r="J939" t="s">
        <v>34</v>
      </c>
      <c r="K939" t="s">
        <v>45</v>
      </c>
      <c r="L939" t="s">
        <v>36</v>
      </c>
      <c r="N939" t="s">
        <v>4509</v>
      </c>
      <c r="O939" t="s">
        <v>48</v>
      </c>
      <c r="P939" t="s">
        <v>48</v>
      </c>
      <c r="Q939" t="s">
        <v>39</v>
      </c>
      <c r="R939" t="s">
        <v>4578</v>
      </c>
      <c r="S939" t="s">
        <v>38</v>
      </c>
      <c r="T939" t="s">
        <v>4579</v>
      </c>
      <c r="U939" t="s">
        <v>4580</v>
      </c>
      <c r="V939" t="s">
        <v>87</v>
      </c>
      <c r="W939" t="s">
        <v>4581</v>
      </c>
      <c r="X939" t="s">
        <v>4514</v>
      </c>
      <c r="Y939" t="s">
        <v>1090</v>
      </c>
      <c r="Z939" t="s">
        <v>91</v>
      </c>
    </row>
    <row r="940" spans="1:26" ht="12.75" customHeight="1" x14ac:dyDescent="0.35">
      <c r="A940">
        <v>939</v>
      </c>
      <c r="B940">
        <v>45888.677049120372</v>
      </c>
      <c r="D940" t="s">
        <v>4582</v>
      </c>
      <c r="E940" t="s">
        <v>4583</v>
      </c>
      <c r="F940" t="s">
        <v>28</v>
      </c>
      <c r="G940" t="s">
        <v>29</v>
      </c>
      <c r="H940" t="s">
        <v>28</v>
      </c>
      <c r="I940" t="s">
        <v>30</v>
      </c>
      <c r="J940" t="s">
        <v>30</v>
      </c>
      <c r="K940" t="s">
        <v>368</v>
      </c>
      <c r="L940" t="s">
        <v>36</v>
      </c>
      <c r="N940" t="s">
        <v>4518</v>
      </c>
      <c r="O940" t="s">
        <v>48</v>
      </c>
      <c r="P940" t="s">
        <v>48</v>
      </c>
      <c r="Q940" t="s">
        <v>39</v>
      </c>
      <c r="R940" t="s">
        <v>4584</v>
      </c>
      <c r="S940" t="s">
        <v>38</v>
      </c>
      <c r="T940" t="s">
        <v>4585</v>
      </c>
      <c r="U940" t="s">
        <v>4586</v>
      </c>
      <c r="V940" t="s">
        <v>53</v>
      </c>
      <c r="W940" t="s">
        <v>4587</v>
      </c>
      <c r="X940" t="s">
        <v>4514</v>
      </c>
      <c r="Y940" t="s">
        <v>4588</v>
      </c>
      <c r="Z940" t="s">
        <v>91</v>
      </c>
    </row>
    <row r="941" spans="1:26" ht="12.75" customHeight="1" x14ac:dyDescent="0.35">
      <c r="A941">
        <v>940</v>
      </c>
      <c r="B941">
        <v>45888.678949502311</v>
      </c>
      <c r="D941" t="s">
        <v>4589</v>
      </c>
      <c r="E941" t="s">
        <v>4590</v>
      </c>
      <c r="F941" t="s">
        <v>28</v>
      </c>
      <c r="G941" t="s">
        <v>29</v>
      </c>
      <c r="H941" t="s">
        <v>28</v>
      </c>
      <c r="I941" t="s">
        <v>173</v>
      </c>
      <c r="J941" t="s">
        <v>103</v>
      </c>
      <c r="K941" t="s">
        <v>45</v>
      </c>
      <c r="L941" t="s">
        <v>36</v>
      </c>
      <c r="N941" t="s">
        <v>4591</v>
      </c>
      <c r="O941" t="s">
        <v>49</v>
      </c>
      <c r="P941" t="s">
        <v>49</v>
      </c>
      <c r="Q941" t="s">
        <v>38</v>
      </c>
      <c r="R941" t="s">
        <v>4592</v>
      </c>
      <c r="S941" t="s">
        <v>38</v>
      </c>
      <c r="T941" t="s">
        <v>4593</v>
      </c>
      <c r="U941" t="s">
        <v>4594</v>
      </c>
      <c r="V941" t="s">
        <v>53</v>
      </c>
      <c r="W941" t="s">
        <v>4595</v>
      </c>
      <c r="X941" t="s">
        <v>4514</v>
      </c>
      <c r="Y941" t="s">
        <v>4596</v>
      </c>
      <c r="Z941" t="s">
        <v>91</v>
      </c>
    </row>
    <row r="942" spans="1:26" ht="12.75" customHeight="1" x14ac:dyDescent="0.35">
      <c r="A942">
        <v>941</v>
      </c>
      <c r="B942">
        <v>45888.68007206019</v>
      </c>
      <c r="D942" t="s">
        <v>4597</v>
      </c>
      <c r="E942" t="s">
        <v>4598</v>
      </c>
      <c r="F942" t="s">
        <v>29</v>
      </c>
      <c r="G942" t="s">
        <v>29</v>
      </c>
      <c r="H942" t="s">
        <v>29</v>
      </c>
      <c r="I942" t="s">
        <v>30</v>
      </c>
      <c r="J942" t="s">
        <v>30</v>
      </c>
      <c r="K942" t="s">
        <v>45</v>
      </c>
      <c r="L942" t="s">
        <v>46</v>
      </c>
      <c r="N942" t="s">
        <v>4533</v>
      </c>
      <c r="O942" t="s">
        <v>48</v>
      </c>
      <c r="P942" t="s">
        <v>49</v>
      </c>
      <c r="Q942" t="s">
        <v>38</v>
      </c>
      <c r="R942" t="s">
        <v>4599</v>
      </c>
      <c r="S942" t="s">
        <v>38</v>
      </c>
      <c r="T942" t="s">
        <v>4600</v>
      </c>
      <c r="U942" t="s">
        <v>4601</v>
      </c>
      <c r="V942" t="s">
        <v>65</v>
      </c>
      <c r="W942" t="s">
        <v>4602</v>
      </c>
      <c r="X942" t="s">
        <v>4514</v>
      </c>
      <c r="Y942" t="s">
        <v>694</v>
      </c>
      <c r="Z942" t="s">
        <v>129</v>
      </c>
    </row>
    <row r="943" spans="1:26" ht="12.75" customHeight="1" x14ac:dyDescent="0.35">
      <c r="A943">
        <v>942</v>
      </c>
      <c r="B943">
        <v>45888.681193287033</v>
      </c>
      <c r="D943" t="s">
        <v>4603</v>
      </c>
      <c r="E943" t="s">
        <v>4604</v>
      </c>
      <c r="F943" t="s">
        <v>377</v>
      </c>
      <c r="G943" t="s">
        <v>158</v>
      </c>
      <c r="H943" t="s">
        <v>28</v>
      </c>
      <c r="I943" t="s">
        <v>28</v>
      </c>
      <c r="J943" t="s">
        <v>45</v>
      </c>
      <c r="K943" t="s">
        <v>45</v>
      </c>
      <c r="L943" t="s">
        <v>46</v>
      </c>
      <c r="N943" t="s">
        <v>4525</v>
      </c>
      <c r="O943" t="s">
        <v>49</v>
      </c>
      <c r="P943" t="s">
        <v>38</v>
      </c>
      <c r="Q943" t="s">
        <v>49</v>
      </c>
      <c r="R943" t="s">
        <v>4605</v>
      </c>
      <c r="S943" t="s">
        <v>49</v>
      </c>
      <c r="T943" t="s">
        <v>4606</v>
      </c>
      <c r="U943" t="s">
        <v>4607</v>
      </c>
      <c r="V943" t="s">
        <v>65</v>
      </c>
      <c r="W943" t="s">
        <v>4608</v>
      </c>
      <c r="X943" t="s">
        <v>4544</v>
      </c>
      <c r="Y943" t="s">
        <v>4609</v>
      </c>
      <c r="Z943" t="s">
        <v>91</v>
      </c>
    </row>
    <row r="944" spans="1:26" ht="12.75" customHeight="1" x14ac:dyDescent="0.35">
      <c r="A944">
        <v>943</v>
      </c>
      <c r="B944">
        <v>45888.681398159722</v>
      </c>
      <c r="D944" t="s">
        <v>4610</v>
      </c>
      <c r="E944" t="s">
        <v>4611</v>
      </c>
      <c r="F944" t="s">
        <v>60</v>
      </c>
      <c r="G944" t="s">
        <v>29</v>
      </c>
      <c r="H944" t="s">
        <v>33</v>
      </c>
      <c r="I944" t="s">
        <v>173</v>
      </c>
      <c r="J944" t="s">
        <v>30</v>
      </c>
      <c r="K944" t="s">
        <v>28</v>
      </c>
      <c r="L944" t="s">
        <v>36</v>
      </c>
      <c r="N944" t="s">
        <v>4548</v>
      </c>
      <c r="O944" t="s">
        <v>48</v>
      </c>
      <c r="P944" t="s">
        <v>49</v>
      </c>
      <c r="Q944" t="s">
        <v>38</v>
      </c>
      <c r="R944" t="s">
        <v>4612</v>
      </c>
      <c r="S944" t="s">
        <v>38</v>
      </c>
      <c r="T944" t="s">
        <v>4613</v>
      </c>
      <c r="U944" t="s">
        <v>4614</v>
      </c>
      <c r="V944" t="s">
        <v>65</v>
      </c>
      <c r="W944" t="s">
        <v>4615</v>
      </c>
      <c r="X944" t="s">
        <v>4514</v>
      </c>
      <c r="Y944" t="s">
        <v>4616</v>
      </c>
      <c r="Z944" t="s">
        <v>170</v>
      </c>
    </row>
    <row r="945" spans="1:26" ht="12.75" customHeight="1" x14ac:dyDescent="0.35">
      <c r="A945">
        <v>944</v>
      </c>
      <c r="B945">
        <v>45888.682686365741</v>
      </c>
      <c r="D945" t="s">
        <v>4617</v>
      </c>
      <c r="E945" t="s">
        <v>4618</v>
      </c>
      <c r="F945" t="s">
        <v>377</v>
      </c>
      <c r="G945" t="s">
        <v>158</v>
      </c>
      <c r="H945" t="s">
        <v>44</v>
      </c>
      <c r="I945" t="s">
        <v>103</v>
      </c>
      <c r="J945" t="s">
        <v>45</v>
      </c>
      <c r="K945" t="s">
        <v>28</v>
      </c>
      <c r="L945" t="s">
        <v>36</v>
      </c>
      <c r="N945" t="s">
        <v>4525</v>
      </c>
      <c r="O945" t="s">
        <v>38</v>
      </c>
      <c r="P945" t="s">
        <v>40</v>
      </c>
      <c r="Q945" t="s">
        <v>49</v>
      </c>
      <c r="R945" t="s">
        <v>4619</v>
      </c>
      <c r="S945" t="s">
        <v>38</v>
      </c>
      <c r="T945" t="s">
        <v>4620</v>
      </c>
      <c r="U945" t="s">
        <v>4621</v>
      </c>
      <c r="V945" t="s">
        <v>53</v>
      </c>
      <c r="W945" t="s">
        <v>4622</v>
      </c>
      <c r="X945" t="s">
        <v>4530</v>
      </c>
      <c r="Y945" t="s">
        <v>4623</v>
      </c>
      <c r="Z945" t="s">
        <v>91</v>
      </c>
    </row>
    <row r="946" spans="1:26" ht="12.75" customHeight="1" x14ac:dyDescent="0.35">
      <c r="A946">
        <v>945</v>
      </c>
      <c r="B946">
        <v>45888.682868993055</v>
      </c>
      <c r="D946" t="s">
        <v>4624</v>
      </c>
      <c r="E946" t="s">
        <v>4283</v>
      </c>
      <c r="F946" t="s">
        <v>28</v>
      </c>
      <c r="G946" t="s">
        <v>29</v>
      </c>
      <c r="H946" t="s">
        <v>60</v>
      </c>
      <c r="I946" t="s">
        <v>173</v>
      </c>
      <c r="J946" t="s">
        <v>173</v>
      </c>
      <c r="K946" t="s">
        <v>368</v>
      </c>
      <c r="L946" t="s">
        <v>46</v>
      </c>
      <c r="N946" t="s">
        <v>4562</v>
      </c>
      <c r="O946" t="s">
        <v>49</v>
      </c>
      <c r="P946" t="s">
        <v>49</v>
      </c>
      <c r="Q946" t="s">
        <v>38</v>
      </c>
      <c r="R946" t="s">
        <v>4625</v>
      </c>
      <c r="S946" t="s">
        <v>38</v>
      </c>
      <c r="T946" t="s">
        <v>4626</v>
      </c>
      <c r="U946" t="s">
        <v>4627</v>
      </c>
      <c r="V946" t="s">
        <v>53</v>
      </c>
      <c r="W946" t="s">
        <v>4628</v>
      </c>
      <c r="X946" t="s">
        <v>4514</v>
      </c>
      <c r="Y946" t="s">
        <v>759</v>
      </c>
      <c r="Z946" t="s">
        <v>91</v>
      </c>
    </row>
    <row r="947" spans="1:26" ht="12.75" customHeight="1" x14ac:dyDescent="0.35">
      <c r="A947">
        <v>946</v>
      </c>
      <c r="B947">
        <v>45888.684058946761</v>
      </c>
      <c r="D947" t="s">
        <v>4629</v>
      </c>
      <c r="E947" t="s">
        <v>4630</v>
      </c>
      <c r="F947" t="s">
        <v>28</v>
      </c>
      <c r="G947" t="s">
        <v>28</v>
      </c>
      <c r="H947" t="s">
        <v>28</v>
      </c>
      <c r="I947" t="s">
        <v>28</v>
      </c>
      <c r="J947" t="s">
        <v>28</v>
      </c>
      <c r="K947" t="s">
        <v>28</v>
      </c>
      <c r="L947" t="s">
        <v>36</v>
      </c>
      <c r="N947" t="s">
        <v>4509</v>
      </c>
      <c r="O947" t="s">
        <v>38</v>
      </c>
      <c r="P947" t="s">
        <v>38</v>
      </c>
      <c r="Q947" t="s">
        <v>38</v>
      </c>
      <c r="R947" t="s">
        <v>4631</v>
      </c>
      <c r="S947" t="s">
        <v>38</v>
      </c>
      <c r="T947" t="s">
        <v>4632</v>
      </c>
      <c r="U947" t="s">
        <v>4633</v>
      </c>
      <c r="V947" t="s">
        <v>79</v>
      </c>
      <c r="W947" t="s">
        <v>4634</v>
      </c>
      <c r="X947" t="s">
        <v>4514</v>
      </c>
      <c r="Y947" t="s">
        <v>4635</v>
      </c>
      <c r="Z947" t="s">
        <v>91</v>
      </c>
    </row>
    <row r="948" spans="1:26" ht="12.75" customHeight="1" x14ac:dyDescent="0.35">
      <c r="A948">
        <v>947</v>
      </c>
      <c r="B948">
        <v>45888.685115590277</v>
      </c>
      <c r="D948" t="s">
        <v>4636</v>
      </c>
      <c r="E948" t="s">
        <v>1112</v>
      </c>
      <c r="F948" t="s">
        <v>29</v>
      </c>
      <c r="G948" t="s">
        <v>33</v>
      </c>
      <c r="H948" t="s">
        <v>33</v>
      </c>
      <c r="I948" t="s">
        <v>30</v>
      </c>
      <c r="J948" t="s">
        <v>30</v>
      </c>
      <c r="K948" t="s">
        <v>368</v>
      </c>
      <c r="L948" t="s">
        <v>46</v>
      </c>
      <c r="N948" t="s">
        <v>4570</v>
      </c>
      <c r="O948" t="s">
        <v>48</v>
      </c>
      <c r="P948" t="s">
        <v>48</v>
      </c>
      <c r="Q948" t="s">
        <v>40</v>
      </c>
      <c r="R948" t="s">
        <v>4637</v>
      </c>
      <c r="S948" t="s">
        <v>38</v>
      </c>
      <c r="T948" t="s">
        <v>4638</v>
      </c>
      <c r="U948" t="s">
        <v>4639</v>
      </c>
      <c r="V948" t="s">
        <v>87</v>
      </c>
      <c r="W948" t="s">
        <v>4640</v>
      </c>
      <c r="X948" t="s">
        <v>4514</v>
      </c>
      <c r="Y948" t="s">
        <v>1532</v>
      </c>
      <c r="Z948" t="s">
        <v>91</v>
      </c>
    </row>
    <row r="949" spans="1:26" ht="12.75" customHeight="1" x14ac:dyDescent="0.35">
      <c r="A949">
        <v>948</v>
      </c>
      <c r="B949">
        <v>45888.687497071762</v>
      </c>
      <c r="D949" t="s">
        <v>4641</v>
      </c>
      <c r="E949" t="s">
        <v>4225</v>
      </c>
      <c r="F949" t="s">
        <v>28</v>
      </c>
      <c r="G949" t="s">
        <v>60</v>
      </c>
      <c r="H949" t="s">
        <v>284</v>
      </c>
      <c r="I949" t="s">
        <v>30</v>
      </c>
      <c r="J949" t="s">
        <v>28</v>
      </c>
      <c r="K949" t="s">
        <v>94</v>
      </c>
      <c r="L949" t="s">
        <v>36</v>
      </c>
      <c r="N949" t="s">
        <v>4591</v>
      </c>
      <c r="O949" t="s">
        <v>49</v>
      </c>
      <c r="P949" t="s">
        <v>48</v>
      </c>
      <c r="Q949" t="s">
        <v>40</v>
      </c>
      <c r="R949" t="s">
        <v>4642</v>
      </c>
      <c r="S949" t="s">
        <v>48</v>
      </c>
      <c r="T949" t="s">
        <v>4643</v>
      </c>
      <c r="U949" t="s">
        <v>4644</v>
      </c>
      <c r="V949" t="s">
        <v>79</v>
      </c>
      <c r="W949" t="s">
        <v>4645</v>
      </c>
      <c r="X949" t="s">
        <v>4514</v>
      </c>
      <c r="Y949" t="s">
        <v>1090</v>
      </c>
      <c r="Z949" t="s">
        <v>129</v>
      </c>
    </row>
    <row r="950" spans="1:26" ht="12.75" customHeight="1" x14ac:dyDescent="0.35">
      <c r="A950">
        <v>949</v>
      </c>
      <c r="B950">
        <v>45888.688464502316</v>
      </c>
      <c r="D950" t="s">
        <v>4646</v>
      </c>
      <c r="E950" t="s">
        <v>1041</v>
      </c>
      <c r="F950" t="s">
        <v>60</v>
      </c>
      <c r="G950" t="s">
        <v>29</v>
      </c>
      <c r="H950" t="s">
        <v>29</v>
      </c>
      <c r="I950" t="s">
        <v>28</v>
      </c>
      <c r="J950" t="s">
        <v>30</v>
      </c>
      <c r="K950" t="s">
        <v>45</v>
      </c>
      <c r="L950" t="s">
        <v>46</v>
      </c>
      <c r="N950" t="s">
        <v>4518</v>
      </c>
      <c r="O950" t="s">
        <v>48</v>
      </c>
      <c r="P950" t="s">
        <v>48</v>
      </c>
      <c r="Q950" t="s">
        <v>38</v>
      </c>
      <c r="R950" t="s">
        <v>4647</v>
      </c>
      <c r="S950" t="s">
        <v>38</v>
      </c>
      <c r="T950" t="s">
        <v>4648</v>
      </c>
      <c r="U950" t="s">
        <v>4649</v>
      </c>
      <c r="V950" t="s">
        <v>87</v>
      </c>
      <c r="W950" t="s">
        <v>4650</v>
      </c>
      <c r="X950" t="s">
        <v>4514</v>
      </c>
      <c r="Y950" t="s">
        <v>4567</v>
      </c>
      <c r="Z950" t="s">
        <v>91</v>
      </c>
    </row>
    <row r="951" spans="1:26" ht="12.75" customHeight="1" x14ac:dyDescent="0.35">
      <c r="A951">
        <v>950</v>
      </c>
      <c r="B951">
        <v>45888.689574548611</v>
      </c>
      <c r="D951" t="s">
        <v>4651</v>
      </c>
      <c r="E951" t="s">
        <v>4652</v>
      </c>
      <c r="F951" t="s">
        <v>60</v>
      </c>
      <c r="G951" t="s">
        <v>29</v>
      </c>
      <c r="H951" t="s">
        <v>284</v>
      </c>
      <c r="I951" t="s">
        <v>30</v>
      </c>
      <c r="J951" t="s">
        <v>368</v>
      </c>
      <c r="K951" t="s">
        <v>73</v>
      </c>
      <c r="L951" t="s">
        <v>36</v>
      </c>
      <c r="N951" t="s">
        <v>4548</v>
      </c>
      <c r="O951" t="s">
        <v>49</v>
      </c>
      <c r="P951" t="s">
        <v>49</v>
      </c>
      <c r="Q951" t="s">
        <v>38</v>
      </c>
      <c r="R951" t="s">
        <v>4653</v>
      </c>
      <c r="S951" t="s">
        <v>48</v>
      </c>
      <c r="T951" t="s">
        <v>4654</v>
      </c>
      <c r="U951" t="s">
        <v>4655</v>
      </c>
      <c r="V951" t="s">
        <v>53</v>
      </c>
      <c r="W951" t="s">
        <v>4656</v>
      </c>
      <c r="X951" t="s">
        <v>4514</v>
      </c>
      <c r="Y951" t="s">
        <v>4397</v>
      </c>
      <c r="Z951" t="s">
        <v>91</v>
      </c>
    </row>
    <row r="952" spans="1:26" ht="12.75" customHeight="1" x14ac:dyDescent="0.35">
      <c r="A952">
        <v>951</v>
      </c>
      <c r="B952">
        <v>45888.690758020835</v>
      </c>
      <c r="D952" t="s">
        <v>4657</v>
      </c>
      <c r="E952" t="s">
        <v>4369</v>
      </c>
      <c r="F952" t="s">
        <v>28</v>
      </c>
      <c r="G952" t="s">
        <v>60</v>
      </c>
      <c r="H952" t="s">
        <v>28</v>
      </c>
      <c r="I952" t="s">
        <v>30</v>
      </c>
      <c r="J952" t="s">
        <v>28</v>
      </c>
      <c r="K952" t="s">
        <v>73</v>
      </c>
      <c r="L952" t="s">
        <v>46</v>
      </c>
      <c r="N952" t="s">
        <v>4533</v>
      </c>
      <c r="O952" t="s">
        <v>48</v>
      </c>
      <c r="P952" t="s">
        <v>48</v>
      </c>
      <c r="Q952" t="s">
        <v>38</v>
      </c>
      <c r="R952" t="s">
        <v>4658</v>
      </c>
      <c r="S952" t="s">
        <v>48</v>
      </c>
      <c r="T952" t="s">
        <v>4659</v>
      </c>
      <c r="U952" t="s">
        <v>4660</v>
      </c>
      <c r="V952" t="s">
        <v>135</v>
      </c>
      <c r="W952" t="s">
        <v>4661</v>
      </c>
      <c r="X952" t="s">
        <v>4514</v>
      </c>
      <c r="Y952" t="s">
        <v>694</v>
      </c>
      <c r="Z952" t="s">
        <v>91</v>
      </c>
    </row>
    <row r="953" spans="1:26" ht="12.75" customHeight="1" x14ac:dyDescent="0.35">
      <c r="A953">
        <v>952</v>
      </c>
      <c r="B953">
        <v>45888.691725925921</v>
      </c>
      <c r="D953" t="s">
        <v>4662</v>
      </c>
      <c r="E953" t="s">
        <v>4663</v>
      </c>
      <c r="F953" t="s">
        <v>28</v>
      </c>
      <c r="G953" t="s">
        <v>33</v>
      </c>
      <c r="H953" t="s">
        <v>284</v>
      </c>
      <c r="I953" t="s">
        <v>30</v>
      </c>
      <c r="J953" t="s">
        <v>28</v>
      </c>
      <c r="K953" t="s">
        <v>368</v>
      </c>
      <c r="L953" t="s">
        <v>46</v>
      </c>
      <c r="N953" t="s">
        <v>4664</v>
      </c>
      <c r="O953" t="s">
        <v>49</v>
      </c>
      <c r="P953" t="s">
        <v>48</v>
      </c>
      <c r="Q953" t="s">
        <v>40</v>
      </c>
      <c r="R953" t="s">
        <v>4665</v>
      </c>
      <c r="S953" t="s">
        <v>48</v>
      </c>
      <c r="T953" t="s">
        <v>4666</v>
      </c>
      <c r="U953" t="s">
        <v>4667</v>
      </c>
      <c r="V953" t="s">
        <v>87</v>
      </c>
      <c r="W953" t="s">
        <v>4668</v>
      </c>
      <c r="X953" t="s">
        <v>4514</v>
      </c>
      <c r="Y953" t="s">
        <v>1090</v>
      </c>
      <c r="Z953" t="s">
        <v>91</v>
      </c>
    </row>
    <row r="954" spans="1:26" ht="12.75" customHeight="1" x14ac:dyDescent="0.35">
      <c r="A954">
        <v>953</v>
      </c>
      <c r="B954">
        <v>45888.692562696757</v>
      </c>
      <c r="D954" t="s">
        <v>4669</v>
      </c>
      <c r="E954" t="s">
        <v>4670</v>
      </c>
      <c r="F954" t="s">
        <v>28</v>
      </c>
      <c r="G954" t="s">
        <v>29</v>
      </c>
      <c r="H954" t="s">
        <v>206</v>
      </c>
      <c r="I954" t="s">
        <v>30</v>
      </c>
      <c r="J954" t="s">
        <v>368</v>
      </c>
      <c r="K954" t="s">
        <v>73</v>
      </c>
      <c r="L954" t="s">
        <v>46</v>
      </c>
      <c r="N954" t="s">
        <v>4509</v>
      </c>
      <c r="O954" t="s">
        <v>49</v>
      </c>
      <c r="P954" t="s">
        <v>49</v>
      </c>
      <c r="Q954" t="s">
        <v>39</v>
      </c>
      <c r="R954" t="s">
        <v>4671</v>
      </c>
      <c r="S954" t="s">
        <v>48</v>
      </c>
      <c r="T954" t="s">
        <v>4672</v>
      </c>
      <c r="U954" t="s">
        <v>4673</v>
      </c>
      <c r="V954" t="s">
        <v>87</v>
      </c>
      <c r="W954" t="s">
        <v>4674</v>
      </c>
      <c r="X954" t="s">
        <v>4514</v>
      </c>
      <c r="Y954" t="s">
        <v>1532</v>
      </c>
      <c r="Z954" t="s">
        <v>91</v>
      </c>
    </row>
    <row r="955" spans="1:26" ht="12.75" customHeight="1" x14ac:dyDescent="0.35">
      <c r="A955">
        <v>954</v>
      </c>
      <c r="B955">
        <v>45888.721321979167</v>
      </c>
      <c r="D955" t="s">
        <v>4675</v>
      </c>
      <c r="E955" t="s">
        <v>4676</v>
      </c>
      <c r="F955" t="s">
        <v>28</v>
      </c>
      <c r="G955" t="s">
        <v>60</v>
      </c>
      <c r="H955" t="s">
        <v>206</v>
      </c>
      <c r="I955" t="s">
        <v>30</v>
      </c>
      <c r="J955" t="s">
        <v>368</v>
      </c>
      <c r="K955" t="s">
        <v>73</v>
      </c>
      <c r="L955" t="s">
        <v>46</v>
      </c>
      <c r="N955" t="s">
        <v>4677</v>
      </c>
      <c r="O955" t="s">
        <v>49</v>
      </c>
      <c r="P955" t="s">
        <v>49</v>
      </c>
      <c r="Q955" t="s">
        <v>38</v>
      </c>
      <c r="R955" t="s">
        <v>4678</v>
      </c>
      <c r="S955" t="s">
        <v>48</v>
      </c>
      <c r="T955" t="s">
        <v>4679</v>
      </c>
      <c r="U955" t="s">
        <v>4680</v>
      </c>
      <c r="V955" t="s">
        <v>87</v>
      </c>
      <c r="W955" t="s">
        <v>4681</v>
      </c>
      <c r="X955" t="s">
        <v>4505</v>
      </c>
      <c r="Y955" t="s">
        <v>4588</v>
      </c>
      <c r="Z955" t="s">
        <v>91</v>
      </c>
    </row>
    <row r="956" spans="1:26" ht="12.75" customHeight="1" x14ac:dyDescent="0.35">
      <c r="A956">
        <v>955</v>
      </c>
      <c r="B956">
        <v>45888.722090243056</v>
      </c>
      <c r="D956" t="s">
        <v>4682</v>
      </c>
      <c r="E956" t="s">
        <v>1041</v>
      </c>
      <c r="F956" t="s">
        <v>28</v>
      </c>
      <c r="G956" t="s">
        <v>29</v>
      </c>
      <c r="H956" t="s">
        <v>28</v>
      </c>
      <c r="I956" t="s">
        <v>34</v>
      </c>
      <c r="J956" t="s">
        <v>28</v>
      </c>
      <c r="K956" t="s">
        <v>368</v>
      </c>
      <c r="L956" t="s">
        <v>36</v>
      </c>
      <c r="N956" t="s">
        <v>4683</v>
      </c>
      <c r="O956" t="s">
        <v>49</v>
      </c>
      <c r="P956" t="s">
        <v>49</v>
      </c>
      <c r="Q956" t="s">
        <v>40</v>
      </c>
      <c r="R956" t="s">
        <v>4684</v>
      </c>
      <c r="S956" t="s">
        <v>49</v>
      </c>
      <c r="T956" t="s">
        <v>4685</v>
      </c>
      <c r="U956" t="s">
        <v>4686</v>
      </c>
      <c r="V956" t="s">
        <v>87</v>
      </c>
      <c r="W956" t="s">
        <v>4687</v>
      </c>
      <c r="X956" t="s">
        <v>4505</v>
      </c>
      <c r="Y956" t="s">
        <v>4567</v>
      </c>
      <c r="Z956" t="s">
        <v>170</v>
      </c>
    </row>
    <row r="957" spans="1:26" ht="12.75" customHeight="1" x14ac:dyDescent="0.35">
      <c r="A957">
        <v>956</v>
      </c>
      <c r="B957">
        <v>45888.723083159726</v>
      </c>
      <c r="D957" t="s">
        <v>4688</v>
      </c>
      <c r="E957" t="s">
        <v>4283</v>
      </c>
      <c r="F957" t="s">
        <v>28</v>
      </c>
      <c r="G957" t="s">
        <v>60</v>
      </c>
      <c r="H957" t="s">
        <v>28</v>
      </c>
      <c r="I957" t="s">
        <v>30</v>
      </c>
      <c r="J957" t="s">
        <v>28</v>
      </c>
      <c r="K957" t="s">
        <v>73</v>
      </c>
      <c r="L957" t="s">
        <v>46</v>
      </c>
      <c r="N957" t="s">
        <v>4539</v>
      </c>
      <c r="O957" t="s">
        <v>48</v>
      </c>
      <c r="P957" t="s">
        <v>48</v>
      </c>
      <c r="Q957" t="s">
        <v>38</v>
      </c>
      <c r="S957" t="s">
        <v>40</v>
      </c>
      <c r="T957" t="s">
        <v>4689</v>
      </c>
      <c r="U957" t="s">
        <v>4690</v>
      </c>
      <c r="V957" t="s">
        <v>135</v>
      </c>
      <c r="W957" t="s">
        <v>4691</v>
      </c>
      <c r="X957" t="s">
        <v>4505</v>
      </c>
      <c r="Y957" t="s">
        <v>759</v>
      </c>
      <c r="Z957" t="s">
        <v>91</v>
      </c>
    </row>
    <row r="958" spans="1:26" ht="12.75" customHeight="1" x14ac:dyDescent="0.35">
      <c r="A958">
        <v>957</v>
      </c>
      <c r="B958">
        <v>45888.72438590278</v>
      </c>
      <c r="D958" t="s">
        <v>4692</v>
      </c>
      <c r="E958" t="s">
        <v>4693</v>
      </c>
      <c r="F958" t="s">
        <v>28</v>
      </c>
      <c r="G958" t="s">
        <v>44</v>
      </c>
      <c r="H958" t="s">
        <v>28</v>
      </c>
      <c r="I958" t="s">
        <v>173</v>
      </c>
      <c r="J958" t="s">
        <v>368</v>
      </c>
      <c r="K958" t="s">
        <v>94</v>
      </c>
      <c r="L958" t="s">
        <v>36</v>
      </c>
      <c r="N958" t="s">
        <v>4555</v>
      </c>
      <c r="O958" t="s">
        <v>48</v>
      </c>
      <c r="P958" t="s">
        <v>49</v>
      </c>
      <c r="Q958" t="s">
        <v>40</v>
      </c>
      <c r="R958" t="s">
        <v>4694</v>
      </c>
      <c r="S958" t="s">
        <v>48</v>
      </c>
      <c r="T958" t="s">
        <v>4695</v>
      </c>
      <c r="U958" t="s">
        <v>4696</v>
      </c>
      <c r="V958" t="s">
        <v>87</v>
      </c>
      <c r="W958" t="s">
        <v>4697</v>
      </c>
      <c r="X958" t="s">
        <v>4505</v>
      </c>
      <c r="Y958" t="s">
        <v>4397</v>
      </c>
      <c r="Z958" t="s">
        <v>91</v>
      </c>
    </row>
    <row r="959" spans="1:26" ht="12.75" customHeight="1" x14ac:dyDescent="0.35">
      <c r="A959">
        <v>958</v>
      </c>
      <c r="B959">
        <v>45888.725624178245</v>
      </c>
      <c r="D959" t="s">
        <v>4698</v>
      </c>
      <c r="E959" t="s">
        <v>4699</v>
      </c>
      <c r="F959" t="s">
        <v>449</v>
      </c>
      <c r="G959" t="s">
        <v>29</v>
      </c>
      <c r="H959" t="s">
        <v>29</v>
      </c>
      <c r="I959" t="s">
        <v>34</v>
      </c>
      <c r="J959" t="s">
        <v>28</v>
      </c>
      <c r="K959" t="s">
        <v>368</v>
      </c>
      <c r="L959" t="s">
        <v>46</v>
      </c>
      <c r="N959" t="s">
        <v>4683</v>
      </c>
      <c r="O959" t="s">
        <v>49</v>
      </c>
      <c r="P959" t="s">
        <v>48</v>
      </c>
      <c r="Q959" t="s">
        <v>39</v>
      </c>
      <c r="R959" t="s">
        <v>4700</v>
      </c>
      <c r="S959" t="s">
        <v>48</v>
      </c>
      <c r="T959" t="s">
        <v>4701</v>
      </c>
      <c r="U959" t="s">
        <v>4702</v>
      </c>
      <c r="V959" t="s">
        <v>53</v>
      </c>
      <c r="W959" t="s">
        <v>4703</v>
      </c>
      <c r="X959" t="s">
        <v>4505</v>
      </c>
      <c r="Y959" t="s">
        <v>694</v>
      </c>
      <c r="Z959" t="s">
        <v>129</v>
      </c>
    </row>
    <row r="960" spans="1:26" ht="12.75" customHeight="1" x14ac:dyDescent="0.35">
      <c r="A960">
        <v>959</v>
      </c>
      <c r="B960">
        <v>45888.728400914348</v>
      </c>
      <c r="D960" t="s">
        <v>4704</v>
      </c>
      <c r="E960" t="s">
        <v>4705</v>
      </c>
      <c r="F960" t="s">
        <v>44</v>
      </c>
      <c r="G960" t="s">
        <v>44</v>
      </c>
      <c r="H960" t="s">
        <v>28</v>
      </c>
      <c r="I960" t="s">
        <v>103</v>
      </c>
      <c r="J960" t="s">
        <v>45</v>
      </c>
      <c r="K960" t="s">
        <v>292</v>
      </c>
      <c r="L960" t="s">
        <v>36</v>
      </c>
      <c r="N960" t="s">
        <v>4706</v>
      </c>
      <c r="O960" t="s">
        <v>38</v>
      </c>
      <c r="P960" t="s">
        <v>38</v>
      </c>
      <c r="Q960" t="s">
        <v>49</v>
      </c>
      <c r="R960" t="s">
        <v>4707</v>
      </c>
      <c r="S960" t="s">
        <v>38</v>
      </c>
      <c r="T960" t="s">
        <v>4708</v>
      </c>
      <c r="U960" t="s">
        <v>4709</v>
      </c>
      <c r="V960" t="s">
        <v>53</v>
      </c>
      <c r="W960" t="s">
        <v>4710</v>
      </c>
      <c r="X960" t="s">
        <v>4711</v>
      </c>
      <c r="Y960" t="s">
        <v>4712</v>
      </c>
      <c r="Z960" t="s">
        <v>91</v>
      </c>
    </row>
    <row r="961" spans="1:26" ht="12.75" customHeight="1" x14ac:dyDescent="0.35">
      <c r="A961">
        <v>960</v>
      </c>
      <c r="B961">
        <v>45888.729987465282</v>
      </c>
      <c r="D961" t="s">
        <v>4713</v>
      </c>
      <c r="E961" t="s">
        <v>4714</v>
      </c>
      <c r="F961" t="s">
        <v>28</v>
      </c>
      <c r="G961" t="s">
        <v>60</v>
      </c>
      <c r="H961" t="s">
        <v>44</v>
      </c>
      <c r="I961" t="s">
        <v>103</v>
      </c>
      <c r="J961" t="s">
        <v>45</v>
      </c>
      <c r="K961" t="s">
        <v>28</v>
      </c>
      <c r="L961" t="s">
        <v>46</v>
      </c>
      <c r="N961" t="s">
        <v>4683</v>
      </c>
      <c r="O961" t="s">
        <v>38</v>
      </c>
      <c r="P961" t="s">
        <v>38</v>
      </c>
      <c r="Q961" t="s">
        <v>49</v>
      </c>
      <c r="R961" t="s">
        <v>4715</v>
      </c>
      <c r="S961" t="s">
        <v>38</v>
      </c>
      <c r="T961" t="s">
        <v>4716</v>
      </c>
      <c r="U961" t="s">
        <v>4717</v>
      </c>
      <c r="V961" t="s">
        <v>135</v>
      </c>
      <c r="W961" t="s">
        <v>4718</v>
      </c>
      <c r="X961" t="s">
        <v>4544</v>
      </c>
      <c r="Y961" t="s">
        <v>4719</v>
      </c>
      <c r="Z961" t="s">
        <v>170</v>
      </c>
    </row>
    <row r="962" spans="1:26" ht="12.75" customHeight="1" x14ac:dyDescent="0.35">
      <c r="A962">
        <v>961</v>
      </c>
      <c r="B962">
        <v>45888.7304540162</v>
      </c>
      <c r="D962" t="s">
        <v>4720</v>
      </c>
      <c r="E962" t="s">
        <v>4721</v>
      </c>
      <c r="F962" t="s">
        <v>28</v>
      </c>
      <c r="G962" t="s">
        <v>29</v>
      </c>
      <c r="H962" t="s">
        <v>284</v>
      </c>
      <c r="I962" t="s">
        <v>30</v>
      </c>
      <c r="J962" t="s">
        <v>45</v>
      </c>
      <c r="K962" t="s">
        <v>73</v>
      </c>
      <c r="L962" t="s">
        <v>36</v>
      </c>
      <c r="N962" t="s">
        <v>4683</v>
      </c>
      <c r="O962" t="s">
        <v>49</v>
      </c>
      <c r="P962" t="s">
        <v>49</v>
      </c>
      <c r="Q962" t="s">
        <v>39</v>
      </c>
      <c r="R962" t="s">
        <v>4722</v>
      </c>
      <c r="S962" t="s">
        <v>48</v>
      </c>
      <c r="T962" t="s">
        <v>4723</v>
      </c>
      <c r="U962" t="s">
        <v>4724</v>
      </c>
      <c r="V962" t="s">
        <v>87</v>
      </c>
      <c r="W962" t="s">
        <v>4725</v>
      </c>
      <c r="X962" t="s">
        <v>4505</v>
      </c>
      <c r="Y962" t="s">
        <v>4616</v>
      </c>
      <c r="Z962" t="s">
        <v>170</v>
      </c>
    </row>
    <row r="963" spans="1:26" ht="12.75" customHeight="1" x14ac:dyDescent="0.35">
      <c r="A963">
        <v>962</v>
      </c>
      <c r="B963">
        <v>45888.731483483796</v>
      </c>
      <c r="D963" t="s">
        <v>4726</v>
      </c>
      <c r="E963" t="s">
        <v>4727</v>
      </c>
      <c r="F963" t="s">
        <v>28</v>
      </c>
      <c r="G963" t="s">
        <v>60</v>
      </c>
      <c r="H963" t="s">
        <v>28</v>
      </c>
      <c r="I963" t="s">
        <v>34</v>
      </c>
      <c r="J963" t="s">
        <v>45</v>
      </c>
      <c r="K963" t="s">
        <v>73</v>
      </c>
      <c r="L963" t="s">
        <v>46</v>
      </c>
      <c r="N963" t="s">
        <v>4728</v>
      </c>
      <c r="O963" t="s">
        <v>49</v>
      </c>
      <c r="P963" t="s">
        <v>48</v>
      </c>
      <c r="Q963" t="s">
        <v>40</v>
      </c>
      <c r="R963" t="s">
        <v>4729</v>
      </c>
      <c r="S963" t="s">
        <v>48</v>
      </c>
      <c r="T963" t="s">
        <v>4730</v>
      </c>
      <c r="U963" t="s">
        <v>4731</v>
      </c>
      <c r="V963" t="s">
        <v>53</v>
      </c>
      <c r="W963" t="s">
        <v>4732</v>
      </c>
      <c r="X963" t="s">
        <v>4505</v>
      </c>
      <c r="Y963" t="s">
        <v>759</v>
      </c>
      <c r="Z963" t="s">
        <v>91</v>
      </c>
    </row>
    <row r="964" spans="1:26" ht="12.75" customHeight="1" x14ac:dyDescent="0.35">
      <c r="A964">
        <v>963</v>
      </c>
      <c r="B964">
        <v>45888.732095636573</v>
      </c>
      <c r="D964" t="s">
        <v>4733</v>
      </c>
      <c r="E964" t="s">
        <v>4734</v>
      </c>
      <c r="F964" t="s">
        <v>44</v>
      </c>
      <c r="G964" t="s">
        <v>28</v>
      </c>
      <c r="H964" t="s">
        <v>28</v>
      </c>
      <c r="I964" t="s">
        <v>28</v>
      </c>
      <c r="J964" t="s">
        <v>103</v>
      </c>
      <c r="K964" t="s">
        <v>28</v>
      </c>
      <c r="L964" t="s">
        <v>36</v>
      </c>
      <c r="N964" t="s">
        <v>4735</v>
      </c>
      <c r="O964" t="s">
        <v>38</v>
      </c>
      <c r="P964" t="s">
        <v>40</v>
      </c>
      <c r="Q964" t="s">
        <v>49</v>
      </c>
      <c r="R964" t="s">
        <v>4736</v>
      </c>
      <c r="S964" t="s">
        <v>38</v>
      </c>
      <c r="T964" t="s">
        <v>4737</v>
      </c>
      <c r="U964" t="s">
        <v>4738</v>
      </c>
      <c r="V964" t="s">
        <v>87</v>
      </c>
      <c r="W964" t="s">
        <v>4739</v>
      </c>
      <c r="X964" t="s">
        <v>4544</v>
      </c>
      <c r="Y964" t="s">
        <v>4560</v>
      </c>
      <c r="Z964" t="s">
        <v>91</v>
      </c>
    </row>
    <row r="965" spans="1:26" ht="12.75" customHeight="1" x14ac:dyDescent="0.35">
      <c r="A965">
        <v>964</v>
      </c>
      <c r="B965">
        <v>45888.732493333329</v>
      </c>
      <c r="D965" t="s">
        <v>4740</v>
      </c>
      <c r="E965" t="s">
        <v>4741</v>
      </c>
      <c r="F965" t="s">
        <v>28</v>
      </c>
      <c r="G965" t="s">
        <v>60</v>
      </c>
      <c r="H965" t="s">
        <v>28</v>
      </c>
      <c r="I965" t="s">
        <v>173</v>
      </c>
      <c r="J965" t="s">
        <v>28</v>
      </c>
      <c r="K965" t="s">
        <v>94</v>
      </c>
      <c r="L965" t="s">
        <v>36</v>
      </c>
      <c r="N965" t="s">
        <v>4555</v>
      </c>
      <c r="O965" t="s">
        <v>48</v>
      </c>
      <c r="P965" t="s">
        <v>48</v>
      </c>
      <c r="Q965" t="s">
        <v>38</v>
      </c>
      <c r="R965" t="s">
        <v>4742</v>
      </c>
      <c r="S965" t="s">
        <v>48</v>
      </c>
      <c r="T965" t="s">
        <v>4743</v>
      </c>
      <c r="U965" t="s">
        <v>4744</v>
      </c>
      <c r="V965" t="s">
        <v>53</v>
      </c>
      <c r="W965" t="s">
        <v>4745</v>
      </c>
      <c r="X965" t="s">
        <v>4505</v>
      </c>
      <c r="Y965" t="s">
        <v>694</v>
      </c>
      <c r="Z965" t="s">
        <v>129</v>
      </c>
    </row>
    <row r="966" spans="1:26" ht="12.75" customHeight="1" x14ac:dyDescent="0.35">
      <c r="A966">
        <v>965</v>
      </c>
      <c r="B966">
        <v>45888.733538807872</v>
      </c>
      <c r="D966" t="s">
        <v>4746</v>
      </c>
      <c r="E966" t="s">
        <v>1154</v>
      </c>
      <c r="F966" t="s">
        <v>449</v>
      </c>
      <c r="G966" t="s">
        <v>44</v>
      </c>
      <c r="H966" t="s">
        <v>284</v>
      </c>
      <c r="I966" t="s">
        <v>30</v>
      </c>
      <c r="J966" t="s">
        <v>28</v>
      </c>
      <c r="K966" t="s">
        <v>94</v>
      </c>
      <c r="L966" t="s">
        <v>36</v>
      </c>
      <c r="N966" t="s">
        <v>4683</v>
      </c>
      <c r="O966" t="s">
        <v>38</v>
      </c>
      <c r="P966" t="s">
        <v>48</v>
      </c>
      <c r="Q966" t="s">
        <v>40</v>
      </c>
      <c r="R966" t="s">
        <v>4747</v>
      </c>
      <c r="S966" t="s">
        <v>48</v>
      </c>
      <c r="T966" t="s">
        <v>4748</v>
      </c>
      <c r="U966" t="s">
        <v>4749</v>
      </c>
      <c r="V966" t="s">
        <v>79</v>
      </c>
      <c r="W966" t="s">
        <v>4750</v>
      </c>
      <c r="X966" t="s">
        <v>4505</v>
      </c>
      <c r="Y966" t="s">
        <v>1310</v>
      </c>
      <c r="Z966" t="s">
        <v>91</v>
      </c>
    </row>
    <row r="967" spans="1:26" ht="12.75" customHeight="1" x14ac:dyDescent="0.35">
      <c r="A967">
        <v>966</v>
      </c>
      <c r="B967">
        <v>45888.73451303241</v>
      </c>
      <c r="D967" t="s">
        <v>4751</v>
      </c>
      <c r="E967" t="s">
        <v>4752</v>
      </c>
      <c r="F967" t="s">
        <v>377</v>
      </c>
      <c r="G967" t="s">
        <v>28</v>
      </c>
      <c r="H967" t="s">
        <v>28</v>
      </c>
      <c r="I967" t="s">
        <v>28</v>
      </c>
      <c r="J967" t="s">
        <v>103</v>
      </c>
      <c r="K967" t="s">
        <v>28</v>
      </c>
      <c r="L967" t="s">
        <v>46</v>
      </c>
      <c r="N967" t="s">
        <v>4677</v>
      </c>
      <c r="O967" t="s">
        <v>38</v>
      </c>
      <c r="P967" t="s">
        <v>38</v>
      </c>
      <c r="Q967" t="s">
        <v>49</v>
      </c>
      <c r="R967" t="s">
        <v>4753</v>
      </c>
      <c r="S967" t="s">
        <v>38</v>
      </c>
      <c r="T967" t="s">
        <v>4754</v>
      </c>
      <c r="U967" t="s">
        <v>4755</v>
      </c>
      <c r="V967" t="s">
        <v>87</v>
      </c>
      <c r="W967" t="s">
        <v>4756</v>
      </c>
      <c r="X967" t="s">
        <v>4544</v>
      </c>
      <c r="Y967" t="s">
        <v>4757</v>
      </c>
      <c r="Z967" t="s">
        <v>91</v>
      </c>
    </row>
    <row r="968" spans="1:26" ht="12.75" customHeight="1" x14ac:dyDescent="0.35">
      <c r="A968">
        <v>967</v>
      </c>
      <c r="B968">
        <v>45888.73629976852</v>
      </c>
      <c r="D968" t="s">
        <v>4758</v>
      </c>
      <c r="E968" t="s">
        <v>4759</v>
      </c>
      <c r="F968" t="s">
        <v>28</v>
      </c>
      <c r="G968" t="s">
        <v>28</v>
      </c>
      <c r="H968" t="s">
        <v>284</v>
      </c>
      <c r="I968" t="s">
        <v>28</v>
      </c>
      <c r="J968" t="s">
        <v>103</v>
      </c>
      <c r="K968" t="s">
        <v>35</v>
      </c>
      <c r="L968" t="s">
        <v>36</v>
      </c>
      <c r="N968" t="s">
        <v>4539</v>
      </c>
      <c r="O968" t="s">
        <v>38</v>
      </c>
      <c r="P968" t="s">
        <v>38</v>
      </c>
      <c r="Q968" t="s">
        <v>49</v>
      </c>
      <c r="R968" t="s">
        <v>4760</v>
      </c>
      <c r="S968" t="s">
        <v>38</v>
      </c>
      <c r="T968" t="s">
        <v>4761</v>
      </c>
      <c r="U968" t="s">
        <v>4762</v>
      </c>
      <c r="V968" t="s">
        <v>135</v>
      </c>
      <c r="W968" t="s">
        <v>4763</v>
      </c>
      <c r="X968" t="s">
        <v>4544</v>
      </c>
      <c r="Y968" t="s">
        <v>4764</v>
      </c>
      <c r="Z968" t="s">
        <v>91</v>
      </c>
    </row>
    <row r="969" spans="1:26" ht="12.75" customHeight="1" x14ac:dyDescent="0.35">
      <c r="A969">
        <v>968</v>
      </c>
      <c r="B969">
        <v>45889.474535266199</v>
      </c>
      <c r="D969" t="s">
        <v>4765</v>
      </c>
      <c r="E969" t="s">
        <v>4766</v>
      </c>
      <c r="F969" t="s">
        <v>71</v>
      </c>
      <c r="G969" t="s">
        <v>33</v>
      </c>
      <c r="H969" t="s">
        <v>33</v>
      </c>
      <c r="I969" t="s">
        <v>34</v>
      </c>
      <c r="J969" t="s">
        <v>34</v>
      </c>
      <c r="K969" t="s">
        <v>61</v>
      </c>
      <c r="L969" t="s">
        <v>36</v>
      </c>
      <c r="N969" t="s">
        <v>1086</v>
      </c>
      <c r="O969" t="s">
        <v>48</v>
      </c>
      <c r="P969" t="s">
        <v>48</v>
      </c>
      <c r="Q969" t="s">
        <v>48</v>
      </c>
      <c r="R969" t="s">
        <v>4767</v>
      </c>
      <c r="S969" t="s">
        <v>48</v>
      </c>
      <c r="T969" t="s">
        <v>4768</v>
      </c>
      <c r="U969" t="s">
        <v>4769</v>
      </c>
      <c r="V969" t="s">
        <v>135</v>
      </c>
      <c r="W969" t="s">
        <v>4770</v>
      </c>
      <c r="X969" t="s">
        <v>1046</v>
      </c>
      <c r="Y969" t="s">
        <v>4771</v>
      </c>
      <c r="Z969" t="s">
        <v>57</v>
      </c>
    </row>
    <row r="970" spans="1:26" ht="12.75" customHeight="1" x14ac:dyDescent="0.35">
      <c r="A970">
        <v>969</v>
      </c>
      <c r="B970">
        <v>45889.481981886573</v>
      </c>
      <c r="D970" t="s">
        <v>4477</v>
      </c>
      <c r="E970" t="s">
        <v>4478</v>
      </c>
      <c r="F970" t="s">
        <v>28</v>
      </c>
      <c r="G970" t="s">
        <v>28</v>
      </c>
      <c r="H970" t="s">
        <v>206</v>
      </c>
      <c r="I970" t="s">
        <v>28</v>
      </c>
      <c r="J970" t="s">
        <v>73</v>
      </c>
      <c r="K970" t="s">
        <v>73</v>
      </c>
      <c r="L970" t="s">
        <v>46</v>
      </c>
      <c r="N970" t="s">
        <v>4479</v>
      </c>
      <c r="O970" t="s">
        <v>49</v>
      </c>
      <c r="P970" t="s">
        <v>49</v>
      </c>
      <c r="Q970" t="s">
        <v>38</v>
      </c>
      <c r="R970" t="s">
        <v>4480</v>
      </c>
      <c r="S970" t="s">
        <v>48</v>
      </c>
      <c r="T970" t="s">
        <v>4481</v>
      </c>
      <c r="U970" t="s">
        <v>4772</v>
      </c>
      <c r="V970" t="s">
        <v>53</v>
      </c>
      <c r="X970" t="s">
        <v>4484</v>
      </c>
      <c r="Y970" t="s">
        <v>1235</v>
      </c>
      <c r="Z970" t="s">
        <v>91</v>
      </c>
    </row>
    <row r="971" spans="1:26" ht="12.75" customHeight="1" x14ac:dyDescent="0.35">
      <c r="A971">
        <v>970</v>
      </c>
      <c r="B971">
        <v>45889.482054479166</v>
      </c>
      <c r="D971" t="s">
        <v>4773</v>
      </c>
      <c r="E971" t="s">
        <v>1154</v>
      </c>
      <c r="F971" t="s">
        <v>344</v>
      </c>
      <c r="G971" t="s">
        <v>60</v>
      </c>
      <c r="H971" t="s">
        <v>44</v>
      </c>
      <c r="I971" t="s">
        <v>30</v>
      </c>
      <c r="J971" t="s">
        <v>30</v>
      </c>
      <c r="K971" t="s">
        <v>28</v>
      </c>
      <c r="L971" t="s">
        <v>36</v>
      </c>
      <c r="N971" t="s">
        <v>534</v>
      </c>
      <c r="O971" t="s">
        <v>49</v>
      </c>
      <c r="P971" t="s">
        <v>48</v>
      </c>
      <c r="Q971" t="s">
        <v>49</v>
      </c>
      <c r="R971" t="s">
        <v>4774</v>
      </c>
      <c r="S971" t="s">
        <v>49</v>
      </c>
      <c r="T971" t="s">
        <v>4775</v>
      </c>
      <c r="U971" t="s">
        <v>4776</v>
      </c>
      <c r="V971" t="s">
        <v>53</v>
      </c>
      <c r="X971" t="s">
        <v>1030</v>
      </c>
      <c r="Y971" t="s">
        <v>1310</v>
      </c>
      <c r="Z971" t="s">
        <v>91</v>
      </c>
    </row>
    <row r="972" spans="1:26" ht="12.75" customHeight="1" x14ac:dyDescent="0.35">
      <c r="A972">
        <v>971</v>
      </c>
      <c r="B972">
        <v>45889.482848645828</v>
      </c>
      <c r="D972" t="s">
        <v>4485</v>
      </c>
      <c r="E972" t="s">
        <v>4486</v>
      </c>
      <c r="F972" t="s">
        <v>344</v>
      </c>
      <c r="G972" t="s">
        <v>28</v>
      </c>
      <c r="H972" t="s">
        <v>28</v>
      </c>
      <c r="I972" t="s">
        <v>34</v>
      </c>
      <c r="J972" t="s">
        <v>30</v>
      </c>
      <c r="K972" t="s">
        <v>28</v>
      </c>
      <c r="L972" t="s">
        <v>36</v>
      </c>
      <c r="N972" t="s">
        <v>4777</v>
      </c>
      <c r="O972" t="s">
        <v>38</v>
      </c>
      <c r="P972" t="s">
        <v>48</v>
      </c>
      <c r="Q972" t="s">
        <v>38</v>
      </c>
      <c r="R972" t="s">
        <v>4488</v>
      </c>
      <c r="S972" t="s">
        <v>38</v>
      </c>
      <c r="T972" t="s">
        <v>4489</v>
      </c>
      <c r="U972" t="s">
        <v>4490</v>
      </c>
      <c r="V972" t="s">
        <v>79</v>
      </c>
      <c r="X972" t="s">
        <v>4778</v>
      </c>
      <c r="Y972" t="s">
        <v>759</v>
      </c>
      <c r="Z972" t="s">
        <v>129</v>
      </c>
    </row>
    <row r="973" spans="1:26" ht="12.75" customHeight="1" x14ac:dyDescent="0.35">
      <c r="A973">
        <v>972</v>
      </c>
      <c r="B973">
        <v>45889.482896967587</v>
      </c>
      <c r="D973" t="s">
        <v>4779</v>
      </c>
      <c r="E973" t="s">
        <v>4780</v>
      </c>
      <c r="F973" t="s">
        <v>29</v>
      </c>
      <c r="G973" t="s">
        <v>29</v>
      </c>
      <c r="H973" t="s">
        <v>29</v>
      </c>
      <c r="I973" t="s">
        <v>28</v>
      </c>
      <c r="J973" t="s">
        <v>28</v>
      </c>
      <c r="K973" t="s">
        <v>28</v>
      </c>
      <c r="L973" t="s">
        <v>46</v>
      </c>
      <c r="N973" t="s">
        <v>3209</v>
      </c>
      <c r="O973" t="s">
        <v>48</v>
      </c>
      <c r="P973" t="s">
        <v>49</v>
      </c>
      <c r="Q973" t="s">
        <v>49</v>
      </c>
      <c r="R973" t="s">
        <v>4781</v>
      </c>
      <c r="S973" t="s">
        <v>49</v>
      </c>
      <c r="T973" t="s">
        <v>4782</v>
      </c>
      <c r="U973" t="s">
        <v>4783</v>
      </c>
      <c r="V973" t="s">
        <v>87</v>
      </c>
      <c r="X973" t="s">
        <v>4784</v>
      </c>
      <c r="Y973" t="s">
        <v>1054</v>
      </c>
      <c r="Z973" t="s">
        <v>170</v>
      </c>
    </row>
    <row r="974" spans="1:26" ht="12.75" customHeight="1" x14ac:dyDescent="0.35">
      <c r="A974">
        <v>973</v>
      </c>
      <c r="B974">
        <v>45889.483772083331</v>
      </c>
      <c r="D974" t="s">
        <v>4785</v>
      </c>
      <c r="E974" t="s">
        <v>4786</v>
      </c>
      <c r="F974" t="s">
        <v>344</v>
      </c>
      <c r="G974" t="s">
        <v>197</v>
      </c>
      <c r="H974" t="s">
        <v>284</v>
      </c>
      <c r="I974" t="s">
        <v>30</v>
      </c>
      <c r="J974" t="s">
        <v>30</v>
      </c>
      <c r="K974" t="s">
        <v>28</v>
      </c>
      <c r="L974" t="s">
        <v>36</v>
      </c>
      <c r="N974" t="s">
        <v>555</v>
      </c>
      <c r="O974" t="s">
        <v>49</v>
      </c>
      <c r="P974" t="s">
        <v>48</v>
      </c>
      <c r="Q974" t="s">
        <v>49</v>
      </c>
      <c r="R974" t="s">
        <v>4787</v>
      </c>
      <c r="S974" t="s">
        <v>49</v>
      </c>
      <c r="T974" t="s">
        <v>4788</v>
      </c>
      <c r="U974" t="s">
        <v>4789</v>
      </c>
      <c r="V974" t="s">
        <v>87</v>
      </c>
      <c r="X974" t="s">
        <v>1030</v>
      </c>
      <c r="Y974" t="s">
        <v>1090</v>
      </c>
      <c r="Z974" t="s">
        <v>57</v>
      </c>
    </row>
    <row r="975" spans="1:26" ht="12.75" customHeight="1" x14ac:dyDescent="0.35">
      <c r="A975">
        <v>974</v>
      </c>
      <c r="B975">
        <v>45889.483795671295</v>
      </c>
      <c r="D975" t="s">
        <v>4493</v>
      </c>
      <c r="E975" t="s">
        <v>3596</v>
      </c>
      <c r="F975" t="s">
        <v>29</v>
      </c>
      <c r="G975" t="s">
        <v>33</v>
      </c>
      <c r="H975" t="s">
        <v>33</v>
      </c>
      <c r="I975" t="s">
        <v>28</v>
      </c>
      <c r="J975" t="s">
        <v>28</v>
      </c>
      <c r="K975" t="s">
        <v>28</v>
      </c>
      <c r="L975" t="s">
        <v>36</v>
      </c>
      <c r="N975" t="s">
        <v>4790</v>
      </c>
      <c r="O975" t="s">
        <v>48</v>
      </c>
      <c r="P975" t="s">
        <v>38</v>
      </c>
      <c r="Q975" t="s">
        <v>38</v>
      </c>
      <c r="R975" t="s">
        <v>4495</v>
      </c>
      <c r="S975" t="s">
        <v>40</v>
      </c>
      <c r="T975" t="s">
        <v>4496</v>
      </c>
      <c r="U975" t="s">
        <v>4497</v>
      </c>
      <c r="V975" t="s">
        <v>53</v>
      </c>
      <c r="X975" t="s">
        <v>4484</v>
      </c>
      <c r="Y975" t="s">
        <v>1325</v>
      </c>
      <c r="Z975" t="s">
        <v>91</v>
      </c>
    </row>
    <row r="976" spans="1:26" ht="12.75" customHeight="1" x14ac:dyDescent="0.35">
      <c r="A976">
        <v>975</v>
      </c>
      <c r="B976">
        <v>45889.48470100695</v>
      </c>
      <c r="D976" t="s">
        <v>4383</v>
      </c>
      <c r="E976" t="s">
        <v>4547</v>
      </c>
      <c r="F976" t="s">
        <v>377</v>
      </c>
      <c r="G976" t="s">
        <v>44</v>
      </c>
      <c r="H976" t="s">
        <v>206</v>
      </c>
      <c r="I976" t="s">
        <v>173</v>
      </c>
      <c r="J976" t="s">
        <v>368</v>
      </c>
      <c r="K976" t="s">
        <v>94</v>
      </c>
      <c r="L976" t="s">
        <v>46</v>
      </c>
      <c r="N976" t="s">
        <v>4791</v>
      </c>
      <c r="O976" t="s">
        <v>49</v>
      </c>
      <c r="P976" t="s">
        <v>49</v>
      </c>
      <c r="Q976" t="s">
        <v>49</v>
      </c>
      <c r="R976" t="s">
        <v>4792</v>
      </c>
      <c r="S976" t="s">
        <v>48</v>
      </c>
      <c r="T976" t="s">
        <v>4793</v>
      </c>
      <c r="U976" t="s">
        <v>4794</v>
      </c>
      <c r="V976" t="s">
        <v>79</v>
      </c>
      <c r="X976" t="s">
        <v>1030</v>
      </c>
      <c r="Y976" t="s">
        <v>1622</v>
      </c>
      <c r="Z976" t="s">
        <v>129</v>
      </c>
    </row>
    <row r="977" spans="1:26" ht="12.75" customHeight="1" x14ac:dyDescent="0.35">
      <c r="A977">
        <v>976</v>
      </c>
      <c r="B977">
        <v>45889.484967546297</v>
      </c>
      <c r="D977" t="s">
        <v>4795</v>
      </c>
      <c r="E977" t="s">
        <v>4676</v>
      </c>
      <c r="F977" t="s">
        <v>28</v>
      </c>
      <c r="G977" t="s">
        <v>197</v>
      </c>
      <c r="H977" t="s">
        <v>28</v>
      </c>
      <c r="I977" t="s">
        <v>197</v>
      </c>
      <c r="J977" t="s">
        <v>28</v>
      </c>
      <c r="K977" t="s">
        <v>61</v>
      </c>
      <c r="L977" t="s">
        <v>46</v>
      </c>
      <c r="N977" t="s">
        <v>4796</v>
      </c>
      <c r="O977" t="s">
        <v>38</v>
      </c>
      <c r="P977" t="s">
        <v>38</v>
      </c>
      <c r="Q977" t="s">
        <v>48</v>
      </c>
      <c r="R977" t="s">
        <v>4797</v>
      </c>
      <c r="S977" t="s">
        <v>38</v>
      </c>
      <c r="T977" t="s">
        <v>4798</v>
      </c>
      <c r="U977" t="s">
        <v>4799</v>
      </c>
      <c r="V977" t="s">
        <v>53</v>
      </c>
      <c r="X977" t="s">
        <v>4484</v>
      </c>
      <c r="Y977" t="s">
        <v>4800</v>
      </c>
      <c r="Z977" t="s">
        <v>129</v>
      </c>
    </row>
    <row r="978" spans="1:26" ht="12.75" customHeight="1" x14ac:dyDescent="0.35">
      <c r="A978">
        <v>977</v>
      </c>
      <c r="B978">
        <v>45889.485987291671</v>
      </c>
      <c r="D978" t="s">
        <v>4801</v>
      </c>
      <c r="E978" t="s">
        <v>1077</v>
      </c>
      <c r="F978" t="s">
        <v>60</v>
      </c>
      <c r="G978" t="s">
        <v>158</v>
      </c>
      <c r="H978" t="s">
        <v>29</v>
      </c>
      <c r="I978" t="s">
        <v>196</v>
      </c>
      <c r="J978" t="s">
        <v>173</v>
      </c>
      <c r="K978" t="s">
        <v>61</v>
      </c>
      <c r="L978" t="s">
        <v>36</v>
      </c>
      <c r="N978" t="s">
        <v>198</v>
      </c>
      <c r="O978" t="s">
        <v>49</v>
      </c>
      <c r="P978" t="s">
        <v>49</v>
      </c>
      <c r="Q978" t="s">
        <v>48</v>
      </c>
      <c r="R978" t="s">
        <v>4802</v>
      </c>
      <c r="S978" t="s">
        <v>49</v>
      </c>
      <c r="T978" t="s">
        <v>4803</v>
      </c>
      <c r="U978" t="s">
        <v>4804</v>
      </c>
      <c r="V978" t="s">
        <v>53</v>
      </c>
      <c r="X978" t="s">
        <v>1030</v>
      </c>
      <c r="Y978" t="s">
        <v>4805</v>
      </c>
      <c r="Z978" t="s">
        <v>91</v>
      </c>
    </row>
    <row r="979" spans="1:26" ht="12.75" customHeight="1" x14ac:dyDescent="0.35">
      <c r="A979">
        <v>978</v>
      </c>
      <c r="B979">
        <v>45889.486215162033</v>
      </c>
      <c r="D979" t="s">
        <v>4806</v>
      </c>
      <c r="E979" t="s">
        <v>4429</v>
      </c>
      <c r="F979" t="s">
        <v>28</v>
      </c>
      <c r="G979" t="s">
        <v>72</v>
      </c>
      <c r="H979" t="s">
        <v>28</v>
      </c>
      <c r="I979" t="s">
        <v>196</v>
      </c>
      <c r="J979" t="s">
        <v>28</v>
      </c>
      <c r="K979" t="s">
        <v>74</v>
      </c>
      <c r="L979" t="s">
        <v>36</v>
      </c>
      <c r="N979" t="s">
        <v>4807</v>
      </c>
      <c r="O979" t="s">
        <v>38</v>
      </c>
      <c r="P979" t="s">
        <v>38</v>
      </c>
      <c r="Q979" t="s">
        <v>48</v>
      </c>
      <c r="R979" t="s">
        <v>4808</v>
      </c>
      <c r="S979" t="s">
        <v>38</v>
      </c>
      <c r="T979" t="s">
        <v>4809</v>
      </c>
      <c r="U979" t="s">
        <v>4810</v>
      </c>
      <c r="V979" t="s">
        <v>87</v>
      </c>
      <c r="X979" t="s">
        <v>4484</v>
      </c>
      <c r="Y979" t="s">
        <v>4811</v>
      </c>
      <c r="Z979" t="s">
        <v>91</v>
      </c>
    </row>
    <row r="980" spans="1:26" ht="12.75" customHeight="1" x14ac:dyDescent="0.35">
      <c r="A980">
        <v>979</v>
      </c>
      <c r="B980">
        <v>45889.487055798614</v>
      </c>
      <c r="D980" t="s">
        <v>4812</v>
      </c>
      <c r="E980" t="s">
        <v>4813</v>
      </c>
      <c r="F980" t="s">
        <v>60</v>
      </c>
      <c r="G980" t="s">
        <v>29</v>
      </c>
      <c r="H980" t="s">
        <v>29</v>
      </c>
      <c r="I980" t="s">
        <v>173</v>
      </c>
      <c r="J980" t="s">
        <v>173</v>
      </c>
      <c r="K980" t="s">
        <v>292</v>
      </c>
      <c r="L980" t="s">
        <v>46</v>
      </c>
      <c r="N980" t="s">
        <v>4814</v>
      </c>
      <c r="O980" t="s">
        <v>48</v>
      </c>
      <c r="P980" t="s">
        <v>49</v>
      </c>
      <c r="R980" t="s">
        <v>4815</v>
      </c>
      <c r="S980" t="s">
        <v>49</v>
      </c>
      <c r="T980" t="s">
        <v>4816</v>
      </c>
      <c r="U980" t="s">
        <v>4817</v>
      </c>
      <c r="V980" t="s">
        <v>87</v>
      </c>
      <c r="X980" t="s">
        <v>1030</v>
      </c>
      <c r="Y980" t="s">
        <v>4588</v>
      </c>
      <c r="Z980" t="s">
        <v>91</v>
      </c>
    </row>
    <row r="981" spans="1:26" ht="12.75" customHeight="1" x14ac:dyDescent="0.35">
      <c r="A981">
        <v>980</v>
      </c>
      <c r="B981">
        <v>45889.487375081022</v>
      </c>
      <c r="D981" t="s">
        <v>4818</v>
      </c>
      <c r="E981" t="s">
        <v>1112</v>
      </c>
      <c r="F981" t="s">
        <v>449</v>
      </c>
      <c r="G981" t="s">
        <v>28</v>
      </c>
      <c r="H981" t="s">
        <v>28</v>
      </c>
      <c r="I981" t="s">
        <v>34</v>
      </c>
      <c r="J981" t="s">
        <v>34</v>
      </c>
      <c r="K981" t="s">
        <v>28</v>
      </c>
      <c r="L981" t="s">
        <v>46</v>
      </c>
      <c r="N981" t="s">
        <v>4819</v>
      </c>
      <c r="O981" t="s">
        <v>49</v>
      </c>
      <c r="P981" t="s">
        <v>48</v>
      </c>
      <c r="Q981" t="s">
        <v>39</v>
      </c>
      <c r="R981" t="s">
        <v>4820</v>
      </c>
      <c r="S981" t="s">
        <v>40</v>
      </c>
      <c r="T981" t="s">
        <v>4821</v>
      </c>
      <c r="U981" t="s">
        <v>4822</v>
      </c>
      <c r="V981" t="s">
        <v>53</v>
      </c>
      <c r="X981" t="s">
        <v>4484</v>
      </c>
      <c r="Y981" t="s">
        <v>1054</v>
      </c>
      <c r="Z981" t="s">
        <v>91</v>
      </c>
    </row>
    <row r="982" spans="1:26" ht="12.75" customHeight="1" x14ac:dyDescent="0.35">
      <c r="A982">
        <v>981</v>
      </c>
      <c r="B982">
        <v>45889.488153275466</v>
      </c>
      <c r="D982" t="s">
        <v>4823</v>
      </c>
      <c r="E982" t="s">
        <v>4238</v>
      </c>
      <c r="F982" t="s">
        <v>344</v>
      </c>
      <c r="G982" t="s">
        <v>197</v>
      </c>
      <c r="H982" t="s">
        <v>28</v>
      </c>
      <c r="I982" t="s">
        <v>173</v>
      </c>
      <c r="J982" t="s">
        <v>30</v>
      </c>
      <c r="K982" t="s">
        <v>61</v>
      </c>
      <c r="L982" t="s">
        <v>36</v>
      </c>
      <c r="N982" t="s">
        <v>4824</v>
      </c>
      <c r="O982" t="s">
        <v>49</v>
      </c>
      <c r="P982" t="s">
        <v>48</v>
      </c>
      <c r="Q982" t="s">
        <v>49</v>
      </c>
      <c r="R982" t="s">
        <v>4825</v>
      </c>
      <c r="S982" t="s">
        <v>49</v>
      </c>
      <c r="T982" t="s">
        <v>4826</v>
      </c>
      <c r="U982" t="s">
        <v>4827</v>
      </c>
      <c r="V982" t="s">
        <v>53</v>
      </c>
      <c r="X982" t="s">
        <v>1030</v>
      </c>
      <c r="Y982" t="s">
        <v>4567</v>
      </c>
      <c r="Z982" t="s">
        <v>91</v>
      </c>
    </row>
    <row r="983" spans="1:26" ht="12.75" customHeight="1" x14ac:dyDescent="0.35">
      <c r="A983">
        <v>982</v>
      </c>
      <c r="B983">
        <v>45889.488320462959</v>
      </c>
      <c r="D983" t="s">
        <v>4828</v>
      </c>
      <c r="E983" t="s">
        <v>4829</v>
      </c>
      <c r="F983" t="s">
        <v>28</v>
      </c>
      <c r="G983" t="s">
        <v>28</v>
      </c>
      <c r="H983" t="s">
        <v>28</v>
      </c>
      <c r="I983" t="s">
        <v>28</v>
      </c>
      <c r="J983" t="s">
        <v>34</v>
      </c>
      <c r="K983" t="s">
        <v>74</v>
      </c>
      <c r="L983" t="s">
        <v>46</v>
      </c>
      <c r="N983" t="s">
        <v>3555</v>
      </c>
      <c r="O983" t="s">
        <v>48</v>
      </c>
      <c r="P983" t="s">
        <v>48</v>
      </c>
      <c r="Q983" t="s">
        <v>48</v>
      </c>
      <c r="R983" t="s">
        <v>4830</v>
      </c>
      <c r="S983" t="s">
        <v>48</v>
      </c>
      <c r="T983" t="s">
        <v>4831</v>
      </c>
      <c r="U983" t="s">
        <v>86</v>
      </c>
      <c r="V983" t="s">
        <v>135</v>
      </c>
      <c r="W983" t="s">
        <v>4832</v>
      </c>
      <c r="X983" t="s">
        <v>834</v>
      </c>
      <c r="Y983" t="s">
        <v>4829</v>
      </c>
      <c r="Z983" t="s">
        <v>57</v>
      </c>
    </row>
    <row r="984" spans="1:26" ht="12.75" customHeight="1" x14ac:dyDescent="0.35">
      <c r="A984">
        <v>983</v>
      </c>
      <c r="B984">
        <v>45889.488398611109</v>
      </c>
      <c r="D984" t="s">
        <v>4833</v>
      </c>
      <c r="E984" t="s">
        <v>4834</v>
      </c>
      <c r="F984" t="s">
        <v>28</v>
      </c>
      <c r="G984" t="s">
        <v>28</v>
      </c>
      <c r="H984" t="s">
        <v>284</v>
      </c>
      <c r="I984" t="s">
        <v>28</v>
      </c>
      <c r="J984" t="s">
        <v>94</v>
      </c>
      <c r="K984" t="s">
        <v>73</v>
      </c>
      <c r="L984" t="s">
        <v>36</v>
      </c>
      <c r="N984" t="s">
        <v>4835</v>
      </c>
      <c r="O984" t="s">
        <v>49</v>
      </c>
      <c r="P984" t="s">
        <v>38</v>
      </c>
      <c r="Q984" t="s">
        <v>39</v>
      </c>
      <c r="R984" t="s">
        <v>4836</v>
      </c>
      <c r="S984" t="s">
        <v>48</v>
      </c>
      <c r="T984" t="s">
        <v>4837</v>
      </c>
      <c r="U984" t="s">
        <v>4838</v>
      </c>
      <c r="V984" t="s">
        <v>65</v>
      </c>
      <c r="X984" t="s">
        <v>4484</v>
      </c>
      <c r="Y984" t="s">
        <v>1605</v>
      </c>
      <c r="Z984" t="s">
        <v>129</v>
      </c>
    </row>
    <row r="985" spans="1:26" ht="12.75" customHeight="1" x14ac:dyDescent="0.35">
      <c r="A985">
        <v>984</v>
      </c>
      <c r="B985">
        <v>45889.489192222223</v>
      </c>
      <c r="D985" t="s">
        <v>4839</v>
      </c>
      <c r="E985" t="s">
        <v>4598</v>
      </c>
      <c r="F985" t="s">
        <v>28</v>
      </c>
      <c r="G985" t="s">
        <v>158</v>
      </c>
      <c r="H985" t="s">
        <v>206</v>
      </c>
      <c r="I985" t="s">
        <v>158</v>
      </c>
      <c r="J985" t="s">
        <v>94</v>
      </c>
      <c r="K985" t="s">
        <v>368</v>
      </c>
      <c r="L985" t="s">
        <v>46</v>
      </c>
      <c r="N985" t="s">
        <v>4840</v>
      </c>
      <c r="O985" t="s">
        <v>49</v>
      </c>
      <c r="P985" t="s">
        <v>49</v>
      </c>
      <c r="Q985" t="s">
        <v>49</v>
      </c>
      <c r="R985" t="s">
        <v>4841</v>
      </c>
      <c r="S985" t="s">
        <v>48</v>
      </c>
      <c r="T985" t="s">
        <v>4842</v>
      </c>
      <c r="U985" t="s">
        <v>4843</v>
      </c>
      <c r="V985" t="s">
        <v>53</v>
      </c>
      <c r="X985" t="s">
        <v>1030</v>
      </c>
      <c r="Y985" t="s">
        <v>4376</v>
      </c>
      <c r="Z985" t="s">
        <v>129</v>
      </c>
    </row>
    <row r="986" spans="1:26" ht="12.75" customHeight="1" x14ac:dyDescent="0.35">
      <c r="A986">
        <v>985</v>
      </c>
      <c r="B986">
        <v>45889.489543379634</v>
      </c>
      <c r="D986" t="s">
        <v>4844</v>
      </c>
      <c r="E986" t="s">
        <v>4283</v>
      </c>
      <c r="F986" t="s">
        <v>29</v>
      </c>
      <c r="G986" t="s">
        <v>33</v>
      </c>
      <c r="H986" t="s">
        <v>60</v>
      </c>
      <c r="I986" t="s">
        <v>28</v>
      </c>
      <c r="J986" t="s">
        <v>45</v>
      </c>
      <c r="K986" t="s">
        <v>45</v>
      </c>
      <c r="L986" t="s">
        <v>36</v>
      </c>
      <c r="N986" t="s">
        <v>4790</v>
      </c>
      <c r="O986" t="s">
        <v>48</v>
      </c>
      <c r="P986" t="s">
        <v>38</v>
      </c>
      <c r="Q986" t="s">
        <v>39</v>
      </c>
      <c r="R986" t="s">
        <v>4845</v>
      </c>
      <c r="S986" t="s">
        <v>49</v>
      </c>
      <c r="T986" t="s">
        <v>4846</v>
      </c>
      <c r="U986" t="s">
        <v>4847</v>
      </c>
      <c r="V986" t="s">
        <v>87</v>
      </c>
      <c r="X986" t="s">
        <v>4484</v>
      </c>
      <c r="Y986" t="s">
        <v>4413</v>
      </c>
      <c r="Z986" t="s">
        <v>91</v>
      </c>
    </row>
    <row r="987" spans="1:26" ht="12.75" customHeight="1" x14ac:dyDescent="0.35">
      <c r="A987">
        <v>986</v>
      </c>
      <c r="B987">
        <v>45889.490385219906</v>
      </c>
      <c r="D987" t="s">
        <v>4848</v>
      </c>
      <c r="E987" t="s">
        <v>4392</v>
      </c>
      <c r="F987" t="s">
        <v>28</v>
      </c>
      <c r="G987" t="s">
        <v>44</v>
      </c>
      <c r="H987" t="s">
        <v>206</v>
      </c>
      <c r="I987" t="s">
        <v>28</v>
      </c>
      <c r="J987" t="s">
        <v>368</v>
      </c>
      <c r="K987" t="s">
        <v>73</v>
      </c>
      <c r="L987" t="s">
        <v>46</v>
      </c>
      <c r="N987" t="s">
        <v>4849</v>
      </c>
      <c r="O987" t="s">
        <v>49</v>
      </c>
      <c r="P987" t="s">
        <v>49</v>
      </c>
      <c r="Q987" t="s">
        <v>39</v>
      </c>
      <c r="R987" t="s">
        <v>4850</v>
      </c>
      <c r="T987" t="s">
        <v>4851</v>
      </c>
      <c r="U987" t="s">
        <v>4852</v>
      </c>
      <c r="V987" t="s">
        <v>135</v>
      </c>
      <c r="X987" t="s">
        <v>4484</v>
      </c>
      <c r="Y987" t="s">
        <v>4397</v>
      </c>
      <c r="Z987" t="s">
        <v>91</v>
      </c>
    </row>
    <row r="988" spans="1:26" ht="12.75" customHeight="1" x14ac:dyDescent="0.35">
      <c r="A988">
        <v>987</v>
      </c>
      <c r="B988">
        <v>45889.490536574071</v>
      </c>
      <c r="D988" t="s">
        <v>4853</v>
      </c>
      <c r="E988" t="s">
        <v>4854</v>
      </c>
      <c r="F988" t="s">
        <v>60</v>
      </c>
      <c r="G988" t="s">
        <v>44</v>
      </c>
      <c r="H988" t="s">
        <v>29</v>
      </c>
      <c r="I988" t="s">
        <v>197</v>
      </c>
      <c r="J988" t="s">
        <v>103</v>
      </c>
      <c r="K988" t="s">
        <v>292</v>
      </c>
      <c r="L988" t="s">
        <v>36</v>
      </c>
      <c r="N988" t="s">
        <v>4855</v>
      </c>
      <c r="O988" t="s">
        <v>48</v>
      </c>
      <c r="P988" t="s">
        <v>49</v>
      </c>
      <c r="Q988" t="s">
        <v>49</v>
      </c>
      <c r="R988" t="s">
        <v>4856</v>
      </c>
      <c r="S988" t="s">
        <v>38</v>
      </c>
      <c r="T988" t="s">
        <v>4857</v>
      </c>
      <c r="U988" t="s">
        <v>4858</v>
      </c>
      <c r="V988" t="s">
        <v>87</v>
      </c>
      <c r="X988" t="s">
        <v>1030</v>
      </c>
      <c r="Y988" t="s">
        <v>4859</v>
      </c>
      <c r="Z988" t="s">
        <v>91</v>
      </c>
    </row>
    <row r="989" spans="1:26" ht="12.75" customHeight="1" x14ac:dyDescent="0.35">
      <c r="A989">
        <v>988</v>
      </c>
      <c r="B989">
        <v>45889.491502766206</v>
      </c>
      <c r="D989" t="s">
        <v>4860</v>
      </c>
      <c r="E989" t="s">
        <v>4861</v>
      </c>
      <c r="F989" t="s">
        <v>28</v>
      </c>
      <c r="G989" t="s">
        <v>197</v>
      </c>
      <c r="H989" t="s">
        <v>206</v>
      </c>
      <c r="I989" t="s">
        <v>197</v>
      </c>
      <c r="J989" t="s">
        <v>94</v>
      </c>
      <c r="K989" t="s">
        <v>73</v>
      </c>
      <c r="L989" t="s">
        <v>36</v>
      </c>
      <c r="N989" t="s">
        <v>4862</v>
      </c>
      <c r="O989" t="s">
        <v>38</v>
      </c>
      <c r="P989" t="s">
        <v>38</v>
      </c>
      <c r="Q989" t="s">
        <v>49</v>
      </c>
      <c r="R989" t="s">
        <v>4863</v>
      </c>
      <c r="S989" t="s">
        <v>48</v>
      </c>
      <c r="T989" t="s">
        <v>4864</v>
      </c>
      <c r="U989" t="s">
        <v>4865</v>
      </c>
      <c r="V989" t="s">
        <v>87</v>
      </c>
      <c r="X989" t="s">
        <v>4484</v>
      </c>
      <c r="Y989" t="s">
        <v>4866</v>
      </c>
      <c r="Z989" t="s">
        <v>91</v>
      </c>
    </row>
    <row r="990" spans="1:26" ht="12.75" customHeight="1" x14ac:dyDescent="0.35">
      <c r="A990">
        <v>989</v>
      </c>
      <c r="B990">
        <v>45889.491953055556</v>
      </c>
      <c r="D990" t="s">
        <v>4867</v>
      </c>
      <c r="E990" t="s">
        <v>4721</v>
      </c>
      <c r="F990" t="s">
        <v>44</v>
      </c>
      <c r="G990" t="s">
        <v>197</v>
      </c>
      <c r="H990" t="s">
        <v>206</v>
      </c>
      <c r="I990" t="s">
        <v>197</v>
      </c>
      <c r="J990" t="s">
        <v>94</v>
      </c>
      <c r="K990" t="s">
        <v>94</v>
      </c>
      <c r="L990" t="s">
        <v>46</v>
      </c>
      <c r="N990" t="s">
        <v>4868</v>
      </c>
      <c r="O990" t="s">
        <v>49</v>
      </c>
      <c r="P990" t="s">
        <v>49</v>
      </c>
      <c r="Q990" t="s">
        <v>49</v>
      </c>
      <c r="R990" t="s">
        <v>4869</v>
      </c>
      <c r="S990" t="s">
        <v>48</v>
      </c>
      <c r="T990" t="s">
        <v>4870</v>
      </c>
      <c r="U990" t="s">
        <v>4871</v>
      </c>
      <c r="V990" t="s">
        <v>87</v>
      </c>
      <c r="X990" t="s">
        <v>1030</v>
      </c>
      <c r="Y990" t="s">
        <v>4616</v>
      </c>
      <c r="Z990" t="s">
        <v>91</v>
      </c>
    </row>
    <row r="991" spans="1:26" ht="12.75" customHeight="1" x14ac:dyDescent="0.35">
      <c r="A991">
        <v>990</v>
      </c>
      <c r="B991">
        <v>45889.49269875</v>
      </c>
      <c r="D991" t="s">
        <v>4872</v>
      </c>
      <c r="E991" t="s">
        <v>4238</v>
      </c>
      <c r="F991" t="s">
        <v>449</v>
      </c>
      <c r="G991" t="s">
        <v>28</v>
      </c>
      <c r="H991" t="s">
        <v>28</v>
      </c>
      <c r="I991" t="s">
        <v>34</v>
      </c>
      <c r="J991" t="s">
        <v>30</v>
      </c>
      <c r="K991" t="s">
        <v>28</v>
      </c>
      <c r="L991" t="s">
        <v>36</v>
      </c>
      <c r="N991" t="s">
        <v>4807</v>
      </c>
      <c r="O991" t="s">
        <v>38</v>
      </c>
      <c r="P991" t="s">
        <v>48</v>
      </c>
      <c r="Q991" t="s">
        <v>40</v>
      </c>
      <c r="R991" t="s">
        <v>4873</v>
      </c>
      <c r="S991" t="s">
        <v>38</v>
      </c>
      <c r="T991" t="s">
        <v>4874</v>
      </c>
      <c r="U991" t="s">
        <v>4875</v>
      </c>
      <c r="V991" t="s">
        <v>79</v>
      </c>
      <c r="X991" t="s">
        <v>4484</v>
      </c>
      <c r="Y991" t="s">
        <v>759</v>
      </c>
      <c r="Z991" t="s">
        <v>91</v>
      </c>
    </row>
    <row r="992" spans="1:26" ht="12.75" customHeight="1" x14ac:dyDescent="0.35">
      <c r="A992">
        <v>991</v>
      </c>
      <c r="B992">
        <v>45889.493531284723</v>
      </c>
      <c r="D992" t="s">
        <v>4876</v>
      </c>
      <c r="E992" t="s">
        <v>4877</v>
      </c>
      <c r="F992" t="s">
        <v>449</v>
      </c>
      <c r="G992" t="s">
        <v>44</v>
      </c>
      <c r="H992" t="s">
        <v>60</v>
      </c>
      <c r="I992" t="s">
        <v>30</v>
      </c>
      <c r="J992" t="s">
        <v>30</v>
      </c>
      <c r="K992" t="s">
        <v>292</v>
      </c>
      <c r="L992" t="s">
        <v>46</v>
      </c>
      <c r="N992" t="s">
        <v>4878</v>
      </c>
      <c r="O992" t="s">
        <v>49</v>
      </c>
      <c r="P992" t="s">
        <v>48</v>
      </c>
      <c r="Q992" t="s">
        <v>49</v>
      </c>
      <c r="R992" t="s">
        <v>4879</v>
      </c>
      <c r="S992" t="s">
        <v>49</v>
      </c>
      <c r="T992" t="s">
        <v>4880</v>
      </c>
      <c r="U992" t="s">
        <v>4881</v>
      </c>
      <c r="V992" t="s">
        <v>87</v>
      </c>
      <c r="X992" t="s">
        <v>1030</v>
      </c>
      <c r="Y992" t="s">
        <v>4413</v>
      </c>
      <c r="Z992" t="s">
        <v>129</v>
      </c>
    </row>
    <row r="993" spans="1:26" ht="12.75" customHeight="1" x14ac:dyDescent="0.35">
      <c r="A993">
        <v>992</v>
      </c>
      <c r="B993">
        <v>45889.494145636578</v>
      </c>
      <c r="D993" t="s">
        <v>4882</v>
      </c>
      <c r="E993" t="s">
        <v>4883</v>
      </c>
      <c r="F993" t="s">
        <v>28</v>
      </c>
      <c r="G993" t="s">
        <v>28</v>
      </c>
      <c r="H993" t="s">
        <v>206</v>
      </c>
      <c r="I993" t="s">
        <v>28</v>
      </c>
      <c r="J993" t="s">
        <v>368</v>
      </c>
      <c r="K993" t="s">
        <v>73</v>
      </c>
      <c r="L993" t="s">
        <v>46</v>
      </c>
      <c r="N993" t="s">
        <v>4790</v>
      </c>
      <c r="O993" t="s">
        <v>49</v>
      </c>
      <c r="P993" t="s">
        <v>49</v>
      </c>
      <c r="Q993" t="s">
        <v>40</v>
      </c>
      <c r="R993" t="s">
        <v>4884</v>
      </c>
      <c r="S993" t="s">
        <v>48</v>
      </c>
      <c r="T993" t="s">
        <v>4885</v>
      </c>
      <c r="U993" t="s">
        <v>4886</v>
      </c>
      <c r="V993" t="s">
        <v>79</v>
      </c>
      <c r="X993" t="s">
        <v>4484</v>
      </c>
      <c r="Y993" t="s">
        <v>1532</v>
      </c>
      <c r="Z993" t="s">
        <v>91</v>
      </c>
    </row>
    <row r="994" spans="1:26" ht="12.75" customHeight="1" x14ac:dyDescent="0.35">
      <c r="A994">
        <v>993</v>
      </c>
      <c r="B994">
        <v>45889.495632349535</v>
      </c>
      <c r="D994" t="s">
        <v>4887</v>
      </c>
      <c r="E994" t="s">
        <v>4727</v>
      </c>
      <c r="F994" t="s">
        <v>29</v>
      </c>
      <c r="G994" t="s">
        <v>33</v>
      </c>
      <c r="H994" t="s">
        <v>33</v>
      </c>
      <c r="I994" t="s">
        <v>28</v>
      </c>
      <c r="J994" t="s">
        <v>28</v>
      </c>
      <c r="K994" t="s">
        <v>28</v>
      </c>
      <c r="L994" t="s">
        <v>36</v>
      </c>
      <c r="N994" t="s">
        <v>4479</v>
      </c>
      <c r="O994" t="s">
        <v>48</v>
      </c>
      <c r="P994" t="s">
        <v>49</v>
      </c>
      <c r="Q994" t="s">
        <v>38</v>
      </c>
      <c r="R994" t="s">
        <v>4888</v>
      </c>
      <c r="S994" t="s">
        <v>38</v>
      </c>
      <c r="T994" t="s">
        <v>4889</v>
      </c>
      <c r="U994" t="s">
        <v>4890</v>
      </c>
      <c r="V994" t="s">
        <v>53</v>
      </c>
      <c r="X994" t="s">
        <v>4484</v>
      </c>
      <c r="Y994" t="s">
        <v>759</v>
      </c>
      <c r="Z994" t="s">
        <v>91</v>
      </c>
    </row>
    <row r="995" spans="1:26" ht="12.75" customHeight="1" x14ac:dyDescent="0.35">
      <c r="A995">
        <v>994</v>
      </c>
      <c r="B995">
        <v>45889.496267361115</v>
      </c>
      <c r="D995" t="s">
        <v>4891</v>
      </c>
      <c r="E995" t="s">
        <v>1320</v>
      </c>
      <c r="F995" t="s">
        <v>377</v>
      </c>
      <c r="G995" t="s">
        <v>196</v>
      </c>
      <c r="H995" t="s">
        <v>157</v>
      </c>
      <c r="I995" t="s">
        <v>196</v>
      </c>
      <c r="J995" t="s">
        <v>103</v>
      </c>
      <c r="K995" t="s">
        <v>61</v>
      </c>
      <c r="L995" t="s">
        <v>46</v>
      </c>
      <c r="N995" t="s">
        <v>4892</v>
      </c>
      <c r="O995" t="s">
        <v>49</v>
      </c>
      <c r="P995" t="s">
        <v>49</v>
      </c>
      <c r="Q995" t="s">
        <v>48</v>
      </c>
      <c r="R995" t="s">
        <v>4893</v>
      </c>
      <c r="S995" t="s">
        <v>49</v>
      </c>
      <c r="T995" t="s">
        <v>4894</v>
      </c>
      <c r="U995" t="s">
        <v>4895</v>
      </c>
      <c r="V995" t="s">
        <v>87</v>
      </c>
      <c r="X995" t="s">
        <v>1030</v>
      </c>
      <c r="Y995" t="s">
        <v>1325</v>
      </c>
      <c r="Z995" t="s">
        <v>91</v>
      </c>
    </row>
    <row r="996" spans="1:26" ht="12.75" customHeight="1" x14ac:dyDescent="0.35">
      <c r="A996">
        <v>995</v>
      </c>
      <c r="B996">
        <v>45889.497354976847</v>
      </c>
      <c r="D996" t="s">
        <v>4896</v>
      </c>
      <c r="E996" t="s">
        <v>4225</v>
      </c>
      <c r="F996" t="s">
        <v>344</v>
      </c>
      <c r="G996" t="s">
        <v>197</v>
      </c>
      <c r="H996" t="s">
        <v>28</v>
      </c>
      <c r="I996" t="s">
        <v>173</v>
      </c>
      <c r="J996" t="s">
        <v>30</v>
      </c>
      <c r="K996" t="s">
        <v>292</v>
      </c>
      <c r="L996" t="s">
        <v>36</v>
      </c>
      <c r="N996" t="s">
        <v>4897</v>
      </c>
      <c r="O996" t="s">
        <v>49</v>
      </c>
      <c r="P996" t="s">
        <v>48</v>
      </c>
      <c r="Q996" t="s">
        <v>49</v>
      </c>
      <c r="R996" t="s">
        <v>4898</v>
      </c>
      <c r="S996" t="s">
        <v>49</v>
      </c>
      <c r="T996" t="s">
        <v>4899</v>
      </c>
      <c r="U996" t="s">
        <v>4900</v>
      </c>
      <c r="V996" t="s">
        <v>87</v>
      </c>
      <c r="X996" t="s">
        <v>1030</v>
      </c>
      <c r="Y996" t="s">
        <v>647</v>
      </c>
      <c r="Z996" t="s">
        <v>129</v>
      </c>
    </row>
    <row r="997" spans="1:26" ht="12.75" customHeight="1" x14ac:dyDescent="0.35">
      <c r="A997">
        <v>996</v>
      </c>
      <c r="B997">
        <v>45889.497549444444</v>
      </c>
      <c r="D997" t="s">
        <v>4901</v>
      </c>
      <c r="E997" t="s">
        <v>4225</v>
      </c>
      <c r="F997" t="s">
        <v>449</v>
      </c>
      <c r="G997" t="s">
        <v>28</v>
      </c>
      <c r="H997" t="s">
        <v>28</v>
      </c>
      <c r="I997" t="s">
        <v>34</v>
      </c>
      <c r="J997" t="s">
        <v>34</v>
      </c>
      <c r="K997" t="s">
        <v>28</v>
      </c>
      <c r="L997" t="s">
        <v>46</v>
      </c>
      <c r="N997" t="s">
        <v>4902</v>
      </c>
      <c r="O997" t="s">
        <v>49</v>
      </c>
      <c r="P997" t="s">
        <v>48</v>
      </c>
      <c r="Q997" t="s">
        <v>38</v>
      </c>
      <c r="R997" t="s">
        <v>4903</v>
      </c>
      <c r="S997" t="s">
        <v>38</v>
      </c>
      <c r="T997" t="s">
        <v>4904</v>
      </c>
      <c r="U997" t="s">
        <v>4905</v>
      </c>
      <c r="V997" t="s">
        <v>79</v>
      </c>
      <c r="X997" t="s">
        <v>4484</v>
      </c>
      <c r="Y997" t="s">
        <v>1090</v>
      </c>
      <c r="Z997" t="s">
        <v>129</v>
      </c>
    </row>
    <row r="998" spans="1:26" ht="12.75" customHeight="1" x14ac:dyDescent="0.35">
      <c r="A998">
        <v>997</v>
      </c>
      <c r="B998">
        <v>45889.498500648144</v>
      </c>
      <c r="D998" t="s">
        <v>4906</v>
      </c>
      <c r="E998" t="s">
        <v>4907</v>
      </c>
      <c r="F998" t="s">
        <v>60</v>
      </c>
      <c r="G998" t="s">
        <v>60</v>
      </c>
      <c r="H998" t="s">
        <v>284</v>
      </c>
      <c r="I998" t="s">
        <v>173</v>
      </c>
      <c r="J998" t="s">
        <v>368</v>
      </c>
      <c r="K998" t="s">
        <v>94</v>
      </c>
      <c r="L998" t="s">
        <v>46</v>
      </c>
      <c r="N998" t="s">
        <v>4908</v>
      </c>
      <c r="O998" t="s">
        <v>49</v>
      </c>
      <c r="P998" t="s">
        <v>49</v>
      </c>
      <c r="Q998" t="s">
        <v>49</v>
      </c>
      <c r="R998" t="s">
        <v>4909</v>
      </c>
      <c r="S998" t="s">
        <v>48</v>
      </c>
      <c r="T998" t="s">
        <v>4910</v>
      </c>
      <c r="U998" t="s">
        <v>4911</v>
      </c>
      <c r="V998" t="s">
        <v>79</v>
      </c>
      <c r="X998" t="s">
        <v>1030</v>
      </c>
      <c r="Y998" t="s">
        <v>694</v>
      </c>
      <c r="Z998" t="s">
        <v>129</v>
      </c>
    </row>
    <row r="999" spans="1:26" ht="12.75" customHeight="1" x14ac:dyDescent="0.35">
      <c r="A999">
        <v>998</v>
      </c>
      <c r="B999">
        <v>45889.498550983801</v>
      </c>
      <c r="D999" t="s">
        <v>4912</v>
      </c>
      <c r="E999" t="s">
        <v>1041</v>
      </c>
      <c r="F999" t="s">
        <v>28</v>
      </c>
      <c r="G999" t="s">
        <v>44</v>
      </c>
      <c r="H999" t="s">
        <v>206</v>
      </c>
      <c r="I999" t="s">
        <v>103</v>
      </c>
      <c r="J999" t="s">
        <v>94</v>
      </c>
      <c r="K999" t="s">
        <v>73</v>
      </c>
      <c r="L999" t="s">
        <v>36</v>
      </c>
      <c r="N999" t="s">
        <v>4913</v>
      </c>
      <c r="O999" t="s">
        <v>49</v>
      </c>
      <c r="P999" t="s">
        <v>49</v>
      </c>
      <c r="Q999" t="s">
        <v>40</v>
      </c>
      <c r="R999" t="s">
        <v>4914</v>
      </c>
      <c r="S999" t="s">
        <v>48</v>
      </c>
      <c r="T999" t="s">
        <v>4915</v>
      </c>
      <c r="U999" t="s">
        <v>4916</v>
      </c>
      <c r="V999" t="s">
        <v>135</v>
      </c>
      <c r="X999" t="s">
        <v>4484</v>
      </c>
      <c r="Y999" t="s">
        <v>4567</v>
      </c>
      <c r="Z999" t="s">
        <v>91</v>
      </c>
    </row>
    <row r="1000" spans="1:26" ht="12.75" customHeight="1" x14ac:dyDescent="0.35">
      <c r="A1000">
        <v>999</v>
      </c>
      <c r="B1000">
        <v>45889.499420775464</v>
      </c>
      <c r="D1000" t="s">
        <v>4917</v>
      </c>
      <c r="E1000" t="s">
        <v>4918</v>
      </c>
      <c r="F1000" t="s">
        <v>29</v>
      </c>
      <c r="G1000" t="s">
        <v>29</v>
      </c>
      <c r="H1000" t="s">
        <v>29</v>
      </c>
      <c r="I1000" t="s">
        <v>197</v>
      </c>
      <c r="J1000" t="s">
        <v>103</v>
      </c>
      <c r="K1000" t="s">
        <v>292</v>
      </c>
      <c r="L1000" t="s">
        <v>36</v>
      </c>
      <c r="N1000" t="s">
        <v>4919</v>
      </c>
      <c r="O1000" t="s">
        <v>48</v>
      </c>
      <c r="P1000" t="s">
        <v>49</v>
      </c>
      <c r="Q1000" t="s">
        <v>49</v>
      </c>
      <c r="R1000" t="s">
        <v>4920</v>
      </c>
      <c r="S1000" t="s">
        <v>49</v>
      </c>
      <c r="T1000" t="s">
        <v>4921</v>
      </c>
      <c r="U1000" t="s">
        <v>4922</v>
      </c>
      <c r="V1000" t="s">
        <v>135</v>
      </c>
      <c r="X1000" t="s">
        <v>1030</v>
      </c>
      <c r="Y1000" t="s">
        <v>4923</v>
      </c>
      <c r="Z1000" t="s">
        <v>170</v>
      </c>
    </row>
    <row r="1001" spans="1:26" ht="12.75" customHeight="1" x14ac:dyDescent="0.35">
      <c r="A1001">
        <v>1000</v>
      </c>
      <c r="B1001">
        <v>45889.499459583334</v>
      </c>
      <c r="D1001" t="s">
        <v>4924</v>
      </c>
      <c r="E1001" t="s">
        <v>4925</v>
      </c>
      <c r="F1001" t="s">
        <v>28</v>
      </c>
      <c r="G1001" t="s">
        <v>44</v>
      </c>
      <c r="H1001" t="s">
        <v>206</v>
      </c>
      <c r="I1001" t="s">
        <v>173</v>
      </c>
      <c r="J1001" t="s">
        <v>94</v>
      </c>
      <c r="K1001" t="s">
        <v>73</v>
      </c>
      <c r="L1001" t="s">
        <v>46</v>
      </c>
      <c r="N1001" t="s">
        <v>4835</v>
      </c>
      <c r="O1001" t="s">
        <v>49</v>
      </c>
      <c r="P1001" t="s">
        <v>49</v>
      </c>
      <c r="Q1001" t="s">
        <v>40</v>
      </c>
      <c r="R1001" t="s">
        <v>4926</v>
      </c>
      <c r="S1001" t="s">
        <v>48</v>
      </c>
      <c r="T1001" t="s">
        <v>4927</v>
      </c>
      <c r="U1001" t="s">
        <v>4928</v>
      </c>
      <c r="V1001" t="s">
        <v>87</v>
      </c>
      <c r="X1001" t="s">
        <v>4484</v>
      </c>
      <c r="Y1001" t="s">
        <v>4397</v>
      </c>
      <c r="Z1001" t="s">
        <v>91</v>
      </c>
    </row>
    <row r="1002" spans="1:26" ht="12.75" customHeight="1" x14ac:dyDescent="0.35">
      <c r="A1002">
        <v>1001</v>
      </c>
      <c r="B1002">
        <v>45889.500198842594</v>
      </c>
      <c r="D1002" t="s">
        <v>4929</v>
      </c>
      <c r="E1002" t="s">
        <v>4312</v>
      </c>
      <c r="F1002" t="s">
        <v>344</v>
      </c>
      <c r="G1002" t="s">
        <v>28</v>
      </c>
      <c r="H1002" t="s">
        <v>28</v>
      </c>
      <c r="I1002" t="s">
        <v>34</v>
      </c>
      <c r="J1002" t="s">
        <v>34</v>
      </c>
      <c r="K1002" t="s">
        <v>28</v>
      </c>
      <c r="L1002" t="s">
        <v>36</v>
      </c>
      <c r="N1002" t="s">
        <v>4930</v>
      </c>
      <c r="O1002" t="s">
        <v>49</v>
      </c>
      <c r="P1002" t="s">
        <v>48</v>
      </c>
      <c r="Q1002" t="s">
        <v>38</v>
      </c>
      <c r="R1002" t="s">
        <v>4931</v>
      </c>
      <c r="S1002" t="s">
        <v>38</v>
      </c>
      <c r="T1002" t="s">
        <v>4932</v>
      </c>
      <c r="U1002" t="s">
        <v>4933</v>
      </c>
      <c r="V1002" t="s">
        <v>65</v>
      </c>
      <c r="X1002" t="s">
        <v>4484</v>
      </c>
      <c r="Y1002" t="s">
        <v>4800</v>
      </c>
      <c r="Z1002" t="s">
        <v>91</v>
      </c>
    </row>
    <row r="1003" spans="1:26" ht="12.75" customHeight="1" x14ac:dyDescent="0.35">
      <c r="A1003">
        <v>1002</v>
      </c>
      <c r="B1003">
        <v>45889.500754652778</v>
      </c>
      <c r="D1003" t="s">
        <v>4934</v>
      </c>
      <c r="E1003" t="s">
        <v>4935</v>
      </c>
      <c r="F1003" t="s">
        <v>449</v>
      </c>
      <c r="G1003" t="s">
        <v>44</v>
      </c>
      <c r="H1003" t="s">
        <v>206</v>
      </c>
      <c r="I1003" t="s">
        <v>158</v>
      </c>
      <c r="J1003" t="s">
        <v>368</v>
      </c>
      <c r="K1003" t="s">
        <v>94</v>
      </c>
      <c r="L1003" t="s">
        <v>46</v>
      </c>
      <c r="N1003" t="s">
        <v>4936</v>
      </c>
      <c r="O1003" t="s">
        <v>49</v>
      </c>
      <c r="P1003" t="s">
        <v>49</v>
      </c>
      <c r="Q1003" t="s">
        <v>49</v>
      </c>
      <c r="R1003" t="s">
        <v>4937</v>
      </c>
      <c r="S1003" t="s">
        <v>48</v>
      </c>
      <c r="T1003" t="s">
        <v>4938</v>
      </c>
      <c r="U1003" t="s">
        <v>4939</v>
      </c>
      <c r="V1003" t="s">
        <v>87</v>
      </c>
      <c r="X1003" t="s">
        <v>1030</v>
      </c>
      <c r="Y1003" t="s">
        <v>4940</v>
      </c>
      <c r="Z1003" t="s">
        <v>91</v>
      </c>
    </row>
    <row r="1004" spans="1:26" ht="12.75" customHeight="1" x14ac:dyDescent="0.35">
      <c r="A1004">
        <v>1003</v>
      </c>
      <c r="B1004">
        <v>45889.501080694448</v>
      </c>
      <c r="D1004" t="s">
        <v>4941</v>
      </c>
      <c r="E1004" t="s">
        <v>4369</v>
      </c>
      <c r="F1004" t="s">
        <v>28</v>
      </c>
      <c r="G1004" t="s">
        <v>28</v>
      </c>
      <c r="H1004" t="s">
        <v>206</v>
      </c>
      <c r="I1004" t="s">
        <v>28</v>
      </c>
      <c r="J1004" t="s">
        <v>94</v>
      </c>
      <c r="K1004" t="s">
        <v>73</v>
      </c>
      <c r="L1004" t="s">
        <v>46</v>
      </c>
      <c r="N1004" t="s">
        <v>4862</v>
      </c>
      <c r="O1004" t="s">
        <v>38</v>
      </c>
      <c r="P1004" t="s">
        <v>49</v>
      </c>
      <c r="Q1004" t="s">
        <v>40</v>
      </c>
      <c r="R1004" t="s">
        <v>4942</v>
      </c>
      <c r="S1004" t="s">
        <v>48</v>
      </c>
      <c r="T1004" t="s">
        <v>4943</v>
      </c>
      <c r="U1004" t="s">
        <v>4944</v>
      </c>
      <c r="V1004" t="s">
        <v>87</v>
      </c>
      <c r="X1004" t="s">
        <v>4484</v>
      </c>
      <c r="Y1004" t="s">
        <v>694</v>
      </c>
      <c r="Z1004" t="s">
        <v>91</v>
      </c>
    </row>
    <row r="1005" spans="1:26" ht="12.75" customHeight="1" x14ac:dyDescent="0.35">
      <c r="A1005">
        <v>1004</v>
      </c>
      <c r="B1005">
        <v>45889.501762824075</v>
      </c>
      <c r="D1005" t="s">
        <v>4945</v>
      </c>
      <c r="E1005" t="s">
        <v>4663</v>
      </c>
      <c r="F1005" t="s">
        <v>344</v>
      </c>
      <c r="G1005" t="s">
        <v>44</v>
      </c>
      <c r="H1005" t="s">
        <v>28</v>
      </c>
      <c r="I1005" t="s">
        <v>34</v>
      </c>
      <c r="J1005" t="s">
        <v>30</v>
      </c>
      <c r="K1005" t="s">
        <v>28</v>
      </c>
      <c r="L1005" t="s">
        <v>36</v>
      </c>
      <c r="N1005" t="s">
        <v>4796</v>
      </c>
      <c r="O1005" t="s">
        <v>49</v>
      </c>
      <c r="P1005" t="s">
        <v>48</v>
      </c>
      <c r="Q1005" t="s">
        <v>49</v>
      </c>
      <c r="R1005" t="s">
        <v>4946</v>
      </c>
      <c r="S1005" t="s">
        <v>49</v>
      </c>
      <c r="T1005" t="s">
        <v>4947</v>
      </c>
      <c r="U1005" t="s">
        <v>4948</v>
      </c>
      <c r="V1005" t="s">
        <v>87</v>
      </c>
      <c r="X1005" t="s">
        <v>4484</v>
      </c>
      <c r="Y1005" t="s">
        <v>1090</v>
      </c>
      <c r="Z1005" t="s">
        <v>91</v>
      </c>
    </row>
    <row r="1006" spans="1:26" ht="12.75" customHeight="1" x14ac:dyDescent="0.35">
      <c r="A1006">
        <v>1005</v>
      </c>
      <c r="B1006">
        <v>45889.501961076385</v>
      </c>
      <c r="D1006" t="s">
        <v>4949</v>
      </c>
      <c r="E1006" t="s">
        <v>4950</v>
      </c>
      <c r="F1006" t="s">
        <v>344</v>
      </c>
      <c r="G1006" t="s">
        <v>60</v>
      </c>
      <c r="H1006" t="s">
        <v>60</v>
      </c>
      <c r="I1006" t="s">
        <v>30</v>
      </c>
      <c r="J1006" t="s">
        <v>30</v>
      </c>
      <c r="K1006" t="s">
        <v>45</v>
      </c>
      <c r="L1006" t="s">
        <v>36</v>
      </c>
      <c r="N1006" t="s">
        <v>4951</v>
      </c>
      <c r="O1006" t="s">
        <v>49</v>
      </c>
      <c r="P1006" t="s">
        <v>48</v>
      </c>
      <c r="Q1006" t="s">
        <v>49</v>
      </c>
      <c r="R1006" t="s">
        <v>4952</v>
      </c>
      <c r="S1006" t="s">
        <v>49</v>
      </c>
      <c r="T1006" t="s">
        <v>4953</v>
      </c>
      <c r="U1006" t="s">
        <v>4954</v>
      </c>
      <c r="V1006" t="s">
        <v>87</v>
      </c>
      <c r="X1006" t="s">
        <v>1030</v>
      </c>
      <c r="Y1006" t="s">
        <v>1090</v>
      </c>
      <c r="Z1006" t="s">
        <v>91</v>
      </c>
    </row>
    <row r="1007" spans="1:26" ht="12.75" customHeight="1" x14ac:dyDescent="0.35">
      <c r="A1007">
        <v>1006</v>
      </c>
      <c r="B1007">
        <v>45889.502492060186</v>
      </c>
      <c r="D1007" t="s">
        <v>4955</v>
      </c>
      <c r="E1007" t="s">
        <v>4265</v>
      </c>
      <c r="F1007" t="s">
        <v>28</v>
      </c>
      <c r="G1007" t="s">
        <v>28</v>
      </c>
      <c r="H1007" t="s">
        <v>206</v>
      </c>
      <c r="I1007" t="s">
        <v>28</v>
      </c>
      <c r="J1007" t="s">
        <v>94</v>
      </c>
      <c r="K1007" t="s">
        <v>73</v>
      </c>
      <c r="L1007" t="s">
        <v>46</v>
      </c>
      <c r="N1007" t="s">
        <v>4777</v>
      </c>
      <c r="O1007" t="s">
        <v>49</v>
      </c>
      <c r="P1007" t="s">
        <v>49</v>
      </c>
      <c r="Q1007" t="s">
        <v>38</v>
      </c>
      <c r="R1007" t="s">
        <v>4956</v>
      </c>
      <c r="S1007" t="s">
        <v>48</v>
      </c>
      <c r="T1007" t="s">
        <v>4957</v>
      </c>
      <c r="U1007" t="s">
        <v>4958</v>
      </c>
      <c r="V1007" t="s">
        <v>79</v>
      </c>
      <c r="X1007" t="s">
        <v>4484</v>
      </c>
      <c r="Y1007" t="s">
        <v>4959</v>
      </c>
      <c r="Z1007" t="s">
        <v>91</v>
      </c>
    </row>
    <row r="1008" spans="1:26" ht="12.75" customHeight="1" x14ac:dyDescent="0.35">
      <c r="A1008">
        <v>1007</v>
      </c>
      <c r="B1008">
        <v>45889.502900949075</v>
      </c>
      <c r="D1008" t="s">
        <v>4960</v>
      </c>
      <c r="E1008" t="s">
        <v>4961</v>
      </c>
      <c r="F1008" t="s">
        <v>28</v>
      </c>
      <c r="G1008" t="s">
        <v>28</v>
      </c>
      <c r="H1008" t="s">
        <v>206</v>
      </c>
      <c r="I1008" t="s">
        <v>28</v>
      </c>
      <c r="J1008" t="s">
        <v>94</v>
      </c>
      <c r="K1008" t="s">
        <v>94</v>
      </c>
      <c r="L1008" t="s">
        <v>46</v>
      </c>
      <c r="N1008" t="s">
        <v>4962</v>
      </c>
      <c r="O1008" t="s">
        <v>49</v>
      </c>
      <c r="P1008" t="s">
        <v>49</v>
      </c>
      <c r="Q1008" t="s">
        <v>49</v>
      </c>
      <c r="R1008" t="s">
        <v>4963</v>
      </c>
      <c r="S1008" t="s">
        <v>48</v>
      </c>
      <c r="T1008" t="s">
        <v>4964</v>
      </c>
      <c r="U1008" t="s">
        <v>4965</v>
      </c>
      <c r="V1008" t="s">
        <v>53</v>
      </c>
      <c r="X1008" t="s">
        <v>1030</v>
      </c>
      <c r="Y1008" t="s">
        <v>4966</v>
      </c>
      <c r="Z1008" t="s">
        <v>129</v>
      </c>
    </row>
    <row r="1009" spans="1:26" ht="12.75" customHeight="1" x14ac:dyDescent="0.35">
      <c r="A1009">
        <v>1008</v>
      </c>
      <c r="B1009">
        <v>45889.5038240625</v>
      </c>
      <c r="D1009" t="s">
        <v>1740</v>
      </c>
      <c r="E1009" t="s">
        <v>4967</v>
      </c>
      <c r="F1009" t="s">
        <v>60</v>
      </c>
      <c r="G1009" t="s">
        <v>29</v>
      </c>
      <c r="H1009" t="s">
        <v>29</v>
      </c>
      <c r="I1009" t="s">
        <v>173</v>
      </c>
      <c r="J1009" t="s">
        <v>173</v>
      </c>
      <c r="K1009" t="s">
        <v>35</v>
      </c>
      <c r="L1009" t="s">
        <v>36</v>
      </c>
      <c r="N1009" t="s">
        <v>555</v>
      </c>
      <c r="O1009" t="s">
        <v>48</v>
      </c>
      <c r="P1009" t="s">
        <v>49</v>
      </c>
      <c r="Q1009" t="s">
        <v>49</v>
      </c>
      <c r="R1009" t="s">
        <v>4968</v>
      </c>
      <c r="S1009" t="s">
        <v>49</v>
      </c>
      <c r="T1009" t="s">
        <v>4969</v>
      </c>
      <c r="U1009" t="s">
        <v>4970</v>
      </c>
      <c r="V1009" t="s">
        <v>53</v>
      </c>
      <c r="X1009" t="s">
        <v>1030</v>
      </c>
      <c r="Y1009" t="s">
        <v>4971</v>
      </c>
      <c r="Z1009" t="s">
        <v>91</v>
      </c>
    </row>
    <row r="1010" spans="1:26" ht="12.75" customHeight="1" x14ac:dyDescent="0.35">
      <c r="A1010">
        <v>1009</v>
      </c>
      <c r="B1010">
        <v>45889.504840543981</v>
      </c>
      <c r="D1010" t="s">
        <v>4972</v>
      </c>
      <c r="E1010" t="s">
        <v>4973</v>
      </c>
      <c r="F1010" t="s">
        <v>60</v>
      </c>
      <c r="G1010" t="s">
        <v>60</v>
      </c>
      <c r="H1010" t="s">
        <v>284</v>
      </c>
      <c r="I1010" t="s">
        <v>173</v>
      </c>
      <c r="J1010" t="s">
        <v>368</v>
      </c>
      <c r="K1010" t="s">
        <v>94</v>
      </c>
      <c r="L1010" t="s">
        <v>46</v>
      </c>
      <c r="N1010" t="s">
        <v>4974</v>
      </c>
      <c r="O1010" t="s">
        <v>49</v>
      </c>
      <c r="P1010" t="s">
        <v>49</v>
      </c>
      <c r="Q1010" t="s">
        <v>49</v>
      </c>
      <c r="R1010" t="s">
        <v>4975</v>
      </c>
      <c r="S1010" t="s">
        <v>48</v>
      </c>
      <c r="T1010" t="s">
        <v>4976</v>
      </c>
      <c r="U1010" t="s">
        <v>4977</v>
      </c>
      <c r="V1010" t="s">
        <v>79</v>
      </c>
      <c r="X1010" t="s">
        <v>1030</v>
      </c>
      <c r="Y1010" t="s">
        <v>4376</v>
      </c>
      <c r="Z1010" t="s">
        <v>129</v>
      </c>
    </row>
    <row r="1011" spans="1:26" ht="12.75" customHeight="1" x14ac:dyDescent="0.35">
      <c r="A1011">
        <v>1010</v>
      </c>
      <c r="B1011">
        <v>45889.507631157408</v>
      </c>
      <c r="D1011" t="s">
        <v>4978</v>
      </c>
      <c r="E1011" t="s">
        <v>4979</v>
      </c>
      <c r="F1011" t="s">
        <v>29</v>
      </c>
      <c r="G1011" t="s">
        <v>29</v>
      </c>
      <c r="H1011" t="s">
        <v>29</v>
      </c>
      <c r="I1011" t="s">
        <v>30</v>
      </c>
      <c r="J1011" t="s">
        <v>30</v>
      </c>
      <c r="K1011" t="s">
        <v>61</v>
      </c>
      <c r="L1011" t="s">
        <v>36</v>
      </c>
      <c r="N1011" t="s">
        <v>4980</v>
      </c>
      <c r="O1011" t="s">
        <v>49</v>
      </c>
      <c r="P1011" t="s">
        <v>49</v>
      </c>
      <c r="Q1011" t="s">
        <v>49</v>
      </c>
      <c r="R1011" t="s">
        <v>4981</v>
      </c>
      <c r="S1011" t="s">
        <v>49</v>
      </c>
      <c r="T1011" t="s">
        <v>86</v>
      </c>
      <c r="U1011" t="s">
        <v>86</v>
      </c>
      <c r="V1011" t="s">
        <v>135</v>
      </c>
      <c r="W1011" t="s">
        <v>4982</v>
      </c>
      <c r="X1011" t="s">
        <v>118</v>
      </c>
      <c r="Y1011" t="s">
        <v>4983</v>
      </c>
      <c r="Z1011" t="s">
        <v>91</v>
      </c>
    </row>
    <row r="1012" spans="1:26" ht="12.75" customHeight="1" x14ac:dyDescent="0.35">
      <c r="A1012">
        <v>1011</v>
      </c>
      <c r="B1012">
        <v>45889.523388240741</v>
      </c>
      <c r="D1012" t="s">
        <v>4984</v>
      </c>
      <c r="E1012" t="s">
        <v>4985</v>
      </c>
      <c r="F1012" t="s">
        <v>28</v>
      </c>
      <c r="G1012" t="s">
        <v>28</v>
      </c>
      <c r="H1012" t="s">
        <v>28</v>
      </c>
      <c r="I1012" t="s">
        <v>28</v>
      </c>
      <c r="J1012" t="s">
        <v>28</v>
      </c>
      <c r="K1012" t="s">
        <v>28</v>
      </c>
      <c r="L1012" t="s">
        <v>46</v>
      </c>
      <c r="N1012" t="s">
        <v>383</v>
      </c>
      <c r="O1012" t="s">
        <v>49</v>
      </c>
      <c r="P1012" t="s">
        <v>49</v>
      </c>
      <c r="Q1012" t="s">
        <v>49</v>
      </c>
      <c r="R1012" t="s">
        <v>4986</v>
      </c>
      <c r="S1012" t="s">
        <v>49</v>
      </c>
      <c r="T1012" t="s">
        <v>4987</v>
      </c>
      <c r="U1012" t="s">
        <v>4988</v>
      </c>
      <c r="V1012" t="s">
        <v>135</v>
      </c>
      <c r="W1012" t="s">
        <v>4989</v>
      </c>
      <c r="X1012" t="s">
        <v>109</v>
      </c>
      <c r="Y1012" t="s">
        <v>56</v>
      </c>
      <c r="Z1012" t="s">
        <v>129</v>
      </c>
    </row>
    <row r="1013" spans="1:26" ht="12.75" customHeight="1" x14ac:dyDescent="0.35">
      <c r="A1013">
        <v>1012</v>
      </c>
      <c r="B1013">
        <v>45889.537999826389</v>
      </c>
      <c r="D1013" t="s">
        <v>4990</v>
      </c>
      <c r="E1013" t="s">
        <v>4991</v>
      </c>
      <c r="F1013" t="s">
        <v>377</v>
      </c>
      <c r="G1013" t="s">
        <v>28</v>
      </c>
      <c r="H1013" t="s">
        <v>28</v>
      </c>
      <c r="I1013" t="s">
        <v>30</v>
      </c>
      <c r="J1013" t="s">
        <v>28</v>
      </c>
      <c r="K1013" t="s">
        <v>28</v>
      </c>
      <c r="L1013" t="s">
        <v>36</v>
      </c>
      <c r="N1013" t="s">
        <v>4992</v>
      </c>
      <c r="O1013" t="s">
        <v>49</v>
      </c>
      <c r="P1013" t="s">
        <v>48</v>
      </c>
      <c r="Q1013" t="s">
        <v>49</v>
      </c>
      <c r="R1013" t="s">
        <v>4993</v>
      </c>
      <c r="S1013" t="s">
        <v>49</v>
      </c>
      <c r="T1013" t="s">
        <v>4994</v>
      </c>
      <c r="U1013" t="s">
        <v>4995</v>
      </c>
      <c r="V1013" t="s">
        <v>87</v>
      </c>
      <c r="X1013" t="s">
        <v>109</v>
      </c>
      <c r="Y1013" t="s">
        <v>4996</v>
      </c>
      <c r="Z1013" t="s">
        <v>91</v>
      </c>
    </row>
    <row r="1014" spans="1:26" ht="12.75" customHeight="1" x14ac:dyDescent="0.35">
      <c r="A1014">
        <v>1013</v>
      </c>
      <c r="B1014">
        <v>45889.647463923611</v>
      </c>
      <c r="D1014" t="s">
        <v>4997</v>
      </c>
      <c r="E1014" t="s">
        <v>1724</v>
      </c>
      <c r="F1014" t="s">
        <v>28</v>
      </c>
      <c r="G1014" t="s">
        <v>28</v>
      </c>
      <c r="H1014" t="s">
        <v>206</v>
      </c>
      <c r="I1014" t="s">
        <v>28</v>
      </c>
      <c r="J1014" t="s">
        <v>94</v>
      </c>
      <c r="K1014" t="s">
        <v>73</v>
      </c>
      <c r="L1014" t="s">
        <v>46</v>
      </c>
      <c r="N1014" t="s">
        <v>4152</v>
      </c>
      <c r="O1014" t="s">
        <v>48</v>
      </c>
      <c r="P1014" t="s">
        <v>38</v>
      </c>
      <c r="Q1014" t="s">
        <v>38</v>
      </c>
      <c r="R1014" t="s">
        <v>4998</v>
      </c>
      <c r="S1014" t="s">
        <v>48</v>
      </c>
      <c r="T1014" t="s">
        <v>4999</v>
      </c>
      <c r="U1014" t="s">
        <v>5000</v>
      </c>
      <c r="V1014" t="s">
        <v>65</v>
      </c>
      <c r="W1014" t="s">
        <v>5001</v>
      </c>
      <c r="X1014" t="s">
        <v>4148</v>
      </c>
      <c r="Y1014" t="s">
        <v>1532</v>
      </c>
      <c r="Z1014" t="s">
        <v>91</v>
      </c>
    </row>
    <row r="1015" spans="1:26" ht="12.75" customHeight="1" x14ac:dyDescent="0.35">
      <c r="A1015">
        <v>1014</v>
      </c>
      <c r="B1015">
        <v>45889.649881840276</v>
      </c>
      <c r="D1015" t="s">
        <v>5002</v>
      </c>
      <c r="E1015" t="s">
        <v>1041</v>
      </c>
      <c r="F1015" t="s">
        <v>60</v>
      </c>
      <c r="G1015" t="s">
        <v>29</v>
      </c>
      <c r="H1015" t="s">
        <v>44</v>
      </c>
      <c r="I1015" t="s">
        <v>173</v>
      </c>
      <c r="J1015" t="s">
        <v>368</v>
      </c>
      <c r="K1015" t="s">
        <v>368</v>
      </c>
      <c r="L1015" t="s">
        <v>36</v>
      </c>
      <c r="N1015" t="s">
        <v>4152</v>
      </c>
      <c r="O1015" t="s">
        <v>48</v>
      </c>
      <c r="P1015" t="s">
        <v>38</v>
      </c>
      <c r="Q1015" t="s">
        <v>39</v>
      </c>
      <c r="R1015" t="s">
        <v>5003</v>
      </c>
      <c r="S1015" t="s">
        <v>48</v>
      </c>
      <c r="T1015" t="s">
        <v>5004</v>
      </c>
      <c r="U1015" t="s">
        <v>5005</v>
      </c>
      <c r="V1015" t="s">
        <v>53</v>
      </c>
      <c r="W1015" t="s">
        <v>5006</v>
      </c>
      <c r="X1015" t="s">
        <v>4148</v>
      </c>
      <c r="Y1015" t="s">
        <v>4567</v>
      </c>
      <c r="Z1015" t="s">
        <v>91</v>
      </c>
    </row>
    <row r="1016" spans="1:26" ht="12.75" customHeight="1" x14ac:dyDescent="0.35">
      <c r="A1016">
        <v>1015</v>
      </c>
      <c r="B1016">
        <v>45889.650735243056</v>
      </c>
      <c r="D1016" t="s">
        <v>5007</v>
      </c>
      <c r="E1016" t="s">
        <v>4663</v>
      </c>
      <c r="F1016" t="s">
        <v>71</v>
      </c>
      <c r="G1016" t="s">
        <v>28</v>
      </c>
      <c r="H1016" t="s">
        <v>28</v>
      </c>
      <c r="I1016" t="s">
        <v>34</v>
      </c>
      <c r="J1016" t="s">
        <v>34</v>
      </c>
      <c r="K1016" t="s">
        <v>28</v>
      </c>
      <c r="L1016" t="s">
        <v>46</v>
      </c>
      <c r="N1016" t="s">
        <v>4163</v>
      </c>
      <c r="O1016" t="s">
        <v>38</v>
      </c>
      <c r="P1016" t="s">
        <v>48</v>
      </c>
      <c r="Q1016" t="s">
        <v>38</v>
      </c>
      <c r="R1016" t="s">
        <v>5008</v>
      </c>
      <c r="S1016" t="s">
        <v>38</v>
      </c>
      <c r="T1016" t="s">
        <v>5009</v>
      </c>
      <c r="U1016" t="s">
        <v>5010</v>
      </c>
      <c r="V1016" t="s">
        <v>79</v>
      </c>
      <c r="W1016" t="s">
        <v>5011</v>
      </c>
      <c r="X1016" t="s">
        <v>4148</v>
      </c>
      <c r="Y1016" t="s">
        <v>1090</v>
      </c>
      <c r="Z1016" t="s">
        <v>91</v>
      </c>
    </row>
    <row r="1017" spans="1:26" ht="12.75" customHeight="1" x14ac:dyDescent="0.35">
      <c r="A1017">
        <v>1016</v>
      </c>
      <c r="B1017">
        <v>45889.651532777774</v>
      </c>
      <c r="D1017" t="s">
        <v>5012</v>
      </c>
      <c r="E1017" t="s">
        <v>4225</v>
      </c>
      <c r="F1017" t="s">
        <v>28</v>
      </c>
      <c r="G1017" t="s">
        <v>28</v>
      </c>
      <c r="H1017" t="s">
        <v>206</v>
      </c>
      <c r="I1017" t="s">
        <v>28</v>
      </c>
      <c r="J1017" t="s">
        <v>368</v>
      </c>
      <c r="K1017" t="s">
        <v>73</v>
      </c>
      <c r="L1017" t="s">
        <v>36</v>
      </c>
      <c r="N1017" t="s">
        <v>4180</v>
      </c>
      <c r="O1017" t="s">
        <v>49</v>
      </c>
      <c r="P1017" t="s">
        <v>49</v>
      </c>
      <c r="Q1017" t="s">
        <v>39</v>
      </c>
      <c r="R1017" t="s">
        <v>5013</v>
      </c>
      <c r="S1017" t="s">
        <v>48</v>
      </c>
      <c r="T1017" t="s">
        <v>5014</v>
      </c>
      <c r="U1017" t="s">
        <v>5015</v>
      </c>
      <c r="V1017" t="s">
        <v>53</v>
      </c>
      <c r="W1017" t="s">
        <v>5016</v>
      </c>
      <c r="X1017" t="s">
        <v>4148</v>
      </c>
      <c r="Y1017" t="s">
        <v>1090</v>
      </c>
      <c r="Z1017" t="s">
        <v>129</v>
      </c>
    </row>
    <row r="1018" spans="1:26" ht="12.75" customHeight="1" x14ac:dyDescent="0.35">
      <c r="A1018">
        <v>1017</v>
      </c>
      <c r="B1018">
        <v>45889.652398946761</v>
      </c>
      <c r="D1018" t="s">
        <v>5017</v>
      </c>
      <c r="E1018" t="s">
        <v>4369</v>
      </c>
      <c r="F1018" t="s">
        <v>60</v>
      </c>
      <c r="G1018" t="s">
        <v>33</v>
      </c>
      <c r="H1018" t="s">
        <v>29</v>
      </c>
      <c r="I1018" t="s">
        <v>28</v>
      </c>
      <c r="J1018" t="s">
        <v>28</v>
      </c>
      <c r="K1018" t="s">
        <v>28</v>
      </c>
      <c r="L1018" t="s">
        <v>46</v>
      </c>
      <c r="N1018" t="s">
        <v>4143</v>
      </c>
      <c r="O1018" t="s">
        <v>48</v>
      </c>
      <c r="P1018" t="s">
        <v>49</v>
      </c>
      <c r="Q1018" t="s">
        <v>40</v>
      </c>
      <c r="R1018" t="s">
        <v>5018</v>
      </c>
      <c r="S1018" t="s">
        <v>38</v>
      </c>
      <c r="T1018" t="s">
        <v>5019</v>
      </c>
      <c r="U1018" t="s">
        <v>5020</v>
      </c>
      <c r="V1018" t="s">
        <v>53</v>
      </c>
      <c r="W1018" t="s">
        <v>5021</v>
      </c>
      <c r="X1018" t="s">
        <v>4148</v>
      </c>
      <c r="Y1018" t="s">
        <v>694</v>
      </c>
      <c r="Z1018" t="s">
        <v>91</v>
      </c>
    </row>
    <row r="1019" spans="1:26" ht="12.75" customHeight="1" x14ac:dyDescent="0.35">
      <c r="A1019">
        <v>1018</v>
      </c>
      <c r="B1019">
        <v>45889.653182071765</v>
      </c>
      <c r="D1019" t="s">
        <v>5022</v>
      </c>
      <c r="E1019" t="s">
        <v>4727</v>
      </c>
      <c r="F1019" t="s">
        <v>344</v>
      </c>
      <c r="G1019" t="s">
        <v>28</v>
      </c>
      <c r="H1019" t="s">
        <v>28</v>
      </c>
      <c r="I1019" t="s">
        <v>34</v>
      </c>
      <c r="J1019" t="s">
        <v>34</v>
      </c>
      <c r="K1019" t="s">
        <v>28</v>
      </c>
      <c r="L1019" t="s">
        <v>36</v>
      </c>
      <c r="N1019" t="s">
        <v>5023</v>
      </c>
      <c r="O1019" t="s">
        <v>49</v>
      </c>
      <c r="P1019" t="s">
        <v>48</v>
      </c>
      <c r="Q1019" t="s">
        <v>39</v>
      </c>
      <c r="R1019" t="s">
        <v>5024</v>
      </c>
      <c r="S1019" t="s">
        <v>38</v>
      </c>
      <c r="T1019" t="s">
        <v>5025</v>
      </c>
      <c r="U1019" t="s">
        <v>5026</v>
      </c>
      <c r="V1019" t="s">
        <v>65</v>
      </c>
      <c r="W1019" t="s">
        <v>5027</v>
      </c>
      <c r="X1019" t="s">
        <v>4148</v>
      </c>
      <c r="Y1019" t="s">
        <v>759</v>
      </c>
      <c r="Z1019" t="s">
        <v>91</v>
      </c>
    </row>
    <row r="1020" spans="1:26" ht="12.75" customHeight="1" x14ac:dyDescent="0.35">
      <c r="A1020">
        <v>1019</v>
      </c>
      <c r="B1020">
        <v>45889.65406439815</v>
      </c>
      <c r="D1020" t="s">
        <v>5028</v>
      </c>
      <c r="E1020" t="s">
        <v>5029</v>
      </c>
      <c r="F1020" t="s">
        <v>28</v>
      </c>
      <c r="G1020" t="s">
        <v>28</v>
      </c>
      <c r="H1020" t="s">
        <v>206</v>
      </c>
      <c r="I1020" t="s">
        <v>28</v>
      </c>
      <c r="J1020" t="s">
        <v>368</v>
      </c>
      <c r="K1020" t="s">
        <v>73</v>
      </c>
      <c r="L1020" t="s">
        <v>46</v>
      </c>
      <c r="N1020" t="s">
        <v>5030</v>
      </c>
      <c r="O1020" t="s">
        <v>49</v>
      </c>
      <c r="P1020" t="s">
        <v>49</v>
      </c>
      <c r="Q1020" t="s">
        <v>38</v>
      </c>
      <c r="R1020" t="s">
        <v>5031</v>
      </c>
      <c r="S1020" t="s">
        <v>48</v>
      </c>
      <c r="T1020" t="s">
        <v>5032</v>
      </c>
      <c r="U1020" t="s">
        <v>5033</v>
      </c>
      <c r="V1020" t="s">
        <v>135</v>
      </c>
      <c r="W1020" t="s">
        <v>5034</v>
      </c>
      <c r="X1020" t="s">
        <v>4148</v>
      </c>
      <c r="Y1020" t="s">
        <v>4635</v>
      </c>
      <c r="Z1020" t="s">
        <v>91</v>
      </c>
    </row>
    <row r="1021" spans="1:26" ht="12.75" customHeight="1" x14ac:dyDescent="0.35">
      <c r="A1021">
        <v>1020</v>
      </c>
      <c r="B1021">
        <v>45889.655023206018</v>
      </c>
      <c r="D1021" t="s">
        <v>5028</v>
      </c>
      <c r="E1021" t="s">
        <v>5029</v>
      </c>
      <c r="F1021" t="s">
        <v>28</v>
      </c>
      <c r="G1021" t="s">
        <v>158</v>
      </c>
      <c r="H1021" t="s">
        <v>73</v>
      </c>
      <c r="I1021" t="s">
        <v>158</v>
      </c>
      <c r="J1021" t="s">
        <v>94</v>
      </c>
      <c r="K1021" t="s">
        <v>368</v>
      </c>
      <c r="L1021" t="s">
        <v>46</v>
      </c>
      <c r="N1021" t="s">
        <v>5030</v>
      </c>
      <c r="O1021" t="s">
        <v>49</v>
      </c>
      <c r="P1021" t="s">
        <v>49</v>
      </c>
      <c r="Q1021" t="s">
        <v>49</v>
      </c>
      <c r="R1021" t="s">
        <v>5031</v>
      </c>
      <c r="S1021" t="s">
        <v>48</v>
      </c>
      <c r="T1021" t="s">
        <v>5032</v>
      </c>
      <c r="U1021" t="s">
        <v>5033</v>
      </c>
      <c r="V1021" t="s">
        <v>135</v>
      </c>
      <c r="W1021" t="s">
        <v>5034</v>
      </c>
      <c r="X1021" t="s">
        <v>4148</v>
      </c>
      <c r="Y1021" t="s">
        <v>4635</v>
      </c>
      <c r="Z1021" t="s">
        <v>91</v>
      </c>
    </row>
    <row r="1022" spans="1:26" ht="12.75" customHeight="1" x14ac:dyDescent="0.35">
      <c r="A1022">
        <v>1021</v>
      </c>
      <c r="B1022">
        <v>45889.655899606485</v>
      </c>
      <c r="D1022" t="s">
        <v>5035</v>
      </c>
      <c r="E1022" t="s">
        <v>4277</v>
      </c>
      <c r="F1022" t="s">
        <v>60</v>
      </c>
      <c r="G1022" t="s">
        <v>60</v>
      </c>
      <c r="H1022" t="s">
        <v>29</v>
      </c>
      <c r="I1022" t="s">
        <v>28</v>
      </c>
      <c r="J1022" t="s">
        <v>28</v>
      </c>
      <c r="K1022" t="s">
        <v>28</v>
      </c>
      <c r="L1022" t="s">
        <v>46</v>
      </c>
      <c r="N1022" t="s">
        <v>5036</v>
      </c>
      <c r="O1022" t="s">
        <v>48</v>
      </c>
      <c r="P1022" t="s">
        <v>49</v>
      </c>
      <c r="Q1022" t="s">
        <v>38</v>
      </c>
      <c r="R1022" t="s">
        <v>5037</v>
      </c>
      <c r="S1022" t="s">
        <v>38</v>
      </c>
      <c r="T1022" t="s">
        <v>5038</v>
      </c>
      <c r="U1022" t="s">
        <v>5039</v>
      </c>
      <c r="V1022" t="s">
        <v>87</v>
      </c>
      <c r="W1022" t="s">
        <v>5040</v>
      </c>
      <c r="X1022" t="s">
        <v>4148</v>
      </c>
      <c r="Y1022" t="s">
        <v>4397</v>
      </c>
      <c r="Z1022" t="s">
        <v>91</v>
      </c>
    </row>
    <row r="1023" spans="1:26" ht="12.75" customHeight="1" x14ac:dyDescent="0.35">
      <c r="A1023">
        <v>1022</v>
      </c>
      <c r="B1023">
        <v>45889.65745460648</v>
      </c>
      <c r="D1023" t="s">
        <v>5041</v>
      </c>
      <c r="E1023" t="s">
        <v>5042</v>
      </c>
      <c r="F1023" t="s">
        <v>449</v>
      </c>
      <c r="G1023" t="s">
        <v>28</v>
      </c>
      <c r="H1023" t="s">
        <v>28</v>
      </c>
      <c r="I1023" t="s">
        <v>34</v>
      </c>
      <c r="J1023" t="s">
        <v>173</v>
      </c>
      <c r="K1023" t="s">
        <v>28</v>
      </c>
      <c r="L1023" t="s">
        <v>36</v>
      </c>
      <c r="N1023" t="s">
        <v>5043</v>
      </c>
      <c r="O1023" t="s">
        <v>38</v>
      </c>
      <c r="P1023" t="s">
        <v>48</v>
      </c>
      <c r="Q1023" t="s">
        <v>40</v>
      </c>
      <c r="R1023" t="s">
        <v>5044</v>
      </c>
      <c r="S1023" t="s">
        <v>38</v>
      </c>
      <c r="T1023" t="s">
        <v>5045</v>
      </c>
      <c r="U1023" t="s">
        <v>5046</v>
      </c>
      <c r="V1023" t="s">
        <v>79</v>
      </c>
      <c r="W1023" t="s">
        <v>5047</v>
      </c>
      <c r="X1023" t="s">
        <v>4148</v>
      </c>
      <c r="Y1023" t="s">
        <v>5048</v>
      </c>
      <c r="Z1023" t="s">
        <v>91</v>
      </c>
    </row>
    <row r="1024" spans="1:26" ht="12.75" customHeight="1" x14ac:dyDescent="0.35">
      <c r="A1024">
        <v>1023</v>
      </c>
      <c r="B1024">
        <v>45889.658327812504</v>
      </c>
      <c r="D1024" t="s">
        <v>5049</v>
      </c>
      <c r="E1024" t="s">
        <v>1520</v>
      </c>
      <c r="F1024" t="s">
        <v>449</v>
      </c>
      <c r="G1024" t="s">
        <v>28</v>
      </c>
      <c r="H1024" t="s">
        <v>284</v>
      </c>
      <c r="I1024" t="s">
        <v>30</v>
      </c>
      <c r="J1024" t="s">
        <v>28</v>
      </c>
      <c r="K1024" t="s">
        <v>94</v>
      </c>
      <c r="L1024" t="s">
        <v>46</v>
      </c>
      <c r="N1024" t="s">
        <v>5050</v>
      </c>
      <c r="O1024" t="s">
        <v>38</v>
      </c>
      <c r="P1024" t="s">
        <v>48</v>
      </c>
      <c r="Q1024" t="s">
        <v>39</v>
      </c>
      <c r="R1024" t="s">
        <v>5051</v>
      </c>
      <c r="S1024" t="s">
        <v>49</v>
      </c>
      <c r="T1024" t="s">
        <v>5052</v>
      </c>
      <c r="U1024" t="s">
        <v>5053</v>
      </c>
      <c r="V1024" t="s">
        <v>53</v>
      </c>
      <c r="W1024" t="s">
        <v>5054</v>
      </c>
      <c r="X1024" t="s">
        <v>4148</v>
      </c>
      <c r="Y1024" t="s">
        <v>1235</v>
      </c>
      <c r="Z1024" t="s">
        <v>91</v>
      </c>
    </row>
    <row r="1025" spans="1:26" ht="12.75" customHeight="1" x14ac:dyDescent="0.35">
      <c r="A1025">
        <v>1024</v>
      </c>
      <c r="B1025">
        <v>45889.659359826386</v>
      </c>
      <c r="D1025" t="s">
        <v>5055</v>
      </c>
      <c r="E1025" t="s">
        <v>1112</v>
      </c>
      <c r="F1025" t="s">
        <v>28</v>
      </c>
      <c r="G1025" t="s">
        <v>29</v>
      </c>
      <c r="H1025" t="s">
        <v>60</v>
      </c>
      <c r="I1025" t="s">
        <v>30</v>
      </c>
      <c r="J1025" t="s">
        <v>103</v>
      </c>
      <c r="K1025" t="s">
        <v>28</v>
      </c>
      <c r="L1025" t="s">
        <v>36</v>
      </c>
      <c r="N1025" t="s">
        <v>4170</v>
      </c>
      <c r="O1025" t="s">
        <v>48</v>
      </c>
      <c r="P1025" t="s">
        <v>48</v>
      </c>
      <c r="Q1025" t="s">
        <v>38</v>
      </c>
      <c r="R1025" t="s">
        <v>5056</v>
      </c>
      <c r="S1025" t="s">
        <v>38</v>
      </c>
      <c r="T1025" t="s">
        <v>5057</v>
      </c>
      <c r="U1025" t="s">
        <v>5058</v>
      </c>
      <c r="V1025" t="s">
        <v>53</v>
      </c>
      <c r="W1025" t="s">
        <v>5059</v>
      </c>
      <c r="X1025" t="s">
        <v>4148</v>
      </c>
      <c r="Y1025" t="s">
        <v>1532</v>
      </c>
      <c r="Z1025" t="s">
        <v>91</v>
      </c>
    </row>
    <row r="1026" spans="1:26" ht="12.75" customHeight="1" x14ac:dyDescent="0.35">
      <c r="A1026">
        <v>1025</v>
      </c>
      <c r="B1026">
        <v>45889.659750115738</v>
      </c>
      <c r="D1026" t="s">
        <v>5060</v>
      </c>
      <c r="E1026" t="s">
        <v>1077</v>
      </c>
      <c r="F1026" t="s">
        <v>344</v>
      </c>
      <c r="G1026" t="s">
        <v>60</v>
      </c>
      <c r="H1026" t="s">
        <v>44</v>
      </c>
      <c r="I1026" t="s">
        <v>30</v>
      </c>
      <c r="J1026" t="s">
        <v>30</v>
      </c>
      <c r="K1026" t="s">
        <v>35</v>
      </c>
      <c r="L1026" t="s">
        <v>36</v>
      </c>
      <c r="N1026" t="s">
        <v>1395</v>
      </c>
      <c r="O1026" t="s">
        <v>49</v>
      </c>
      <c r="P1026" t="s">
        <v>48</v>
      </c>
      <c r="Q1026" t="s">
        <v>49</v>
      </c>
      <c r="R1026" t="s">
        <v>5061</v>
      </c>
      <c r="S1026" t="s">
        <v>49</v>
      </c>
      <c r="T1026" t="s">
        <v>5062</v>
      </c>
      <c r="U1026" t="s">
        <v>5063</v>
      </c>
      <c r="V1026" t="s">
        <v>87</v>
      </c>
      <c r="X1026" t="s">
        <v>2246</v>
      </c>
      <c r="Y1026" t="s">
        <v>5064</v>
      </c>
      <c r="Z1026" t="s">
        <v>91</v>
      </c>
    </row>
    <row r="1027" spans="1:26" ht="12.75" customHeight="1" x14ac:dyDescent="0.35">
      <c r="A1027">
        <v>1026</v>
      </c>
      <c r="B1027">
        <v>45889.660970914352</v>
      </c>
      <c r="D1027" t="s">
        <v>5065</v>
      </c>
      <c r="E1027" t="s">
        <v>4283</v>
      </c>
      <c r="F1027" t="s">
        <v>449</v>
      </c>
      <c r="G1027" t="s">
        <v>28</v>
      </c>
      <c r="H1027" t="s">
        <v>206</v>
      </c>
      <c r="I1027" t="s">
        <v>30</v>
      </c>
      <c r="J1027" t="s">
        <v>28</v>
      </c>
      <c r="K1027" t="s">
        <v>73</v>
      </c>
      <c r="L1027" t="s">
        <v>36</v>
      </c>
      <c r="N1027" t="s">
        <v>5066</v>
      </c>
      <c r="O1027" t="s">
        <v>49</v>
      </c>
      <c r="P1027" t="s">
        <v>49</v>
      </c>
      <c r="Q1027" t="s">
        <v>39</v>
      </c>
      <c r="R1027" t="s">
        <v>5067</v>
      </c>
      <c r="S1027" t="s">
        <v>48</v>
      </c>
      <c r="T1027" t="s">
        <v>5068</v>
      </c>
      <c r="U1027" t="s">
        <v>5069</v>
      </c>
      <c r="V1027" t="s">
        <v>53</v>
      </c>
      <c r="W1027" t="s">
        <v>5070</v>
      </c>
      <c r="X1027" t="s">
        <v>4148</v>
      </c>
      <c r="Y1027" t="s">
        <v>759</v>
      </c>
      <c r="Z1027" t="s">
        <v>91</v>
      </c>
    </row>
    <row r="1028" spans="1:26" ht="12.75" customHeight="1" x14ac:dyDescent="0.35">
      <c r="A1028">
        <v>1027</v>
      </c>
      <c r="B1028">
        <v>45889.661079444442</v>
      </c>
      <c r="D1028" t="s">
        <v>5071</v>
      </c>
      <c r="E1028" t="s">
        <v>5072</v>
      </c>
      <c r="F1028" t="s">
        <v>344</v>
      </c>
      <c r="G1028" t="s">
        <v>44</v>
      </c>
      <c r="H1028" t="s">
        <v>44</v>
      </c>
      <c r="I1028" t="s">
        <v>30</v>
      </c>
      <c r="J1028" t="s">
        <v>30</v>
      </c>
      <c r="K1028" t="s">
        <v>28</v>
      </c>
      <c r="L1028" t="s">
        <v>46</v>
      </c>
      <c r="N1028" t="s">
        <v>1381</v>
      </c>
      <c r="O1028" t="s">
        <v>49</v>
      </c>
      <c r="P1028" t="s">
        <v>48</v>
      </c>
      <c r="Q1028" t="s">
        <v>49</v>
      </c>
      <c r="R1028" t="s">
        <v>5073</v>
      </c>
      <c r="S1028" t="s">
        <v>49</v>
      </c>
      <c r="T1028" t="s">
        <v>5074</v>
      </c>
      <c r="U1028" t="s">
        <v>5075</v>
      </c>
      <c r="V1028" t="s">
        <v>53</v>
      </c>
      <c r="X1028" t="s">
        <v>2246</v>
      </c>
      <c r="Y1028" t="s">
        <v>1532</v>
      </c>
      <c r="Z1028" t="s">
        <v>129</v>
      </c>
    </row>
    <row r="1029" spans="1:26" ht="12.75" customHeight="1" x14ac:dyDescent="0.35">
      <c r="A1029">
        <v>1028</v>
      </c>
      <c r="B1029">
        <v>45889.662630879626</v>
      </c>
      <c r="D1029" t="s">
        <v>5076</v>
      </c>
      <c r="E1029" t="s">
        <v>5077</v>
      </c>
      <c r="F1029" t="s">
        <v>44</v>
      </c>
      <c r="G1029" t="s">
        <v>197</v>
      </c>
      <c r="H1029" t="s">
        <v>44</v>
      </c>
      <c r="I1029" t="s">
        <v>197</v>
      </c>
      <c r="J1029" t="s">
        <v>103</v>
      </c>
      <c r="K1029" t="s">
        <v>61</v>
      </c>
      <c r="L1029" t="s">
        <v>36</v>
      </c>
      <c r="N1029" t="s">
        <v>1390</v>
      </c>
      <c r="O1029" t="s">
        <v>49</v>
      </c>
      <c r="P1029" t="s">
        <v>49</v>
      </c>
      <c r="Q1029" t="s">
        <v>48</v>
      </c>
      <c r="R1029" t="s">
        <v>5078</v>
      </c>
      <c r="S1029" t="s">
        <v>49</v>
      </c>
      <c r="T1029" t="s">
        <v>5079</v>
      </c>
      <c r="U1029" t="s">
        <v>5080</v>
      </c>
      <c r="V1029" t="s">
        <v>79</v>
      </c>
      <c r="X1029" t="s">
        <v>2246</v>
      </c>
      <c r="Y1029" t="s">
        <v>5081</v>
      </c>
      <c r="Z1029" t="s">
        <v>129</v>
      </c>
    </row>
    <row r="1030" spans="1:26" ht="12.75" customHeight="1" x14ac:dyDescent="0.35">
      <c r="A1030">
        <v>1029</v>
      </c>
      <c r="B1030">
        <v>45889.664514548611</v>
      </c>
      <c r="D1030" t="s">
        <v>5082</v>
      </c>
      <c r="E1030" t="s">
        <v>5083</v>
      </c>
      <c r="F1030" t="s">
        <v>449</v>
      </c>
      <c r="G1030" t="s">
        <v>197</v>
      </c>
      <c r="H1030" t="s">
        <v>44</v>
      </c>
      <c r="I1030" t="s">
        <v>197</v>
      </c>
      <c r="J1030" t="s">
        <v>103</v>
      </c>
      <c r="K1030" t="s">
        <v>61</v>
      </c>
      <c r="L1030" t="s">
        <v>36</v>
      </c>
      <c r="N1030" t="s">
        <v>1470</v>
      </c>
      <c r="O1030" t="s">
        <v>49</v>
      </c>
      <c r="P1030" t="s">
        <v>49</v>
      </c>
      <c r="Q1030" t="s">
        <v>48</v>
      </c>
      <c r="R1030" t="s">
        <v>5084</v>
      </c>
      <c r="S1030" t="s">
        <v>49</v>
      </c>
      <c r="T1030" t="s">
        <v>5085</v>
      </c>
      <c r="U1030" t="s">
        <v>5086</v>
      </c>
      <c r="V1030" t="s">
        <v>87</v>
      </c>
      <c r="X1030" t="s">
        <v>2246</v>
      </c>
      <c r="Y1030" t="s">
        <v>5087</v>
      </c>
      <c r="Z1030" t="s">
        <v>91</v>
      </c>
    </row>
    <row r="1031" spans="1:26" ht="12.75" customHeight="1" x14ac:dyDescent="0.35">
      <c r="A1031">
        <v>1030</v>
      </c>
      <c r="B1031">
        <v>45889.664695347223</v>
      </c>
      <c r="D1031" t="s">
        <v>5088</v>
      </c>
      <c r="E1031" t="s">
        <v>3596</v>
      </c>
      <c r="F1031" t="s">
        <v>28</v>
      </c>
      <c r="G1031" t="s">
        <v>33</v>
      </c>
      <c r="H1031" t="s">
        <v>60</v>
      </c>
      <c r="I1031" t="s">
        <v>30</v>
      </c>
      <c r="J1031" t="s">
        <v>173</v>
      </c>
      <c r="K1031" t="s">
        <v>28</v>
      </c>
      <c r="L1031" t="s">
        <v>46</v>
      </c>
      <c r="N1031" t="s">
        <v>5089</v>
      </c>
      <c r="O1031" t="s">
        <v>48</v>
      </c>
      <c r="P1031" t="s">
        <v>48</v>
      </c>
      <c r="Q1031" t="s">
        <v>39</v>
      </c>
      <c r="R1031" t="s">
        <v>5090</v>
      </c>
      <c r="S1031" t="s">
        <v>38</v>
      </c>
      <c r="T1031" t="s">
        <v>5091</v>
      </c>
      <c r="U1031" t="s">
        <v>5092</v>
      </c>
      <c r="V1031" t="s">
        <v>65</v>
      </c>
      <c r="W1031" t="s">
        <v>5093</v>
      </c>
      <c r="X1031" t="s">
        <v>4148</v>
      </c>
      <c r="Y1031" t="s">
        <v>1532</v>
      </c>
      <c r="Z1031" t="s">
        <v>129</v>
      </c>
    </row>
    <row r="1032" spans="1:26" ht="12.75" customHeight="1" x14ac:dyDescent="0.35">
      <c r="A1032">
        <v>1031</v>
      </c>
      <c r="B1032">
        <v>45889.665719282406</v>
      </c>
      <c r="D1032" t="s">
        <v>5094</v>
      </c>
      <c r="E1032" t="s">
        <v>4265</v>
      </c>
      <c r="F1032" t="s">
        <v>28</v>
      </c>
      <c r="G1032" t="s">
        <v>28</v>
      </c>
      <c r="H1032" t="s">
        <v>284</v>
      </c>
      <c r="I1032" t="s">
        <v>28</v>
      </c>
      <c r="J1032" t="s">
        <v>45</v>
      </c>
      <c r="K1032" t="s">
        <v>73</v>
      </c>
      <c r="L1032" t="s">
        <v>36</v>
      </c>
      <c r="N1032" t="s">
        <v>5095</v>
      </c>
      <c r="O1032" t="s">
        <v>38</v>
      </c>
      <c r="P1032" t="s">
        <v>49</v>
      </c>
      <c r="Q1032" t="s">
        <v>40</v>
      </c>
      <c r="R1032" t="s">
        <v>5096</v>
      </c>
      <c r="S1032" t="s">
        <v>48</v>
      </c>
      <c r="T1032" t="s">
        <v>5097</v>
      </c>
      <c r="U1032" t="s">
        <v>5098</v>
      </c>
      <c r="V1032" t="s">
        <v>53</v>
      </c>
      <c r="W1032" t="s">
        <v>5099</v>
      </c>
      <c r="X1032" t="s">
        <v>4148</v>
      </c>
      <c r="Y1032" t="s">
        <v>4421</v>
      </c>
      <c r="Z1032" t="s">
        <v>91</v>
      </c>
    </row>
    <row r="1033" spans="1:26" ht="12.75" customHeight="1" x14ac:dyDescent="0.35">
      <c r="A1033">
        <v>1032</v>
      </c>
      <c r="B1033">
        <v>45889.665984872685</v>
      </c>
      <c r="D1033" t="s">
        <v>5100</v>
      </c>
      <c r="E1033" t="s">
        <v>1154</v>
      </c>
      <c r="F1033" t="s">
        <v>449</v>
      </c>
      <c r="G1033" t="s">
        <v>44</v>
      </c>
      <c r="H1033" t="s">
        <v>157</v>
      </c>
      <c r="I1033" t="s">
        <v>30</v>
      </c>
      <c r="J1033" t="s">
        <v>30</v>
      </c>
      <c r="K1033" t="s">
        <v>368</v>
      </c>
      <c r="L1033" t="s">
        <v>36</v>
      </c>
      <c r="N1033" t="s">
        <v>1448</v>
      </c>
      <c r="O1033" t="s">
        <v>49</v>
      </c>
      <c r="P1033" t="s">
        <v>48</v>
      </c>
      <c r="Q1033" t="s">
        <v>38</v>
      </c>
      <c r="R1033" t="s">
        <v>5101</v>
      </c>
      <c r="S1033" t="s">
        <v>49</v>
      </c>
      <c r="T1033" t="s">
        <v>5102</v>
      </c>
      <c r="U1033" t="s">
        <v>5103</v>
      </c>
      <c r="V1033" t="s">
        <v>87</v>
      </c>
      <c r="X1033" t="s">
        <v>2246</v>
      </c>
      <c r="Y1033" t="s">
        <v>1310</v>
      </c>
      <c r="Z1033" t="s">
        <v>91</v>
      </c>
    </row>
    <row r="1034" spans="1:26" ht="12.75" customHeight="1" x14ac:dyDescent="0.35">
      <c r="A1034">
        <v>1033</v>
      </c>
      <c r="B1034">
        <v>45889.666598206022</v>
      </c>
      <c r="D1034" t="s">
        <v>5104</v>
      </c>
      <c r="E1034" t="s">
        <v>5105</v>
      </c>
      <c r="F1034" t="s">
        <v>60</v>
      </c>
      <c r="G1034" t="s">
        <v>28</v>
      </c>
      <c r="H1034" t="s">
        <v>29</v>
      </c>
      <c r="I1034" t="s">
        <v>197</v>
      </c>
      <c r="J1034" t="s">
        <v>28</v>
      </c>
      <c r="K1034" t="s">
        <v>292</v>
      </c>
      <c r="L1034" t="s">
        <v>46</v>
      </c>
      <c r="N1034" t="s">
        <v>4190</v>
      </c>
      <c r="O1034" t="s">
        <v>48</v>
      </c>
      <c r="P1034" t="s">
        <v>38</v>
      </c>
      <c r="Q1034" t="s">
        <v>48</v>
      </c>
      <c r="R1034" t="s">
        <v>5106</v>
      </c>
      <c r="S1034" t="s">
        <v>38</v>
      </c>
      <c r="T1034" t="s">
        <v>5107</v>
      </c>
      <c r="U1034" t="s">
        <v>5108</v>
      </c>
      <c r="V1034" t="s">
        <v>65</v>
      </c>
      <c r="W1034" t="s">
        <v>5109</v>
      </c>
      <c r="X1034" t="s">
        <v>4148</v>
      </c>
      <c r="Y1034" t="s">
        <v>4635</v>
      </c>
      <c r="Z1034" t="s">
        <v>129</v>
      </c>
    </row>
    <row r="1035" spans="1:26" ht="12.75" customHeight="1" x14ac:dyDescent="0.35">
      <c r="A1035">
        <v>1034</v>
      </c>
      <c r="B1035">
        <v>45889.667714560186</v>
      </c>
      <c r="D1035" t="s">
        <v>1228</v>
      </c>
      <c r="E1035" t="s">
        <v>1112</v>
      </c>
      <c r="F1035" t="s">
        <v>28</v>
      </c>
      <c r="G1035" t="s">
        <v>44</v>
      </c>
      <c r="H1035" t="s">
        <v>284</v>
      </c>
      <c r="I1035" t="s">
        <v>103</v>
      </c>
      <c r="J1035" t="s">
        <v>368</v>
      </c>
      <c r="K1035" t="s">
        <v>368</v>
      </c>
      <c r="L1035" t="s">
        <v>46</v>
      </c>
      <c r="N1035" t="s">
        <v>5110</v>
      </c>
      <c r="O1035" t="s">
        <v>49</v>
      </c>
      <c r="P1035" t="s">
        <v>49</v>
      </c>
      <c r="Q1035" t="s">
        <v>49</v>
      </c>
      <c r="R1035" t="s">
        <v>5111</v>
      </c>
      <c r="S1035" t="s">
        <v>48</v>
      </c>
      <c r="T1035" t="s">
        <v>5112</v>
      </c>
      <c r="U1035" t="s">
        <v>5113</v>
      </c>
      <c r="V1035" t="s">
        <v>135</v>
      </c>
      <c r="X1035" t="s">
        <v>118</v>
      </c>
      <c r="Y1035" t="s">
        <v>1054</v>
      </c>
      <c r="Z1035" t="s">
        <v>170</v>
      </c>
    </row>
    <row r="1036" spans="1:26" ht="12.75" customHeight="1" x14ac:dyDescent="0.35">
      <c r="A1036">
        <v>1035</v>
      </c>
      <c r="B1036">
        <v>45889.667791550921</v>
      </c>
      <c r="D1036" t="s">
        <v>5114</v>
      </c>
      <c r="E1036" t="s">
        <v>4210</v>
      </c>
      <c r="F1036" t="s">
        <v>28</v>
      </c>
      <c r="G1036" t="s">
        <v>33</v>
      </c>
      <c r="H1036" t="s">
        <v>60</v>
      </c>
      <c r="I1036" t="s">
        <v>173</v>
      </c>
      <c r="J1036" t="s">
        <v>173</v>
      </c>
      <c r="K1036" t="s">
        <v>28</v>
      </c>
      <c r="L1036" t="s">
        <v>36</v>
      </c>
      <c r="N1036" t="s">
        <v>4835</v>
      </c>
      <c r="O1036" t="s">
        <v>48</v>
      </c>
      <c r="P1036" t="s">
        <v>48</v>
      </c>
      <c r="Q1036" t="s">
        <v>40</v>
      </c>
      <c r="R1036" t="s">
        <v>5115</v>
      </c>
      <c r="S1036" t="s">
        <v>38</v>
      </c>
      <c r="T1036" t="s">
        <v>5116</v>
      </c>
      <c r="U1036" t="s">
        <v>5117</v>
      </c>
      <c r="V1036" t="s">
        <v>79</v>
      </c>
      <c r="W1036" t="s">
        <v>5118</v>
      </c>
      <c r="X1036" t="s">
        <v>4148</v>
      </c>
      <c r="Y1036" t="s">
        <v>4149</v>
      </c>
      <c r="Z1036" t="s">
        <v>170</v>
      </c>
    </row>
    <row r="1037" spans="1:26" ht="12.75" customHeight="1" x14ac:dyDescent="0.35">
      <c r="A1037">
        <v>1036</v>
      </c>
      <c r="B1037">
        <v>45889.66885563657</v>
      </c>
      <c r="D1037" t="s">
        <v>5119</v>
      </c>
      <c r="E1037" t="s">
        <v>1077</v>
      </c>
      <c r="F1037" t="s">
        <v>28</v>
      </c>
      <c r="G1037" t="s">
        <v>158</v>
      </c>
      <c r="H1037" t="s">
        <v>284</v>
      </c>
      <c r="I1037" t="s">
        <v>158</v>
      </c>
      <c r="J1037" t="s">
        <v>45</v>
      </c>
      <c r="K1037" t="s">
        <v>28</v>
      </c>
      <c r="L1037" t="s">
        <v>46</v>
      </c>
      <c r="N1037" t="s">
        <v>4152</v>
      </c>
      <c r="O1037" t="s">
        <v>49</v>
      </c>
      <c r="P1037" t="s">
        <v>49</v>
      </c>
      <c r="Q1037" t="s">
        <v>48</v>
      </c>
      <c r="R1037" t="s">
        <v>5120</v>
      </c>
      <c r="S1037" t="s">
        <v>48</v>
      </c>
      <c r="T1037" t="s">
        <v>5121</v>
      </c>
      <c r="U1037" t="s">
        <v>5122</v>
      </c>
      <c r="V1037" t="s">
        <v>53</v>
      </c>
      <c r="W1037" t="s">
        <v>5123</v>
      </c>
      <c r="X1037" t="s">
        <v>4148</v>
      </c>
      <c r="Y1037" t="s">
        <v>1235</v>
      </c>
      <c r="Z1037" t="s">
        <v>91</v>
      </c>
    </row>
    <row r="1038" spans="1:26" ht="12.75" customHeight="1" x14ac:dyDescent="0.35">
      <c r="A1038">
        <v>1037</v>
      </c>
      <c r="B1038">
        <v>45889.669338935186</v>
      </c>
      <c r="D1038" t="s">
        <v>5124</v>
      </c>
      <c r="E1038" t="s">
        <v>4967</v>
      </c>
      <c r="F1038" t="s">
        <v>28</v>
      </c>
      <c r="G1038" t="s">
        <v>196</v>
      </c>
      <c r="H1038" t="s">
        <v>28</v>
      </c>
      <c r="I1038" t="s">
        <v>196</v>
      </c>
      <c r="J1038" t="s">
        <v>28</v>
      </c>
      <c r="K1038" t="s">
        <v>61</v>
      </c>
      <c r="L1038" t="s">
        <v>36</v>
      </c>
      <c r="N1038" t="s">
        <v>5125</v>
      </c>
      <c r="O1038" t="s">
        <v>49</v>
      </c>
      <c r="P1038" t="s">
        <v>49</v>
      </c>
      <c r="Q1038" t="s">
        <v>48</v>
      </c>
      <c r="R1038" t="s">
        <v>5126</v>
      </c>
      <c r="S1038" t="s">
        <v>49</v>
      </c>
      <c r="T1038" t="s">
        <v>5127</v>
      </c>
      <c r="U1038" t="s">
        <v>5128</v>
      </c>
      <c r="V1038" t="s">
        <v>53</v>
      </c>
      <c r="X1038" t="s">
        <v>118</v>
      </c>
      <c r="Y1038" t="s">
        <v>4971</v>
      </c>
      <c r="Z1038" t="s">
        <v>91</v>
      </c>
    </row>
    <row r="1039" spans="1:26" ht="12.75" customHeight="1" x14ac:dyDescent="0.35">
      <c r="A1039">
        <v>1038</v>
      </c>
      <c r="B1039">
        <v>45889.670014571762</v>
      </c>
      <c r="D1039" t="s">
        <v>5129</v>
      </c>
      <c r="E1039" t="s">
        <v>4238</v>
      </c>
      <c r="F1039" t="s">
        <v>44</v>
      </c>
      <c r="G1039" t="s">
        <v>60</v>
      </c>
      <c r="H1039" t="s">
        <v>28</v>
      </c>
      <c r="I1039" t="s">
        <v>28</v>
      </c>
      <c r="J1039" t="s">
        <v>45</v>
      </c>
      <c r="K1039" t="s">
        <v>368</v>
      </c>
      <c r="L1039" t="s">
        <v>36</v>
      </c>
      <c r="N1039" t="s">
        <v>5023</v>
      </c>
      <c r="O1039" t="s">
        <v>48</v>
      </c>
      <c r="P1039" t="s">
        <v>49</v>
      </c>
      <c r="Q1039" t="s">
        <v>38</v>
      </c>
      <c r="R1039" t="s">
        <v>5130</v>
      </c>
      <c r="S1039" t="s">
        <v>48</v>
      </c>
      <c r="T1039" t="s">
        <v>5131</v>
      </c>
      <c r="U1039" t="s">
        <v>5132</v>
      </c>
      <c r="V1039" t="s">
        <v>53</v>
      </c>
      <c r="W1039" t="s">
        <v>5133</v>
      </c>
      <c r="X1039" t="s">
        <v>4148</v>
      </c>
      <c r="Y1039" t="s">
        <v>1047</v>
      </c>
      <c r="Z1039" t="s">
        <v>91</v>
      </c>
    </row>
    <row r="1040" spans="1:26" ht="12.75" customHeight="1" x14ac:dyDescent="0.35">
      <c r="A1040">
        <v>1039</v>
      </c>
      <c r="B1040">
        <v>45889.670487141208</v>
      </c>
      <c r="D1040" t="s">
        <v>5134</v>
      </c>
      <c r="E1040" t="s">
        <v>4577</v>
      </c>
      <c r="F1040" t="s">
        <v>449</v>
      </c>
      <c r="G1040" t="s">
        <v>197</v>
      </c>
      <c r="H1040" t="s">
        <v>44</v>
      </c>
      <c r="I1040" t="s">
        <v>197</v>
      </c>
      <c r="J1040" t="s">
        <v>173</v>
      </c>
      <c r="K1040" t="s">
        <v>61</v>
      </c>
      <c r="L1040" t="s">
        <v>36</v>
      </c>
      <c r="N1040" t="s">
        <v>5135</v>
      </c>
      <c r="O1040" t="s">
        <v>49</v>
      </c>
      <c r="P1040" t="s">
        <v>49</v>
      </c>
      <c r="Q1040" t="s">
        <v>48</v>
      </c>
      <c r="R1040" t="s">
        <v>5136</v>
      </c>
      <c r="S1040" t="s">
        <v>49</v>
      </c>
      <c r="T1040" t="s">
        <v>5137</v>
      </c>
      <c r="U1040" t="s">
        <v>5138</v>
      </c>
      <c r="V1040" t="s">
        <v>135</v>
      </c>
      <c r="X1040" t="s">
        <v>118</v>
      </c>
      <c r="Y1040" t="s">
        <v>1090</v>
      </c>
      <c r="Z1040" t="s">
        <v>91</v>
      </c>
    </row>
    <row r="1041" spans="1:26" ht="12.75" customHeight="1" x14ac:dyDescent="0.35">
      <c r="A1041">
        <v>1040</v>
      </c>
      <c r="B1041">
        <v>45889.671237337963</v>
      </c>
      <c r="D1041" t="s">
        <v>5139</v>
      </c>
      <c r="E1041" t="s">
        <v>5140</v>
      </c>
      <c r="F1041" t="s">
        <v>28</v>
      </c>
      <c r="G1041" t="s">
        <v>60</v>
      </c>
      <c r="H1041" t="s">
        <v>28</v>
      </c>
      <c r="I1041" t="s">
        <v>30</v>
      </c>
      <c r="J1041" t="s">
        <v>28</v>
      </c>
      <c r="K1041" t="s">
        <v>94</v>
      </c>
      <c r="L1041" t="s">
        <v>46</v>
      </c>
      <c r="N1041" t="s">
        <v>4170</v>
      </c>
      <c r="O1041" t="s">
        <v>48</v>
      </c>
      <c r="P1041" t="s">
        <v>48</v>
      </c>
      <c r="Q1041" t="s">
        <v>40</v>
      </c>
      <c r="R1041" t="s">
        <v>5141</v>
      </c>
      <c r="S1041" t="s">
        <v>48</v>
      </c>
      <c r="T1041" t="s">
        <v>5142</v>
      </c>
      <c r="U1041" t="s">
        <v>5143</v>
      </c>
      <c r="V1041" t="s">
        <v>65</v>
      </c>
      <c r="W1041" t="s">
        <v>5144</v>
      </c>
      <c r="X1041" t="s">
        <v>4148</v>
      </c>
      <c r="Y1041" t="s">
        <v>5145</v>
      </c>
      <c r="Z1041" t="s">
        <v>129</v>
      </c>
    </row>
    <row r="1042" spans="1:26" ht="12.75" customHeight="1" x14ac:dyDescent="0.35">
      <c r="A1042">
        <v>1041</v>
      </c>
      <c r="B1042">
        <v>45889.671510173612</v>
      </c>
      <c r="D1042" t="s">
        <v>1098</v>
      </c>
      <c r="E1042" t="s">
        <v>5146</v>
      </c>
      <c r="F1042" t="s">
        <v>344</v>
      </c>
      <c r="G1042" t="s">
        <v>197</v>
      </c>
      <c r="H1042" t="s">
        <v>284</v>
      </c>
      <c r="I1042" t="s">
        <v>30</v>
      </c>
      <c r="J1042" t="s">
        <v>30</v>
      </c>
      <c r="K1042" t="s">
        <v>28</v>
      </c>
      <c r="L1042" t="s">
        <v>36</v>
      </c>
      <c r="N1042" t="s">
        <v>5147</v>
      </c>
      <c r="O1042" t="s">
        <v>49</v>
      </c>
      <c r="P1042" t="s">
        <v>48</v>
      </c>
      <c r="Q1042" t="s">
        <v>49</v>
      </c>
      <c r="R1042" t="s">
        <v>5148</v>
      </c>
      <c r="S1042" t="s">
        <v>49</v>
      </c>
      <c r="T1042" t="s">
        <v>5149</v>
      </c>
      <c r="U1042" t="s">
        <v>5150</v>
      </c>
      <c r="V1042" t="s">
        <v>87</v>
      </c>
      <c r="X1042" t="s">
        <v>118</v>
      </c>
      <c r="Y1042" t="s">
        <v>4567</v>
      </c>
      <c r="Z1042" t="s">
        <v>91</v>
      </c>
    </row>
    <row r="1043" spans="1:26" ht="12.75" customHeight="1" x14ac:dyDescent="0.35">
      <c r="A1043">
        <v>1042</v>
      </c>
      <c r="B1043">
        <v>45889.672484537034</v>
      </c>
      <c r="D1043" t="s">
        <v>5151</v>
      </c>
      <c r="E1043" t="s">
        <v>4721</v>
      </c>
      <c r="F1043" t="s">
        <v>29</v>
      </c>
      <c r="G1043" t="s">
        <v>29</v>
      </c>
      <c r="H1043" t="s">
        <v>29</v>
      </c>
      <c r="I1043" t="s">
        <v>103</v>
      </c>
      <c r="J1043" t="s">
        <v>103</v>
      </c>
      <c r="K1043" t="s">
        <v>45</v>
      </c>
      <c r="L1043" t="s">
        <v>46</v>
      </c>
      <c r="N1043" t="s">
        <v>5152</v>
      </c>
      <c r="O1043" t="s">
        <v>48</v>
      </c>
      <c r="P1043" t="s">
        <v>49</v>
      </c>
      <c r="Q1043" t="s">
        <v>49</v>
      </c>
      <c r="R1043" t="s">
        <v>5153</v>
      </c>
      <c r="S1043" t="s">
        <v>49</v>
      </c>
      <c r="T1043" t="s">
        <v>5154</v>
      </c>
      <c r="U1043" t="s">
        <v>5155</v>
      </c>
      <c r="V1043" t="s">
        <v>53</v>
      </c>
      <c r="X1043" t="s">
        <v>118</v>
      </c>
      <c r="Y1043" t="s">
        <v>4616</v>
      </c>
      <c r="Z1043" t="s">
        <v>91</v>
      </c>
    </row>
    <row r="1044" spans="1:26" ht="12.75" customHeight="1" x14ac:dyDescent="0.35">
      <c r="A1044">
        <v>1043</v>
      </c>
      <c r="B1044">
        <v>45889.672591932875</v>
      </c>
      <c r="D1044" t="s">
        <v>5156</v>
      </c>
      <c r="E1044" t="s">
        <v>1506</v>
      </c>
      <c r="F1044" t="s">
        <v>28</v>
      </c>
      <c r="G1044" t="s">
        <v>29</v>
      </c>
      <c r="H1044" t="s">
        <v>29</v>
      </c>
      <c r="I1044" t="s">
        <v>30</v>
      </c>
      <c r="J1044" t="s">
        <v>30</v>
      </c>
      <c r="K1044" t="s">
        <v>28</v>
      </c>
      <c r="L1044" t="s">
        <v>36</v>
      </c>
      <c r="N1044" t="s">
        <v>4152</v>
      </c>
      <c r="O1044" t="s">
        <v>48</v>
      </c>
      <c r="P1044" t="s">
        <v>48</v>
      </c>
      <c r="Q1044" t="s">
        <v>38</v>
      </c>
      <c r="R1044" t="s">
        <v>5157</v>
      </c>
      <c r="S1044" t="s">
        <v>38</v>
      </c>
      <c r="T1044" t="s">
        <v>5158</v>
      </c>
      <c r="U1044" t="s">
        <v>5159</v>
      </c>
      <c r="V1044" t="s">
        <v>79</v>
      </c>
      <c r="W1044" t="s">
        <v>5160</v>
      </c>
      <c r="X1044" t="s">
        <v>4148</v>
      </c>
      <c r="Y1044" t="s">
        <v>1097</v>
      </c>
      <c r="Z1044" t="s">
        <v>91</v>
      </c>
    </row>
    <row r="1045" spans="1:26" ht="12.75" customHeight="1" x14ac:dyDescent="0.35">
      <c r="A1045">
        <v>1044</v>
      </c>
      <c r="B1045">
        <v>45889.679103865739</v>
      </c>
      <c r="D1045" t="s">
        <v>5161</v>
      </c>
      <c r="E1045" t="s">
        <v>5162</v>
      </c>
      <c r="F1045" t="s">
        <v>28</v>
      </c>
      <c r="G1045" t="s">
        <v>28</v>
      </c>
      <c r="H1045" t="s">
        <v>284</v>
      </c>
      <c r="I1045" t="s">
        <v>28</v>
      </c>
      <c r="J1045" t="s">
        <v>368</v>
      </c>
      <c r="K1045" t="s">
        <v>94</v>
      </c>
      <c r="L1045" t="s">
        <v>46</v>
      </c>
      <c r="N1045" t="s">
        <v>304</v>
      </c>
      <c r="O1045" t="s">
        <v>38</v>
      </c>
      <c r="P1045" t="s">
        <v>38</v>
      </c>
      <c r="Q1045" t="s">
        <v>39</v>
      </c>
      <c r="R1045" t="s">
        <v>5163</v>
      </c>
      <c r="S1045" t="s">
        <v>48</v>
      </c>
      <c r="T1045" t="s">
        <v>5164</v>
      </c>
      <c r="U1045" t="s">
        <v>5165</v>
      </c>
      <c r="V1045" t="s">
        <v>53</v>
      </c>
      <c r="X1045" t="s">
        <v>109</v>
      </c>
      <c r="Y1045" t="s">
        <v>5166</v>
      </c>
      <c r="Z1045" t="s">
        <v>91</v>
      </c>
    </row>
    <row r="1046" spans="1:26" ht="12.75" customHeight="1" x14ac:dyDescent="0.35">
      <c r="A1046">
        <v>1045</v>
      </c>
      <c r="B1046">
        <v>45889.67918175926</v>
      </c>
      <c r="D1046" t="s">
        <v>5167</v>
      </c>
      <c r="E1046" t="s">
        <v>4877</v>
      </c>
      <c r="F1046" t="s">
        <v>28</v>
      </c>
      <c r="G1046" t="s">
        <v>197</v>
      </c>
      <c r="H1046" t="s">
        <v>206</v>
      </c>
      <c r="I1046" t="s">
        <v>103</v>
      </c>
      <c r="J1046" t="s">
        <v>94</v>
      </c>
      <c r="K1046" t="s">
        <v>94</v>
      </c>
      <c r="L1046" t="s">
        <v>36</v>
      </c>
      <c r="N1046" t="s">
        <v>534</v>
      </c>
      <c r="O1046" t="s">
        <v>49</v>
      </c>
      <c r="P1046" t="s">
        <v>49</v>
      </c>
      <c r="Q1046" t="s">
        <v>49</v>
      </c>
      <c r="R1046" t="s">
        <v>5168</v>
      </c>
      <c r="S1046" t="s">
        <v>48</v>
      </c>
      <c r="T1046" t="s">
        <v>5169</v>
      </c>
      <c r="U1046" t="s">
        <v>5170</v>
      </c>
      <c r="V1046" t="s">
        <v>79</v>
      </c>
      <c r="X1046" t="s">
        <v>1030</v>
      </c>
      <c r="Y1046" t="s">
        <v>4413</v>
      </c>
      <c r="Z1046" t="s">
        <v>129</v>
      </c>
    </row>
    <row r="1047" spans="1:26" ht="12.75" customHeight="1" x14ac:dyDescent="0.35">
      <c r="A1047">
        <v>1046</v>
      </c>
      <c r="B1047">
        <v>45889.679837013886</v>
      </c>
      <c r="D1047" t="s">
        <v>5171</v>
      </c>
      <c r="E1047" t="s">
        <v>4907</v>
      </c>
      <c r="F1047" t="s">
        <v>60</v>
      </c>
      <c r="G1047" t="s">
        <v>29</v>
      </c>
      <c r="H1047" t="s">
        <v>60</v>
      </c>
      <c r="I1047" t="s">
        <v>28</v>
      </c>
      <c r="J1047" t="s">
        <v>28</v>
      </c>
      <c r="K1047" t="s">
        <v>28</v>
      </c>
      <c r="L1047" t="s">
        <v>46</v>
      </c>
      <c r="N1047" t="s">
        <v>37</v>
      </c>
      <c r="O1047" t="s">
        <v>48</v>
      </c>
      <c r="P1047" t="s">
        <v>38</v>
      </c>
      <c r="Q1047" t="s">
        <v>38</v>
      </c>
      <c r="R1047" t="s">
        <v>5172</v>
      </c>
      <c r="S1047" t="s">
        <v>38</v>
      </c>
      <c r="T1047" t="s">
        <v>5173</v>
      </c>
      <c r="U1047" t="s">
        <v>5174</v>
      </c>
      <c r="V1047" t="s">
        <v>79</v>
      </c>
      <c r="X1047" t="s">
        <v>109</v>
      </c>
      <c r="Y1047" t="s">
        <v>694</v>
      </c>
      <c r="Z1047" t="s">
        <v>129</v>
      </c>
    </row>
    <row r="1048" spans="1:26" ht="12.75" customHeight="1" x14ac:dyDescent="0.35">
      <c r="A1048">
        <v>1047</v>
      </c>
      <c r="B1048">
        <v>45889.680420879631</v>
      </c>
      <c r="D1048" t="s">
        <v>5175</v>
      </c>
      <c r="E1048" t="s">
        <v>5176</v>
      </c>
      <c r="F1048" t="s">
        <v>28</v>
      </c>
      <c r="G1048" t="s">
        <v>28</v>
      </c>
      <c r="H1048" t="s">
        <v>284</v>
      </c>
      <c r="I1048" t="s">
        <v>28</v>
      </c>
      <c r="J1048" t="s">
        <v>368</v>
      </c>
      <c r="K1048" t="s">
        <v>94</v>
      </c>
      <c r="L1048" t="s">
        <v>46</v>
      </c>
      <c r="N1048" t="s">
        <v>104</v>
      </c>
      <c r="O1048" t="s">
        <v>38</v>
      </c>
      <c r="P1048" t="s">
        <v>38</v>
      </c>
      <c r="Q1048" t="s">
        <v>40</v>
      </c>
      <c r="R1048" t="s">
        <v>5177</v>
      </c>
      <c r="S1048" t="s">
        <v>48</v>
      </c>
      <c r="T1048" t="s">
        <v>5178</v>
      </c>
      <c r="U1048" t="s">
        <v>5179</v>
      </c>
      <c r="V1048" t="s">
        <v>87</v>
      </c>
      <c r="X1048" t="s">
        <v>109</v>
      </c>
      <c r="Y1048" t="s">
        <v>5180</v>
      </c>
      <c r="Z1048" t="s">
        <v>129</v>
      </c>
    </row>
    <row r="1049" spans="1:26" ht="12.75" customHeight="1" x14ac:dyDescent="0.35">
      <c r="A1049">
        <v>1048</v>
      </c>
      <c r="B1049">
        <v>45889.68065819444</v>
      </c>
      <c r="D1049" t="s">
        <v>5181</v>
      </c>
      <c r="E1049" t="s">
        <v>5182</v>
      </c>
      <c r="F1049" t="s">
        <v>44</v>
      </c>
      <c r="G1049" t="s">
        <v>158</v>
      </c>
      <c r="H1049" t="s">
        <v>28</v>
      </c>
      <c r="I1049" t="s">
        <v>158</v>
      </c>
      <c r="J1049" t="s">
        <v>28</v>
      </c>
      <c r="K1049" t="s">
        <v>35</v>
      </c>
      <c r="L1049" t="s">
        <v>36</v>
      </c>
      <c r="N1049" t="s">
        <v>555</v>
      </c>
      <c r="O1049" t="s">
        <v>49</v>
      </c>
      <c r="P1049" t="s">
        <v>49</v>
      </c>
      <c r="Q1049" t="s">
        <v>48</v>
      </c>
      <c r="R1049" t="s">
        <v>5183</v>
      </c>
      <c r="S1049" t="s">
        <v>49</v>
      </c>
      <c r="T1049" t="s">
        <v>5184</v>
      </c>
      <c r="U1049" t="s">
        <v>5185</v>
      </c>
      <c r="V1049" t="s">
        <v>87</v>
      </c>
      <c r="X1049" t="s">
        <v>1030</v>
      </c>
      <c r="Y1049" t="s">
        <v>5186</v>
      </c>
      <c r="Z1049" t="s">
        <v>91</v>
      </c>
    </row>
    <row r="1050" spans="1:26" ht="12.75" customHeight="1" x14ac:dyDescent="0.35">
      <c r="A1050">
        <v>1049</v>
      </c>
      <c r="B1050">
        <v>45889.681403842595</v>
      </c>
      <c r="D1050" t="s">
        <v>5187</v>
      </c>
      <c r="E1050" t="s">
        <v>5188</v>
      </c>
      <c r="F1050" t="s">
        <v>449</v>
      </c>
      <c r="G1050" t="s">
        <v>28</v>
      </c>
      <c r="H1050" t="s">
        <v>28</v>
      </c>
      <c r="I1050" t="s">
        <v>34</v>
      </c>
      <c r="J1050" t="s">
        <v>30</v>
      </c>
      <c r="K1050" t="s">
        <v>28</v>
      </c>
      <c r="L1050" t="s">
        <v>36</v>
      </c>
      <c r="N1050" t="s">
        <v>3528</v>
      </c>
      <c r="O1050" t="s">
        <v>38</v>
      </c>
      <c r="P1050" t="s">
        <v>48</v>
      </c>
      <c r="Q1050" t="s">
        <v>38</v>
      </c>
      <c r="R1050" t="s">
        <v>5189</v>
      </c>
      <c r="S1050" t="s">
        <v>38</v>
      </c>
      <c r="T1050" t="s">
        <v>5190</v>
      </c>
      <c r="U1050" t="s">
        <v>5191</v>
      </c>
      <c r="V1050" t="s">
        <v>87</v>
      </c>
      <c r="X1050" t="s">
        <v>109</v>
      </c>
      <c r="Y1050" t="s">
        <v>4940</v>
      </c>
      <c r="Z1050" t="s">
        <v>129</v>
      </c>
    </row>
    <row r="1051" spans="1:26" ht="12.75" customHeight="1" x14ac:dyDescent="0.35">
      <c r="A1051">
        <v>1050</v>
      </c>
      <c r="B1051">
        <v>45889.681460231484</v>
      </c>
      <c r="D1051" t="s">
        <v>5192</v>
      </c>
      <c r="E1051" t="s">
        <v>4918</v>
      </c>
      <c r="F1051" t="s">
        <v>449</v>
      </c>
      <c r="G1051" t="s">
        <v>44</v>
      </c>
      <c r="H1051" t="s">
        <v>284</v>
      </c>
      <c r="I1051" t="s">
        <v>103</v>
      </c>
      <c r="J1051" t="s">
        <v>368</v>
      </c>
      <c r="K1051" t="s">
        <v>94</v>
      </c>
      <c r="L1051" t="s">
        <v>36</v>
      </c>
      <c r="N1051" t="s">
        <v>4840</v>
      </c>
      <c r="O1051" t="s">
        <v>49</v>
      </c>
      <c r="P1051" t="s">
        <v>49</v>
      </c>
      <c r="Q1051" t="s">
        <v>49</v>
      </c>
      <c r="R1051" t="s">
        <v>5193</v>
      </c>
      <c r="S1051" t="s">
        <v>48</v>
      </c>
      <c r="T1051" t="s">
        <v>5194</v>
      </c>
      <c r="U1051" t="s">
        <v>5195</v>
      </c>
      <c r="V1051" t="s">
        <v>135</v>
      </c>
      <c r="X1051" t="s">
        <v>1030</v>
      </c>
      <c r="Y1051" t="s">
        <v>4923</v>
      </c>
      <c r="Z1051" t="s">
        <v>91</v>
      </c>
    </row>
    <row r="1052" spans="1:26" ht="12.75" customHeight="1" x14ac:dyDescent="0.35">
      <c r="A1052">
        <v>1051</v>
      </c>
      <c r="B1052">
        <v>45889.682092256946</v>
      </c>
      <c r="D1052" t="s">
        <v>5196</v>
      </c>
      <c r="E1052" t="s">
        <v>4973</v>
      </c>
      <c r="F1052" t="s">
        <v>344</v>
      </c>
      <c r="G1052" t="s">
        <v>28</v>
      </c>
      <c r="H1052" t="s">
        <v>28</v>
      </c>
      <c r="I1052" t="s">
        <v>34</v>
      </c>
      <c r="J1052" t="s">
        <v>34</v>
      </c>
      <c r="K1052" t="s">
        <v>28</v>
      </c>
      <c r="L1052" t="s">
        <v>46</v>
      </c>
      <c r="N1052" t="s">
        <v>3517</v>
      </c>
      <c r="O1052" t="s">
        <v>49</v>
      </c>
      <c r="P1052" t="s">
        <v>48</v>
      </c>
      <c r="Q1052" t="s">
        <v>39</v>
      </c>
      <c r="R1052" t="s">
        <v>5197</v>
      </c>
      <c r="S1052" t="s">
        <v>38</v>
      </c>
      <c r="T1052" t="s">
        <v>5198</v>
      </c>
      <c r="U1052" t="s">
        <v>5199</v>
      </c>
      <c r="V1052" t="s">
        <v>53</v>
      </c>
      <c r="X1052" t="s">
        <v>109</v>
      </c>
      <c r="Y1052" t="s">
        <v>4376</v>
      </c>
      <c r="Z1052" t="s">
        <v>129</v>
      </c>
    </row>
    <row r="1053" spans="1:26" ht="12.75" customHeight="1" x14ac:dyDescent="0.35">
      <c r="A1053">
        <v>1052</v>
      </c>
      <c r="B1053">
        <v>45889.682602488421</v>
      </c>
      <c r="D1053" t="s">
        <v>5200</v>
      </c>
      <c r="E1053" t="s">
        <v>5201</v>
      </c>
      <c r="F1053" t="s">
        <v>377</v>
      </c>
      <c r="G1053" t="s">
        <v>197</v>
      </c>
      <c r="H1053" t="s">
        <v>44</v>
      </c>
      <c r="I1053" t="s">
        <v>197</v>
      </c>
      <c r="J1053" t="s">
        <v>103</v>
      </c>
      <c r="K1053" t="s">
        <v>292</v>
      </c>
      <c r="L1053" t="s">
        <v>46</v>
      </c>
      <c r="N1053" t="s">
        <v>4855</v>
      </c>
      <c r="O1053" t="s">
        <v>49</v>
      </c>
      <c r="P1053" t="s">
        <v>49</v>
      </c>
      <c r="Q1053" t="s">
        <v>48</v>
      </c>
      <c r="R1053" t="s">
        <v>5202</v>
      </c>
      <c r="S1053" t="s">
        <v>49</v>
      </c>
      <c r="T1053" t="s">
        <v>5203</v>
      </c>
      <c r="U1053" t="s">
        <v>5204</v>
      </c>
      <c r="V1053" t="s">
        <v>53</v>
      </c>
      <c r="X1053" t="s">
        <v>1030</v>
      </c>
      <c r="Y1053" t="s">
        <v>5205</v>
      </c>
      <c r="Z1053" t="s">
        <v>91</v>
      </c>
    </row>
    <row r="1054" spans="1:26" ht="12.75" customHeight="1" x14ac:dyDescent="0.35">
      <c r="A1054">
        <v>1053</v>
      </c>
      <c r="B1054">
        <v>45889.684472384259</v>
      </c>
      <c r="D1054" t="s">
        <v>5206</v>
      </c>
      <c r="E1054" t="s">
        <v>4598</v>
      </c>
      <c r="F1054" t="s">
        <v>377</v>
      </c>
      <c r="G1054" t="s">
        <v>44</v>
      </c>
      <c r="H1054" t="s">
        <v>206</v>
      </c>
      <c r="I1054" t="s">
        <v>103</v>
      </c>
      <c r="J1054" t="s">
        <v>94</v>
      </c>
      <c r="K1054" t="s">
        <v>94</v>
      </c>
      <c r="L1054" t="s">
        <v>46</v>
      </c>
      <c r="N1054" t="s">
        <v>4936</v>
      </c>
      <c r="O1054" t="s">
        <v>49</v>
      </c>
      <c r="P1054" t="s">
        <v>49</v>
      </c>
      <c r="Q1054" t="s">
        <v>49</v>
      </c>
      <c r="R1054" t="s">
        <v>5207</v>
      </c>
      <c r="S1054" t="s">
        <v>48</v>
      </c>
      <c r="T1054" t="s">
        <v>5208</v>
      </c>
      <c r="U1054" t="s">
        <v>5209</v>
      </c>
      <c r="V1054" t="s">
        <v>65</v>
      </c>
      <c r="X1054" t="s">
        <v>1030</v>
      </c>
      <c r="Y1054" t="s">
        <v>4376</v>
      </c>
      <c r="Z1054" t="s">
        <v>129</v>
      </c>
    </row>
    <row r="1055" spans="1:26" ht="12.75" customHeight="1" x14ac:dyDescent="0.35">
      <c r="A1055">
        <v>1054</v>
      </c>
      <c r="B1055">
        <v>45890.790006724535</v>
      </c>
      <c r="D1055" t="s">
        <v>5210</v>
      </c>
      <c r="E1055" t="s">
        <v>598</v>
      </c>
      <c r="F1055" t="s">
        <v>344</v>
      </c>
      <c r="G1055" t="s">
        <v>158</v>
      </c>
      <c r="H1055" t="s">
        <v>44</v>
      </c>
      <c r="I1055" t="s">
        <v>158</v>
      </c>
      <c r="J1055" t="s">
        <v>368</v>
      </c>
      <c r="K1055" t="s">
        <v>94</v>
      </c>
      <c r="L1055" t="s">
        <v>46</v>
      </c>
      <c r="N1055" t="s">
        <v>375</v>
      </c>
      <c r="O1055" t="s">
        <v>48</v>
      </c>
      <c r="P1055" t="s">
        <v>49</v>
      </c>
      <c r="Q1055" t="s">
        <v>48</v>
      </c>
      <c r="R1055" t="s">
        <v>5211</v>
      </c>
      <c r="S1055" t="s">
        <v>48</v>
      </c>
      <c r="T1055" t="s">
        <v>106</v>
      </c>
      <c r="U1055" t="s">
        <v>5212</v>
      </c>
      <c r="V1055" t="s">
        <v>53</v>
      </c>
      <c r="W1055" t="s">
        <v>5213</v>
      </c>
      <c r="X1055" t="s">
        <v>81</v>
      </c>
      <c r="Y1055" t="s">
        <v>258</v>
      </c>
      <c r="Z1055" t="s">
        <v>129</v>
      </c>
    </row>
    <row r="1056" spans="1:26" ht="12.75" customHeight="1" x14ac:dyDescent="0.35">
      <c r="A1056">
        <v>1055</v>
      </c>
      <c r="B1056">
        <v>45891.575197627317</v>
      </c>
      <c r="D1056" t="s">
        <v>5214</v>
      </c>
      <c r="E1056" t="s">
        <v>5215</v>
      </c>
      <c r="F1056" t="s">
        <v>28</v>
      </c>
      <c r="G1056" t="s">
        <v>33</v>
      </c>
      <c r="H1056" t="s">
        <v>284</v>
      </c>
      <c r="I1056" t="s">
        <v>196</v>
      </c>
      <c r="J1056" t="s">
        <v>94</v>
      </c>
      <c r="K1056" t="s">
        <v>61</v>
      </c>
      <c r="L1056" t="s">
        <v>46</v>
      </c>
      <c r="N1056" t="s">
        <v>3555</v>
      </c>
      <c r="O1056" t="s">
        <v>48</v>
      </c>
      <c r="P1056" t="s">
        <v>48</v>
      </c>
      <c r="Q1056" t="s">
        <v>48</v>
      </c>
      <c r="S1056" t="s">
        <v>49</v>
      </c>
      <c r="V1056" t="s">
        <v>135</v>
      </c>
      <c r="W1056" t="s">
        <v>5216</v>
      </c>
      <c r="X1056" t="s">
        <v>348</v>
      </c>
      <c r="Y1056" t="s">
        <v>5217</v>
      </c>
      <c r="Z1056" t="s">
        <v>91</v>
      </c>
    </row>
    <row r="1057" spans="1:26" ht="12.75" customHeight="1" x14ac:dyDescent="0.35">
      <c r="A1057">
        <v>1056</v>
      </c>
      <c r="B1057">
        <v>45891.581659479169</v>
      </c>
      <c r="D1057" t="s">
        <v>5218</v>
      </c>
      <c r="E1057" t="s">
        <v>232</v>
      </c>
      <c r="F1057" t="s">
        <v>44</v>
      </c>
      <c r="G1057" t="s">
        <v>28</v>
      </c>
      <c r="H1057" t="s">
        <v>29</v>
      </c>
      <c r="I1057" t="s">
        <v>158</v>
      </c>
      <c r="J1057" t="s">
        <v>30</v>
      </c>
      <c r="K1057" t="s">
        <v>35</v>
      </c>
      <c r="L1057" t="s">
        <v>36</v>
      </c>
      <c r="N1057" t="s">
        <v>5219</v>
      </c>
      <c r="O1057" t="s">
        <v>49</v>
      </c>
      <c r="P1057" t="s">
        <v>38</v>
      </c>
      <c r="Q1057" t="s">
        <v>49</v>
      </c>
      <c r="S1057" t="s">
        <v>38</v>
      </c>
      <c r="V1057" t="s">
        <v>135</v>
      </c>
      <c r="X1057" t="s">
        <v>250</v>
      </c>
      <c r="Y1057" t="s">
        <v>56</v>
      </c>
      <c r="Z1057" t="s">
        <v>129</v>
      </c>
    </row>
    <row r="1058" spans="1:26" ht="12.75" customHeight="1" x14ac:dyDescent="0.35">
      <c r="A1058">
        <v>1057</v>
      </c>
      <c r="B1058">
        <v>45891.589361006947</v>
      </c>
      <c r="D1058" t="s">
        <v>5220</v>
      </c>
      <c r="E1058" t="s">
        <v>5215</v>
      </c>
      <c r="F1058" t="s">
        <v>449</v>
      </c>
      <c r="G1058" t="s">
        <v>44</v>
      </c>
      <c r="H1058" t="s">
        <v>44</v>
      </c>
      <c r="I1058" t="s">
        <v>28</v>
      </c>
      <c r="J1058" t="s">
        <v>368</v>
      </c>
      <c r="K1058" t="s">
        <v>35</v>
      </c>
      <c r="L1058" t="s">
        <v>46</v>
      </c>
      <c r="N1058" t="s">
        <v>5221</v>
      </c>
      <c r="O1058" t="s">
        <v>49</v>
      </c>
      <c r="P1058" t="s">
        <v>49</v>
      </c>
      <c r="Q1058" t="s">
        <v>49</v>
      </c>
      <c r="S1058" t="s">
        <v>48</v>
      </c>
      <c r="V1058" t="s">
        <v>135</v>
      </c>
      <c r="W1058" t="s">
        <v>56</v>
      </c>
      <c r="X1058" t="s">
        <v>250</v>
      </c>
      <c r="Y1058" t="s">
        <v>5222</v>
      </c>
      <c r="Z1058" t="s">
        <v>91</v>
      </c>
    </row>
    <row r="1059" spans="1:26" ht="12.75" customHeight="1" x14ac:dyDescent="0.35">
      <c r="A1059">
        <v>1058</v>
      </c>
      <c r="B1059">
        <v>45891.887942870366</v>
      </c>
      <c r="D1059" t="s">
        <v>5223</v>
      </c>
      <c r="E1059" t="s">
        <v>5224</v>
      </c>
      <c r="F1059" t="s">
        <v>29</v>
      </c>
      <c r="G1059" t="s">
        <v>29</v>
      </c>
      <c r="H1059" t="s">
        <v>29</v>
      </c>
      <c r="I1059" t="s">
        <v>30</v>
      </c>
      <c r="J1059" t="s">
        <v>30</v>
      </c>
      <c r="K1059" t="s">
        <v>61</v>
      </c>
      <c r="L1059" t="s">
        <v>46</v>
      </c>
      <c r="N1059" t="s">
        <v>5225</v>
      </c>
      <c r="O1059" t="s">
        <v>48</v>
      </c>
      <c r="P1059" t="s">
        <v>48</v>
      </c>
      <c r="Q1059" t="s">
        <v>38</v>
      </c>
      <c r="R1059" t="s">
        <v>5226</v>
      </c>
      <c r="S1059" t="s">
        <v>49</v>
      </c>
      <c r="T1059" t="s">
        <v>5227</v>
      </c>
      <c r="U1059" t="s">
        <v>5228</v>
      </c>
      <c r="V1059" t="s">
        <v>53</v>
      </c>
      <c r="W1059" t="s">
        <v>5229</v>
      </c>
      <c r="X1059" t="s">
        <v>250</v>
      </c>
      <c r="Y1059" t="s">
        <v>5230</v>
      </c>
      <c r="Z1059" t="s">
        <v>91</v>
      </c>
    </row>
    <row r="1060" spans="1:26" ht="12.75" customHeight="1" x14ac:dyDescent="0.35">
      <c r="A1060">
        <v>1059</v>
      </c>
      <c r="B1060">
        <v>45896.698841631944</v>
      </c>
      <c r="D1060" t="s">
        <v>5231</v>
      </c>
      <c r="E1060" t="s">
        <v>205</v>
      </c>
      <c r="F1060" t="s">
        <v>449</v>
      </c>
      <c r="G1060" t="s">
        <v>196</v>
      </c>
      <c r="H1060" t="s">
        <v>284</v>
      </c>
      <c r="I1060" t="s">
        <v>103</v>
      </c>
      <c r="J1060" t="s">
        <v>173</v>
      </c>
      <c r="K1060" t="s">
        <v>61</v>
      </c>
      <c r="L1060" t="s">
        <v>46</v>
      </c>
      <c r="N1060" t="s">
        <v>442</v>
      </c>
      <c r="O1060" t="s">
        <v>49</v>
      </c>
      <c r="P1060" t="s">
        <v>40</v>
      </c>
      <c r="Q1060" t="s">
        <v>40</v>
      </c>
      <c r="S1060" t="s">
        <v>38</v>
      </c>
      <c r="V1060" t="s">
        <v>87</v>
      </c>
      <c r="W1060" t="s">
        <v>5232</v>
      </c>
      <c r="X1060" t="s">
        <v>447</v>
      </c>
      <c r="Y1060" t="s">
        <v>193</v>
      </c>
      <c r="Z1060" t="s">
        <v>129</v>
      </c>
    </row>
    <row r="1061" spans="1:26" ht="12.75" customHeight="1" x14ac:dyDescent="0.35">
      <c r="A1061">
        <v>1060</v>
      </c>
      <c r="B1061">
        <v>45896.919637407409</v>
      </c>
      <c r="D1061" t="s">
        <v>5233</v>
      </c>
      <c r="E1061" t="s">
        <v>5234</v>
      </c>
      <c r="F1061" t="s">
        <v>28</v>
      </c>
      <c r="G1061" t="s">
        <v>28</v>
      </c>
      <c r="H1061" t="s">
        <v>44</v>
      </c>
      <c r="I1061" t="s">
        <v>103</v>
      </c>
      <c r="J1061" t="s">
        <v>103</v>
      </c>
      <c r="K1061" t="s">
        <v>35</v>
      </c>
      <c r="L1061" t="s">
        <v>36</v>
      </c>
      <c r="N1061" t="s">
        <v>375</v>
      </c>
      <c r="O1061" t="s">
        <v>49</v>
      </c>
      <c r="P1061" t="s">
        <v>49</v>
      </c>
      <c r="Q1061" t="s">
        <v>38</v>
      </c>
      <c r="R1061" t="s">
        <v>5235</v>
      </c>
      <c r="S1061" t="s">
        <v>49</v>
      </c>
      <c r="T1061" t="s">
        <v>5236</v>
      </c>
      <c r="U1061" t="s">
        <v>5237</v>
      </c>
      <c r="V1061" t="s">
        <v>53</v>
      </c>
      <c r="W1061" t="s">
        <v>5238</v>
      </c>
      <c r="X1061" t="s">
        <v>81</v>
      </c>
      <c r="Y1061">
        <v>0</v>
      </c>
      <c r="Z1061" t="s">
        <v>129</v>
      </c>
    </row>
    <row r="1062" spans="1:26" ht="12.75" customHeight="1" x14ac:dyDescent="0.35">
      <c r="A1062">
        <v>1061</v>
      </c>
      <c r="B1062">
        <v>45896.925280347219</v>
      </c>
      <c r="D1062" t="s">
        <v>5239</v>
      </c>
      <c r="E1062" t="s">
        <v>5240</v>
      </c>
      <c r="F1062" t="s">
        <v>377</v>
      </c>
      <c r="G1062" t="s">
        <v>158</v>
      </c>
      <c r="H1062" t="s">
        <v>44</v>
      </c>
      <c r="I1062" t="s">
        <v>103</v>
      </c>
      <c r="J1062" t="s">
        <v>103</v>
      </c>
      <c r="K1062" t="s">
        <v>45</v>
      </c>
      <c r="L1062" t="s">
        <v>46</v>
      </c>
      <c r="N1062" t="s">
        <v>5241</v>
      </c>
      <c r="O1062" t="s">
        <v>49</v>
      </c>
      <c r="P1062" t="s">
        <v>49</v>
      </c>
      <c r="Q1062" t="s">
        <v>49</v>
      </c>
      <c r="R1062" t="s">
        <v>5242</v>
      </c>
      <c r="S1062" t="s">
        <v>49</v>
      </c>
      <c r="T1062" t="s">
        <v>5243</v>
      </c>
      <c r="U1062" t="s">
        <v>5244</v>
      </c>
      <c r="V1062" t="s">
        <v>53</v>
      </c>
      <c r="W1062" t="s">
        <v>5245</v>
      </c>
      <c r="X1062" t="s">
        <v>81</v>
      </c>
      <c r="Y1062" t="s">
        <v>5246</v>
      </c>
      <c r="Z1062" t="s">
        <v>91</v>
      </c>
    </row>
    <row r="1063" spans="1:26" ht="12.75" customHeight="1" x14ac:dyDescent="0.35">
      <c r="A1063">
        <v>1062</v>
      </c>
      <c r="B1063">
        <v>45897.924099016207</v>
      </c>
      <c r="D1063" t="s">
        <v>5247</v>
      </c>
      <c r="E1063" t="s">
        <v>84</v>
      </c>
      <c r="F1063" t="s">
        <v>33</v>
      </c>
      <c r="G1063" t="s">
        <v>33</v>
      </c>
      <c r="H1063" t="s">
        <v>33</v>
      </c>
      <c r="I1063" t="s">
        <v>30</v>
      </c>
      <c r="J1063" t="s">
        <v>30</v>
      </c>
      <c r="K1063" t="s">
        <v>74</v>
      </c>
      <c r="L1063" t="s">
        <v>46</v>
      </c>
      <c r="N1063" t="s">
        <v>95</v>
      </c>
      <c r="O1063" t="s">
        <v>48</v>
      </c>
      <c r="P1063" t="s">
        <v>48</v>
      </c>
      <c r="Q1063" t="s">
        <v>49</v>
      </c>
      <c r="S1063" t="s">
        <v>49</v>
      </c>
      <c r="V1063" t="s">
        <v>65</v>
      </c>
      <c r="W1063" t="s">
        <v>5248</v>
      </c>
      <c r="X1063" t="s">
        <v>100</v>
      </c>
      <c r="Y1063" t="s">
        <v>5249</v>
      </c>
      <c r="Z1063" t="s">
        <v>129</v>
      </c>
    </row>
    <row r="1064" spans="1:26" ht="12.75" customHeight="1" x14ac:dyDescent="0.35">
      <c r="A1064">
        <v>1063</v>
      </c>
      <c r="B1064">
        <v>45897.940354085644</v>
      </c>
      <c r="D1064" t="s">
        <v>5250</v>
      </c>
      <c r="E1064" t="s">
        <v>172</v>
      </c>
      <c r="F1064" t="s">
        <v>33</v>
      </c>
      <c r="G1064" t="s">
        <v>60</v>
      </c>
      <c r="H1064" t="s">
        <v>44</v>
      </c>
      <c r="I1064" t="s">
        <v>30</v>
      </c>
      <c r="J1064" t="s">
        <v>34</v>
      </c>
      <c r="K1064" t="s">
        <v>292</v>
      </c>
      <c r="L1064" t="s">
        <v>36</v>
      </c>
      <c r="N1064" t="s">
        <v>442</v>
      </c>
      <c r="O1064" t="s">
        <v>49</v>
      </c>
      <c r="P1064" t="s">
        <v>49</v>
      </c>
      <c r="Q1064" t="s">
        <v>49</v>
      </c>
      <c r="R1064" t="s">
        <v>5251</v>
      </c>
      <c r="S1064" t="s">
        <v>49</v>
      </c>
      <c r="T1064" t="s">
        <v>5252</v>
      </c>
      <c r="U1064" t="s">
        <v>5253</v>
      </c>
      <c r="V1064" t="s">
        <v>65</v>
      </c>
      <c r="W1064" t="s">
        <v>5254</v>
      </c>
      <c r="X1064" t="s">
        <v>603</v>
      </c>
      <c r="Y1064" t="s">
        <v>5255</v>
      </c>
      <c r="Z1064" t="s">
        <v>129</v>
      </c>
    </row>
    <row r="1065" spans="1:26" ht="12.75" customHeight="1" x14ac:dyDescent="0.35">
      <c r="A1065">
        <v>1064</v>
      </c>
      <c r="B1065">
        <v>45897.942314687505</v>
      </c>
      <c r="D1065" t="s">
        <v>5256</v>
      </c>
      <c r="E1065" t="s">
        <v>172</v>
      </c>
      <c r="F1065" t="s">
        <v>44</v>
      </c>
      <c r="G1065" t="s">
        <v>29</v>
      </c>
      <c r="H1065" t="s">
        <v>33</v>
      </c>
      <c r="I1065" t="s">
        <v>30</v>
      </c>
      <c r="J1065" t="s">
        <v>173</v>
      </c>
      <c r="K1065" t="s">
        <v>35</v>
      </c>
      <c r="L1065" t="s">
        <v>36</v>
      </c>
      <c r="N1065" t="s">
        <v>642</v>
      </c>
      <c r="O1065" t="s">
        <v>49</v>
      </c>
      <c r="P1065" t="s">
        <v>48</v>
      </c>
      <c r="Q1065" t="s">
        <v>48</v>
      </c>
      <c r="S1065" t="s">
        <v>38</v>
      </c>
      <c r="V1065" t="s">
        <v>79</v>
      </c>
      <c r="W1065" t="s">
        <v>5257</v>
      </c>
      <c r="X1065" t="s">
        <v>603</v>
      </c>
      <c r="Y1065" t="s">
        <v>5258</v>
      </c>
      <c r="Z1065" t="s">
        <v>91</v>
      </c>
    </row>
    <row r="1066" spans="1:26" ht="12.75" customHeight="1" x14ac:dyDescent="0.35">
      <c r="A1066">
        <v>1065</v>
      </c>
      <c r="B1066">
        <v>45897.944070555561</v>
      </c>
      <c r="D1066" t="s">
        <v>5259</v>
      </c>
      <c r="E1066" t="s">
        <v>172</v>
      </c>
      <c r="F1066" t="s">
        <v>28</v>
      </c>
      <c r="G1066" t="s">
        <v>44</v>
      </c>
      <c r="H1066" t="s">
        <v>60</v>
      </c>
      <c r="I1066" t="s">
        <v>30</v>
      </c>
      <c r="J1066" t="s">
        <v>94</v>
      </c>
      <c r="K1066" t="s">
        <v>368</v>
      </c>
      <c r="L1066" t="s">
        <v>46</v>
      </c>
      <c r="N1066" t="s">
        <v>2077</v>
      </c>
      <c r="O1066" t="s">
        <v>48</v>
      </c>
      <c r="P1066" t="s">
        <v>48</v>
      </c>
      <c r="Q1066" t="s">
        <v>48</v>
      </c>
      <c r="S1066" t="s">
        <v>40</v>
      </c>
      <c r="V1066" t="s">
        <v>87</v>
      </c>
      <c r="W1066" t="s">
        <v>5260</v>
      </c>
      <c r="X1066" t="s">
        <v>2077</v>
      </c>
      <c r="Y1066" t="s">
        <v>5261</v>
      </c>
      <c r="Z1066" t="s">
        <v>91</v>
      </c>
    </row>
    <row r="1067" spans="1:26" ht="12.75" customHeight="1" x14ac:dyDescent="0.35">
      <c r="A1067">
        <v>1066</v>
      </c>
      <c r="B1067">
        <v>45897.945906932873</v>
      </c>
      <c r="D1067" t="s">
        <v>5262</v>
      </c>
      <c r="E1067" t="s">
        <v>5263</v>
      </c>
      <c r="F1067" t="s">
        <v>71</v>
      </c>
      <c r="G1067" t="s">
        <v>197</v>
      </c>
      <c r="H1067" t="s">
        <v>157</v>
      </c>
      <c r="I1067" t="s">
        <v>103</v>
      </c>
      <c r="J1067" t="s">
        <v>28</v>
      </c>
      <c r="K1067" t="s">
        <v>35</v>
      </c>
      <c r="L1067" t="s">
        <v>36</v>
      </c>
      <c r="N1067" t="s">
        <v>3403</v>
      </c>
      <c r="O1067" t="s">
        <v>48</v>
      </c>
      <c r="P1067" t="s">
        <v>49</v>
      </c>
      <c r="Q1067" t="s">
        <v>48</v>
      </c>
      <c r="S1067" t="s">
        <v>48</v>
      </c>
      <c r="V1067" t="s">
        <v>53</v>
      </c>
      <c r="W1067" t="s">
        <v>5264</v>
      </c>
      <c r="X1067" t="s">
        <v>81</v>
      </c>
      <c r="Y1067" t="s">
        <v>450</v>
      </c>
      <c r="Z1067" t="s">
        <v>129</v>
      </c>
    </row>
    <row r="1068" spans="1:26" ht="12.75" customHeight="1" x14ac:dyDescent="0.35">
      <c r="A1068">
        <v>1067</v>
      </c>
      <c r="B1068">
        <v>45897.947818784727</v>
      </c>
      <c r="D1068" t="s">
        <v>5265</v>
      </c>
      <c r="E1068" t="s">
        <v>5266</v>
      </c>
      <c r="F1068" t="s">
        <v>449</v>
      </c>
      <c r="G1068" t="s">
        <v>28</v>
      </c>
      <c r="H1068" t="s">
        <v>28</v>
      </c>
      <c r="I1068" t="s">
        <v>103</v>
      </c>
      <c r="J1068" t="s">
        <v>28</v>
      </c>
      <c r="K1068" t="s">
        <v>28</v>
      </c>
      <c r="L1068" t="s">
        <v>46</v>
      </c>
      <c r="N1068" t="s">
        <v>3597</v>
      </c>
      <c r="O1068" t="s">
        <v>48</v>
      </c>
      <c r="P1068" t="s">
        <v>49</v>
      </c>
      <c r="Q1068" t="s">
        <v>48</v>
      </c>
      <c r="S1068" t="s">
        <v>38</v>
      </c>
      <c r="V1068" t="s">
        <v>79</v>
      </c>
      <c r="W1068" t="s">
        <v>5267</v>
      </c>
      <c r="X1068" t="s">
        <v>100</v>
      </c>
      <c r="Y1068" t="s">
        <v>3614</v>
      </c>
      <c r="Z1068" t="s">
        <v>57</v>
      </c>
    </row>
    <row r="1069" spans="1:26" ht="12.75" customHeight="1" x14ac:dyDescent="0.35">
      <c r="A1069">
        <v>1068</v>
      </c>
      <c r="B1069">
        <v>45897.949831111109</v>
      </c>
      <c r="D1069" t="s">
        <v>5268</v>
      </c>
      <c r="E1069" t="s">
        <v>5266</v>
      </c>
      <c r="F1069" t="s">
        <v>344</v>
      </c>
      <c r="G1069" t="s">
        <v>44</v>
      </c>
      <c r="H1069" t="s">
        <v>29</v>
      </c>
      <c r="I1069" t="s">
        <v>196</v>
      </c>
      <c r="J1069" t="s">
        <v>73</v>
      </c>
      <c r="K1069" t="s">
        <v>368</v>
      </c>
      <c r="L1069" t="s">
        <v>36</v>
      </c>
      <c r="N1069" t="s">
        <v>5241</v>
      </c>
      <c r="O1069" t="s">
        <v>48</v>
      </c>
      <c r="P1069" t="s">
        <v>48</v>
      </c>
      <c r="Q1069" t="s">
        <v>38</v>
      </c>
      <c r="S1069" t="s">
        <v>48</v>
      </c>
      <c r="V1069" t="s">
        <v>65</v>
      </c>
      <c r="W1069" t="s">
        <v>5269</v>
      </c>
      <c r="X1069" t="s">
        <v>81</v>
      </c>
      <c r="Y1069" t="s">
        <v>5270</v>
      </c>
      <c r="Z1069" t="s">
        <v>129</v>
      </c>
    </row>
    <row r="1070" spans="1:26" ht="12.75" customHeight="1" x14ac:dyDescent="0.35">
      <c r="A1070">
        <v>1069</v>
      </c>
      <c r="B1070">
        <v>45897.952006446758</v>
      </c>
      <c r="D1070" t="s">
        <v>5271</v>
      </c>
      <c r="E1070" t="s">
        <v>5272</v>
      </c>
      <c r="F1070" t="s">
        <v>29</v>
      </c>
      <c r="G1070" t="s">
        <v>29</v>
      </c>
      <c r="H1070" t="s">
        <v>60</v>
      </c>
      <c r="I1070" t="s">
        <v>158</v>
      </c>
      <c r="J1070" t="s">
        <v>368</v>
      </c>
      <c r="K1070" t="s">
        <v>368</v>
      </c>
      <c r="L1070" t="s">
        <v>46</v>
      </c>
      <c r="N1070" t="s">
        <v>5273</v>
      </c>
      <c r="O1070" t="s">
        <v>48</v>
      </c>
      <c r="P1070" t="s">
        <v>38</v>
      </c>
      <c r="Q1070" t="s">
        <v>48</v>
      </c>
      <c r="R1070" t="s">
        <v>5274</v>
      </c>
      <c r="S1070" t="s">
        <v>48</v>
      </c>
      <c r="T1070" t="s">
        <v>5275</v>
      </c>
      <c r="U1070" t="s">
        <v>5276</v>
      </c>
      <c r="V1070" t="s">
        <v>65</v>
      </c>
      <c r="W1070" t="s">
        <v>5277</v>
      </c>
      <c r="X1070" t="s">
        <v>2077</v>
      </c>
      <c r="Y1070" t="s">
        <v>5278</v>
      </c>
      <c r="Z1070" t="s">
        <v>129</v>
      </c>
    </row>
    <row r="1071" spans="1:26" ht="12.75" customHeight="1" x14ac:dyDescent="0.35">
      <c r="A1071">
        <v>1070</v>
      </c>
      <c r="B1071">
        <v>45897.95407767361</v>
      </c>
      <c r="D1071" t="s">
        <v>5279</v>
      </c>
      <c r="E1071" t="s">
        <v>84</v>
      </c>
      <c r="F1071" t="s">
        <v>60</v>
      </c>
      <c r="G1071" t="s">
        <v>197</v>
      </c>
      <c r="H1071" t="s">
        <v>284</v>
      </c>
      <c r="I1071" t="s">
        <v>158</v>
      </c>
      <c r="J1071" t="s">
        <v>103</v>
      </c>
      <c r="K1071" t="s">
        <v>292</v>
      </c>
      <c r="L1071" t="s">
        <v>46</v>
      </c>
      <c r="N1071" t="s">
        <v>442</v>
      </c>
      <c r="O1071" t="s">
        <v>49</v>
      </c>
      <c r="P1071" t="s">
        <v>48</v>
      </c>
      <c r="Q1071" t="s">
        <v>49</v>
      </c>
      <c r="R1071" t="s">
        <v>5280</v>
      </c>
      <c r="S1071" t="s">
        <v>48</v>
      </c>
      <c r="T1071" t="s">
        <v>5281</v>
      </c>
      <c r="U1071" t="s">
        <v>5282</v>
      </c>
      <c r="V1071" t="s">
        <v>65</v>
      </c>
      <c r="W1071" t="s">
        <v>5283</v>
      </c>
      <c r="X1071" t="s">
        <v>603</v>
      </c>
      <c r="Y1071" t="s">
        <v>5284</v>
      </c>
      <c r="Z1071" t="s">
        <v>129</v>
      </c>
    </row>
    <row r="1072" spans="1:26" ht="12.75" customHeight="1" x14ac:dyDescent="0.35">
      <c r="A1072">
        <v>1071</v>
      </c>
      <c r="B1072">
        <v>45897.958251620366</v>
      </c>
      <c r="D1072" t="s">
        <v>5285</v>
      </c>
      <c r="E1072" t="s">
        <v>5286</v>
      </c>
      <c r="F1072" t="s">
        <v>29</v>
      </c>
      <c r="G1072" t="s">
        <v>28</v>
      </c>
      <c r="H1072" t="s">
        <v>28</v>
      </c>
      <c r="I1072" t="s">
        <v>28</v>
      </c>
      <c r="J1072" t="s">
        <v>28</v>
      </c>
      <c r="K1072" t="s">
        <v>28</v>
      </c>
      <c r="L1072" t="s">
        <v>46</v>
      </c>
      <c r="N1072" t="s">
        <v>442</v>
      </c>
      <c r="O1072" t="s">
        <v>48</v>
      </c>
      <c r="P1072" t="s">
        <v>48</v>
      </c>
      <c r="Q1072" t="s">
        <v>49</v>
      </c>
      <c r="R1072" t="s">
        <v>5287</v>
      </c>
      <c r="S1072" t="s">
        <v>48</v>
      </c>
      <c r="T1072" t="s">
        <v>5288</v>
      </c>
      <c r="U1072" t="s">
        <v>5289</v>
      </c>
      <c r="V1072" t="s">
        <v>65</v>
      </c>
      <c r="W1072" t="s">
        <v>5290</v>
      </c>
      <c r="X1072" t="s">
        <v>603</v>
      </c>
      <c r="Y1072" t="s">
        <v>5291</v>
      </c>
      <c r="Z1072" t="s">
        <v>129</v>
      </c>
    </row>
    <row r="1073" spans="1:26" ht="12.75" customHeight="1" x14ac:dyDescent="0.35">
      <c r="A1073">
        <v>1072</v>
      </c>
      <c r="B1073">
        <v>45898.732575613423</v>
      </c>
      <c r="D1073" t="s">
        <v>1723</v>
      </c>
      <c r="E1073" t="s">
        <v>172</v>
      </c>
      <c r="F1073" t="s">
        <v>377</v>
      </c>
      <c r="G1073" t="s">
        <v>28</v>
      </c>
      <c r="H1073" t="s">
        <v>28</v>
      </c>
      <c r="I1073" t="s">
        <v>28</v>
      </c>
      <c r="J1073" t="s">
        <v>28</v>
      </c>
      <c r="K1073" t="s">
        <v>28</v>
      </c>
      <c r="L1073" t="s">
        <v>46</v>
      </c>
      <c r="N1073" t="s">
        <v>5292</v>
      </c>
      <c r="O1073" t="s">
        <v>48</v>
      </c>
      <c r="P1073" t="s">
        <v>49</v>
      </c>
      <c r="Q1073" t="s">
        <v>48</v>
      </c>
      <c r="S1073" t="s">
        <v>48</v>
      </c>
      <c r="V1073" t="s">
        <v>65</v>
      </c>
      <c r="W1073" t="s">
        <v>5293</v>
      </c>
      <c r="X1073" t="s">
        <v>81</v>
      </c>
      <c r="Y1073" t="s">
        <v>413</v>
      </c>
      <c r="Z1073" t="s">
        <v>129</v>
      </c>
    </row>
    <row r="1074" spans="1:26" ht="12.75" customHeight="1" x14ac:dyDescent="0.35">
      <c r="A1074">
        <v>1073</v>
      </c>
      <c r="B1074">
        <v>45898.734339027782</v>
      </c>
      <c r="D1074" t="s">
        <v>5294</v>
      </c>
      <c r="E1074" t="s">
        <v>84</v>
      </c>
      <c r="F1074" t="s">
        <v>28</v>
      </c>
      <c r="G1074" t="s">
        <v>28</v>
      </c>
      <c r="H1074" t="s">
        <v>28</v>
      </c>
      <c r="I1074" t="s">
        <v>28</v>
      </c>
      <c r="J1074" t="s">
        <v>45</v>
      </c>
      <c r="K1074" t="s">
        <v>35</v>
      </c>
      <c r="L1074" t="s">
        <v>36</v>
      </c>
      <c r="N1074" t="s">
        <v>95</v>
      </c>
      <c r="O1074" t="s">
        <v>48</v>
      </c>
      <c r="P1074" t="s">
        <v>48</v>
      </c>
      <c r="Q1074" t="s">
        <v>48</v>
      </c>
      <c r="S1074" t="s">
        <v>48</v>
      </c>
      <c r="V1074" t="s">
        <v>53</v>
      </c>
      <c r="W1074" t="s">
        <v>5295</v>
      </c>
      <c r="X1074" t="s">
        <v>100</v>
      </c>
      <c r="Y1074" t="s">
        <v>5296</v>
      </c>
      <c r="Z1074" t="s">
        <v>129</v>
      </c>
    </row>
    <row r="1075" spans="1:26" ht="12.75" customHeight="1" x14ac:dyDescent="0.35">
      <c r="A1075">
        <v>1074</v>
      </c>
      <c r="B1075">
        <v>45898.737805300931</v>
      </c>
      <c r="D1075" t="s">
        <v>5297</v>
      </c>
      <c r="E1075" t="s">
        <v>205</v>
      </c>
      <c r="F1075" t="s">
        <v>33</v>
      </c>
      <c r="G1075" t="s">
        <v>29</v>
      </c>
      <c r="H1075" t="s">
        <v>29</v>
      </c>
      <c r="I1075" t="s">
        <v>30</v>
      </c>
      <c r="J1075" t="s">
        <v>173</v>
      </c>
      <c r="K1075" t="s">
        <v>292</v>
      </c>
      <c r="L1075" t="s">
        <v>36</v>
      </c>
      <c r="N1075" t="s">
        <v>442</v>
      </c>
      <c r="O1075" t="s">
        <v>49</v>
      </c>
      <c r="P1075" t="s">
        <v>48</v>
      </c>
      <c r="Q1075" t="s">
        <v>49</v>
      </c>
      <c r="S1075" t="s">
        <v>48</v>
      </c>
      <c r="V1075" t="s">
        <v>79</v>
      </c>
      <c r="W1075" t="s">
        <v>5298</v>
      </c>
      <c r="X1075" t="s">
        <v>603</v>
      </c>
      <c r="Y1075" t="s">
        <v>5299</v>
      </c>
      <c r="Z1075" t="s">
        <v>129</v>
      </c>
    </row>
    <row r="1076" spans="1:26" ht="12.75" customHeight="1" x14ac:dyDescent="0.35">
      <c r="A1076">
        <v>1075</v>
      </c>
      <c r="B1076">
        <v>45898.741199085649</v>
      </c>
      <c r="D1076" t="s">
        <v>5300</v>
      </c>
      <c r="E1076" t="s">
        <v>5263</v>
      </c>
      <c r="F1076" t="s">
        <v>33</v>
      </c>
      <c r="G1076" t="s">
        <v>60</v>
      </c>
      <c r="H1076" t="s">
        <v>60</v>
      </c>
      <c r="I1076" t="s">
        <v>30</v>
      </c>
      <c r="J1076" t="s">
        <v>173</v>
      </c>
      <c r="K1076" t="s">
        <v>45</v>
      </c>
      <c r="L1076" t="s">
        <v>46</v>
      </c>
      <c r="N1076" t="s">
        <v>3597</v>
      </c>
      <c r="O1076" t="s">
        <v>38</v>
      </c>
      <c r="P1076" t="s">
        <v>49</v>
      </c>
      <c r="Q1076" t="s">
        <v>48</v>
      </c>
      <c r="R1076" t="s">
        <v>5301</v>
      </c>
      <c r="S1076" t="s">
        <v>49</v>
      </c>
      <c r="T1076" t="s">
        <v>5302</v>
      </c>
      <c r="U1076" t="s">
        <v>5303</v>
      </c>
      <c r="V1076" t="s">
        <v>79</v>
      </c>
      <c r="W1076" t="s">
        <v>5304</v>
      </c>
      <c r="X1076" t="s">
        <v>100</v>
      </c>
      <c r="Y1076" t="s">
        <v>5305</v>
      </c>
      <c r="Z1076" t="s">
        <v>129</v>
      </c>
    </row>
    <row r="1077" spans="1:26" ht="12.75" customHeight="1" x14ac:dyDescent="0.35">
      <c r="A1077">
        <v>1076</v>
      </c>
      <c r="B1077">
        <v>45898.74405731482</v>
      </c>
      <c r="D1077" t="s">
        <v>5306</v>
      </c>
      <c r="E1077" t="s">
        <v>5272</v>
      </c>
      <c r="F1077" t="s">
        <v>33</v>
      </c>
      <c r="G1077" t="s">
        <v>33</v>
      </c>
      <c r="H1077" t="s">
        <v>33</v>
      </c>
      <c r="I1077" t="s">
        <v>30</v>
      </c>
      <c r="J1077" t="s">
        <v>45</v>
      </c>
      <c r="K1077" t="s">
        <v>292</v>
      </c>
      <c r="L1077" t="s">
        <v>36</v>
      </c>
      <c r="N1077" t="s">
        <v>3403</v>
      </c>
      <c r="O1077" t="s">
        <v>38</v>
      </c>
      <c r="P1077" t="s">
        <v>48</v>
      </c>
      <c r="Q1077" t="s">
        <v>48</v>
      </c>
      <c r="R1077" t="s">
        <v>5307</v>
      </c>
      <c r="S1077" t="s">
        <v>49</v>
      </c>
      <c r="T1077" t="s">
        <v>5308</v>
      </c>
      <c r="U1077" t="s">
        <v>5309</v>
      </c>
      <c r="V1077" t="s">
        <v>53</v>
      </c>
      <c r="W1077" t="s">
        <v>5310</v>
      </c>
      <c r="X1077" t="s">
        <v>81</v>
      </c>
      <c r="Y1077" t="s">
        <v>5311</v>
      </c>
      <c r="Z1077" t="s">
        <v>129</v>
      </c>
    </row>
    <row r="1078" spans="1:26" ht="12.75" customHeight="1" x14ac:dyDescent="0.35">
      <c r="A1078">
        <v>1077</v>
      </c>
      <c r="B1078">
        <v>45898.747443460648</v>
      </c>
      <c r="D1078" t="s">
        <v>5312</v>
      </c>
      <c r="E1078" t="s">
        <v>205</v>
      </c>
      <c r="F1078" t="s">
        <v>33</v>
      </c>
      <c r="G1078" t="s">
        <v>29</v>
      </c>
      <c r="H1078" t="s">
        <v>33</v>
      </c>
      <c r="I1078" t="s">
        <v>34</v>
      </c>
      <c r="J1078" t="s">
        <v>34</v>
      </c>
      <c r="K1078" t="s">
        <v>74</v>
      </c>
      <c r="L1078" t="s">
        <v>46</v>
      </c>
      <c r="N1078" t="s">
        <v>3617</v>
      </c>
      <c r="O1078" t="s">
        <v>49</v>
      </c>
      <c r="P1078" t="s">
        <v>48</v>
      </c>
      <c r="Q1078" t="s">
        <v>48</v>
      </c>
      <c r="R1078" t="s">
        <v>5313</v>
      </c>
      <c r="S1078" t="s">
        <v>49</v>
      </c>
      <c r="T1078" t="s">
        <v>5314</v>
      </c>
      <c r="U1078" t="s">
        <v>5315</v>
      </c>
      <c r="V1078" t="s">
        <v>79</v>
      </c>
      <c r="W1078" t="s">
        <v>5316</v>
      </c>
      <c r="X1078" t="s">
        <v>100</v>
      </c>
      <c r="Y1078" t="s">
        <v>5317</v>
      </c>
      <c r="Z1078" t="s">
        <v>91</v>
      </c>
    </row>
    <row r="1079" spans="1:26" ht="12.75" customHeight="1" x14ac:dyDescent="0.35">
      <c r="A1079">
        <v>1078</v>
      </c>
      <c r="B1079">
        <v>45898.7498671875</v>
      </c>
      <c r="D1079" t="s">
        <v>5318</v>
      </c>
      <c r="E1079" t="s">
        <v>5319</v>
      </c>
      <c r="F1079" t="s">
        <v>33</v>
      </c>
      <c r="G1079" t="s">
        <v>29</v>
      </c>
      <c r="H1079" t="s">
        <v>33</v>
      </c>
      <c r="I1079" t="s">
        <v>30</v>
      </c>
      <c r="J1079" t="s">
        <v>173</v>
      </c>
      <c r="K1079" t="s">
        <v>45</v>
      </c>
      <c r="L1079" t="s">
        <v>36</v>
      </c>
      <c r="N1079" t="s">
        <v>5320</v>
      </c>
      <c r="O1079" t="s">
        <v>49</v>
      </c>
      <c r="P1079" t="s">
        <v>49</v>
      </c>
      <c r="Q1079" t="s">
        <v>38</v>
      </c>
      <c r="R1079" t="s">
        <v>5321</v>
      </c>
      <c r="S1079" t="s">
        <v>48</v>
      </c>
      <c r="T1079" t="s">
        <v>5322</v>
      </c>
      <c r="U1079" t="s">
        <v>5323</v>
      </c>
      <c r="V1079" t="s">
        <v>65</v>
      </c>
      <c r="W1079" t="s">
        <v>5324</v>
      </c>
      <c r="X1079" t="s">
        <v>81</v>
      </c>
      <c r="Y1079" t="s">
        <v>5325</v>
      </c>
      <c r="Z1079" t="s">
        <v>91</v>
      </c>
    </row>
    <row r="1080" spans="1:26" ht="12.75" customHeight="1" x14ac:dyDescent="0.35">
      <c r="A1080">
        <v>1079</v>
      </c>
      <c r="B1080">
        <v>45898.817892581021</v>
      </c>
      <c r="D1080" t="s">
        <v>5326</v>
      </c>
      <c r="E1080" t="s">
        <v>5327</v>
      </c>
      <c r="F1080" t="s">
        <v>33</v>
      </c>
      <c r="G1080" t="s">
        <v>29</v>
      </c>
      <c r="H1080" t="s">
        <v>60</v>
      </c>
      <c r="I1080" t="s">
        <v>103</v>
      </c>
      <c r="J1080" t="s">
        <v>368</v>
      </c>
      <c r="K1080" t="s">
        <v>368</v>
      </c>
      <c r="L1080" t="s">
        <v>46</v>
      </c>
      <c r="N1080" t="s">
        <v>2077</v>
      </c>
      <c r="O1080" t="s">
        <v>49</v>
      </c>
      <c r="P1080" t="s">
        <v>38</v>
      </c>
      <c r="Q1080" t="s">
        <v>48</v>
      </c>
      <c r="R1080" t="s">
        <v>5328</v>
      </c>
      <c r="S1080" t="s">
        <v>48</v>
      </c>
      <c r="T1080" t="s">
        <v>5329</v>
      </c>
      <c r="U1080" t="s">
        <v>5330</v>
      </c>
      <c r="V1080" t="s">
        <v>79</v>
      </c>
      <c r="W1080" t="s">
        <v>5331</v>
      </c>
      <c r="X1080" t="s">
        <v>2077</v>
      </c>
      <c r="Y1080" t="s">
        <v>5332</v>
      </c>
      <c r="Z1080" t="s">
        <v>129</v>
      </c>
    </row>
    <row r="1081" spans="1:26" ht="12.75" customHeight="1" x14ac:dyDescent="0.35">
      <c r="A1081">
        <v>1080</v>
      </c>
      <c r="B1081">
        <v>45898.821693402773</v>
      </c>
      <c r="D1081" t="s">
        <v>5333</v>
      </c>
      <c r="E1081" t="s">
        <v>5266</v>
      </c>
      <c r="F1081" t="s">
        <v>33</v>
      </c>
      <c r="G1081" t="s">
        <v>33</v>
      </c>
      <c r="H1081" t="s">
        <v>29</v>
      </c>
      <c r="I1081" t="s">
        <v>173</v>
      </c>
      <c r="J1081" t="s">
        <v>30</v>
      </c>
      <c r="K1081" t="s">
        <v>28</v>
      </c>
      <c r="L1081" t="s">
        <v>36</v>
      </c>
      <c r="N1081" t="s">
        <v>442</v>
      </c>
      <c r="O1081" t="s">
        <v>49</v>
      </c>
      <c r="P1081" t="s">
        <v>48</v>
      </c>
      <c r="Q1081" t="s">
        <v>48</v>
      </c>
      <c r="R1081" t="s">
        <v>5334</v>
      </c>
      <c r="S1081" t="s">
        <v>49</v>
      </c>
      <c r="T1081" t="s">
        <v>5335</v>
      </c>
      <c r="U1081" t="s">
        <v>5336</v>
      </c>
      <c r="V1081" t="s">
        <v>65</v>
      </c>
      <c r="W1081" t="s">
        <v>5337</v>
      </c>
      <c r="X1081" t="s">
        <v>603</v>
      </c>
      <c r="Y1081" t="s">
        <v>5338</v>
      </c>
      <c r="Z1081" t="s">
        <v>129</v>
      </c>
    </row>
    <row r="1082" spans="1:26" ht="12.75" customHeight="1" x14ac:dyDescent="0.35">
      <c r="A1082">
        <v>1081</v>
      </c>
      <c r="B1082">
        <v>45898.824049328701</v>
      </c>
      <c r="D1082" t="s">
        <v>5339</v>
      </c>
      <c r="E1082" t="s">
        <v>172</v>
      </c>
      <c r="F1082" t="s">
        <v>33</v>
      </c>
      <c r="G1082" t="s">
        <v>29</v>
      </c>
      <c r="H1082" t="s">
        <v>33</v>
      </c>
      <c r="I1082" t="s">
        <v>30</v>
      </c>
      <c r="J1082" t="s">
        <v>173</v>
      </c>
      <c r="K1082" t="s">
        <v>35</v>
      </c>
      <c r="L1082" t="s">
        <v>46</v>
      </c>
      <c r="N1082" t="s">
        <v>375</v>
      </c>
      <c r="O1082" t="s">
        <v>48</v>
      </c>
      <c r="P1082" t="s">
        <v>49</v>
      </c>
      <c r="Q1082" t="s">
        <v>48</v>
      </c>
      <c r="R1082" t="s">
        <v>5340</v>
      </c>
      <c r="S1082" t="s">
        <v>40</v>
      </c>
      <c r="T1082" t="s">
        <v>5341</v>
      </c>
      <c r="U1082" t="s">
        <v>5342</v>
      </c>
      <c r="V1082" t="s">
        <v>87</v>
      </c>
      <c r="W1082" t="s">
        <v>5343</v>
      </c>
      <c r="X1082" t="s">
        <v>81</v>
      </c>
      <c r="Y1082" t="s">
        <v>5344</v>
      </c>
      <c r="Z1082" t="s">
        <v>129</v>
      </c>
    </row>
    <row r="1083" spans="1:26" ht="12.75" customHeight="1" x14ac:dyDescent="0.35">
      <c r="A1083">
        <v>1082</v>
      </c>
      <c r="B1083">
        <v>45898.826938344908</v>
      </c>
      <c r="D1083" t="s">
        <v>5345</v>
      </c>
      <c r="E1083" t="s">
        <v>205</v>
      </c>
      <c r="F1083" t="s">
        <v>29</v>
      </c>
      <c r="G1083" t="s">
        <v>44</v>
      </c>
      <c r="H1083" t="s">
        <v>44</v>
      </c>
      <c r="I1083" t="s">
        <v>28</v>
      </c>
      <c r="J1083" t="s">
        <v>28</v>
      </c>
      <c r="K1083" t="s">
        <v>45</v>
      </c>
      <c r="L1083" t="s">
        <v>36</v>
      </c>
      <c r="N1083" t="s">
        <v>5346</v>
      </c>
      <c r="O1083" t="s">
        <v>48</v>
      </c>
      <c r="P1083" t="s">
        <v>49</v>
      </c>
      <c r="Q1083" t="s">
        <v>38</v>
      </c>
      <c r="R1083" t="s">
        <v>5347</v>
      </c>
      <c r="S1083" t="s">
        <v>48</v>
      </c>
      <c r="T1083" t="s">
        <v>5348</v>
      </c>
      <c r="U1083" t="s">
        <v>5342</v>
      </c>
      <c r="V1083" t="s">
        <v>87</v>
      </c>
      <c r="W1083" t="s">
        <v>5349</v>
      </c>
      <c r="X1083" t="s">
        <v>2077</v>
      </c>
      <c r="Y1083" t="s">
        <v>5350</v>
      </c>
      <c r="Z1083" t="s">
        <v>129</v>
      </c>
    </row>
    <row r="1084" spans="1:26" ht="12.75" customHeight="1" x14ac:dyDescent="0.35">
      <c r="A1084">
        <v>1083</v>
      </c>
      <c r="B1084">
        <v>45898.82901159722</v>
      </c>
      <c r="D1084" t="s">
        <v>5351</v>
      </c>
      <c r="E1084" t="s">
        <v>5272</v>
      </c>
      <c r="F1084" t="s">
        <v>33</v>
      </c>
      <c r="G1084" t="s">
        <v>60</v>
      </c>
      <c r="H1084" t="s">
        <v>33</v>
      </c>
      <c r="I1084" t="s">
        <v>30</v>
      </c>
      <c r="J1084" t="s">
        <v>173</v>
      </c>
      <c r="K1084" t="s">
        <v>292</v>
      </c>
      <c r="L1084" t="s">
        <v>46</v>
      </c>
      <c r="N1084" t="s">
        <v>3630</v>
      </c>
      <c r="O1084" t="s">
        <v>49</v>
      </c>
      <c r="P1084" t="s">
        <v>48</v>
      </c>
      <c r="Q1084" t="s">
        <v>49</v>
      </c>
      <c r="R1084" t="s">
        <v>5352</v>
      </c>
      <c r="S1084" t="s">
        <v>48</v>
      </c>
      <c r="T1084" t="s">
        <v>5353</v>
      </c>
      <c r="U1084" t="s">
        <v>5354</v>
      </c>
      <c r="V1084" t="s">
        <v>53</v>
      </c>
      <c r="W1084" t="s">
        <v>5355</v>
      </c>
      <c r="X1084" t="s">
        <v>100</v>
      </c>
      <c r="Y1084" t="s">
        <v>5356</v>
      </c>
      <c r="Z1084" t="s">
        <v>129</v>
      </c>
    </row>
    <row r="1085" spans="1:26" ht="12.75" customHeight="1" x14ac:dyDescent="0.35">
      <c r="A1085">
        <v>1084</v>
      </c>
      <c r="B1085">
        <v>45898.861113715277</v>
      </c>
      <c r="D1085" t="s">
        <v>5357</v>
      </c>
      <c r="E1085" t="s">
        <v>448</v>
      </c>
      <c r="F1085" t="s">
        <v>377</v>
      </c>
      <c r="G1085" t="s">
        <v>44</v>
      </c>
      <c r="H1085" t="s">
        <v>44</v>
      </c>
      <c r="I1085" t="s">
        <v>28</v>
      </c>
      <c r="J1085" t="s">
        <v>28</v>
      </c>
      <c r="K1085" t="s">
        <v>28</v>
      </c>
      <c r="L1085" t="s">
        <v>36</v>
      </c>
      <c r="N1085" t="s">
        <v>442</v>
      </c>
      <c r="O1085" t="s">
        <v>38</v>
      </c>
      <c r="P1085" t="s">
        <v>49</v>
      </c>
      <c r="Q1085" t="s">
        <v>49</v>
      </c>
      <c r="R1085" t="s">
        <v>5358</v>
      </c>
      <c r="S1085" t="s">
        <v>49</v>
      </c>
      <c r="T1085" t="s">
        <v>5359</v>
      </c>
      <c r="U1085" t="s">
        <v>5360</v>
      </c>
      <c r="V1085" t="s">
        <v>53</v>
      </c>
      <c r="W1085" t="s">
        <v>5361</v>
      </c>
      <c r="X1085" t="s">
        <v>603</v>
      </c>
      <c r="Y1085" t="s">
        <v>56</v>
      </c>
      <c r="Z1085" t="s">
        <v>129</v>
      </c>
    </row>
    <row r="1086" spans="1:26" ht="12.75" customHeight="1" x14ac:dyDescent="0.35">
      <c r="A1086">
        <v>1085</v>
      </c>
      <c r="B1086">
        <v>45898.864153738425</v>
      </c>
      <c r="D1086" t="s">
        <v>5362</v>
      </c>
      <c r="E1086" t="s">
        <v>5363</v>
      </c>
      <c r="F1086" t="s">
        <v>44</v>
      </c>
      <c r="G1086" t="s">
        <v>44</v>
      </c>
      <c r="H1086" t="s">
        <v>28</v>
      </c>
      <c r="I1086" t="s">
        <v>103</v>
      </c>
      <c r="J1086" t="s">
        <v>28</v>
      </c>
      <c r="K1086" t="s">
        <v>35</v>
      </c>
      <c r="L1086" t="s">
        <v>46</v>
      </c>
      <c r="N1086" t="s">
        <v>5241</v>
      </c>
      <c r="O1086" t="s">
        <v>38</v>
      </c>
      <c r="P1086" t="s">
        <v>49</v>
      </c>
      <c r="Q1086" t="s">
        <v>49</v>
      </c>
      <c r="R1086" t="s">
        <v>5364</v>
      </c>
      <c r="S1086" t="s">
        <v>38</v>
      </c>
      <c r="T1086" t="s">
        <v>5365</v>
      </c>
      <c r="U1086" t="s">
        <v>5366</v>
      </c>
      <c r="V1086" t="s">
        <v>87</v>
      </c>
      <c r="W1086" t="s">
        <v>5367</v>
      </c>
      <c r="X1086" t="s">
        <v>81</v>
      </c>
      <c r="Y1086" t="s">
        <v>56</v>
      </c>
      <c r="Z1086" t="s">
        <v>129</v>
      </c>
    </row>
    <row r="1087" spans="1:26" ht="12.75" customHeight="1" x14ac:dyDescent="0.35">
      <c r="A1087">
        <v>1086</v>
      </c>
      <c r="B1087">
        <v>45898.867273067124</v>
      </c>
      <c r="D1087" t="s">
        <v>5368</v>
      </c>
      <c r="E1087" t="s">
        <v>5369</v>
      </c>
      <c r="F1087" t="s">
        <v>28</v>
      </c>
      <c r="G1087" t="s">
        <v>28</v>
      </c>
      <c r="H1087" t="s">
        <v>28</v>
      </c>
      <c r="I1087" t="s">
        <v>28</v>
      </c>
      <c r="J1087" t="s">
        <v>28</v>
      </c>
      <c r="K1087" t="s">
        <v>35</v>
      </c>
      <c r="L1087" t="s">
        <v>46</v>
      </c>
      <c r="N1087" t="s">
        <v>5241</v>
      </c>
      <c r="O1087" t="s">
        <v>38</v>
      </c>
      <c r="P1087" t="s">
        <v>49</v>
      </c>
      <c r="Q1087" t="s">
        <v>49</v>
      </c>
      <c r="R1087" t="s">
        <v>5370</v>
      </c>
      <c r="S1087" t="s">
        <v>49</v>
      </c>
      <c r="T1087" t="s">
        <v>5371</v>
      </c>
      <c r="U1087" t="s">
        <v>5372</v>
      </c>
      <c r="V1087" t="s">
        <v>87</v>
      </c>
      <c r="W1087" t="s">
        <v>5373</v>
      </c>
      <c r="X1087" t="s">
        <v>81</v>
      </c>
      <c r="Y1087" t="s">
        <v>56</v>
      </c>
      <c r="Z1087" t="s">
        <v>91</v>
      </c>
    </row>
    <row r="1088" spans="1:26" ht="12.75" customHeight="1" x14ac:dyDescent="0.35">
      <c r="A1088">
        <v>1087</v>
      </c>
      <c r="B1088">
        <v>45898.86945539352</v>
      </c>
      <c r="D1088" t="s">
        <v>5374</v>
      </c>
      <c r="E1088" t="s">
        <v>84</v>
      </c>
      <c r="F1088" t="s">
        <v>33</v>
      </c>
      <c r="G1088" t="s">
        <v>33</v>
      </c>
      <c r="H1088" t="s">
        <v>33</v>
      </c>
      <c r="I1088" t="s">
        <v>34</v>
      </c>
      <c r="J1088" t="s">
        <v>34</v>
      </c>
      <c r="K1088" t="s">
        <v>74</v>
      </c>
      <c r="L1088" t="s">
        <v>36</v>
      </c>
      <c r="N1088" t="s">
        <v>442</v>
      </c>
      <c r="O1088" t="s">
        <v>48</v>
      </c>
      <c r="P1088" t="s">
        <v>48</v>
      </c>
      <c r="Q1088" t="s">
        <v>49</v>
      </c>
      <c r="R1088" t="s">
        <v>5375</v>
      </c>
      <c r="S1088" t="s">
        <v>48</v>
      </c>
      <c r="T1088" t="s">
        <v>5376</v>
      </c>
      <c r="U1088" t="s">
        <v>5377</v>
      </c>
      <c r="V1088" t="s">
        <v>65</v>
      </c>
      <c r="W1088" t="s">
        <v>5378</v>
      </c>
      <c r="X1088" t="s">
        <v>603</v>
      </c>
      <c r="Y1088" t="s">
        <v>5379</v>
      </c>
      <c r="Z1088" t="s">
        <v>129</v>
      </c>
    </row>
    <row r="1089" spans="1:26" ht="12.75" customHeight="1" x14ac:dyDescent="0.35">
      <c r="A1089">
        <v>1088</v>
      </c>
      <c r="B1089">
        <v>45898.87032563657</v>
      </c>
      <c r="D1089" t="s">
        <v>5380</v>
      </c>
      <c r="E1089" t="s">
        <v>5381</v>
      </c>
      <c r="F1089" t="s">
        <v>44</v>
      </c>
      <c r="G1089" t="s">
        <v>44</v>
      </c>
      <c r="H1089" t="s">
        <v>44</v>
      </c>
      <c r="I1089" t="s">
        <v>158</v>
      </c>
      <c r="J1089" t="s">
        <v>103</v>
      </c>
      <c r="K1089" t="s">
        <v>35</v>
      </c>
      <c r="L1089" t="s">
        <v>36</v>
      </c>
      <c r="N1089" t="s">
        <v>5241</v>
      </c>
      <c r="O1089" t="s">
        <v>49</v>
      </c>
      <c r="P1089" t="s">
        <v>49</v>
      </c>
      <c r="Q1089" t="s">
        <v>49</v>
      </c>
      <c r="R1089" t="s">
        <v>5382</v>
      </c>
      <c r="S1089" t="s">
        <v>38</v>
      </c>
      <c r="T1089" t="s">
        <v>5383</v>
      </c>
      <c r="U1089" t="s">
        <v>5384</v>
      </c>
      <c r="V1089" t="s">
        <v>53</v>
      </c>
      <c r="W1089" t="s">
        <v>5385</v>
      </c>
      <c r="X1089" t="s">
        <v>81</v>
      </c>
      <c r="Y1089" t="s">
        <v>56</v>
      </c>
      <c r="Z1089" t="s">
        <v>129</v>
      </c>
    </row>
    <row r="1090" spans="1:26" ht="12.75" customHeight="1" x14ac:dyDescent="0.35">
      <c r="A1090">
        <v>1089</v>
      </c>
      <c r="B1090">
        <v>45898.872560682867</v>
      </c>
      <c r="D1090" t="s">
        <v>5386</v>
      </c>
      <c r="E1090" t="s">
        <v>205</v>
      </c>
      <c r="F1090" t="s">
        <v>33</v>
      </c>
      <c r="G1090" t="s">
        <v>33</v>
      </c>
      <c r="H1090" t="s">
        <v>60</v>
      </c>
      <c r="I1090" t="s">
        <v>30</v>
      </c>
      <c r="J1090" t="s">
        <v>30</v>
      </c>
      <c r="K1090" t="s">
        <v>292</v>
      </c>
      <c r="L1090" t="s">
        <v>46</v>
      </c>
      <c r="N1090" t="s">
        <v>5387</v>
      </c>
      <c r="O1090" t="s">
        <v>48</v>
      </c>
      <c r="Q1090" t="s">
        <v>48</v>
      </c>
      <c r="R1090" t="s">
        <v>5388</v>
      </c>
      <c r="S1090" t="s">
        <v>48</v>
      </c>
      <c r="T1090" t="s">
        <v>5389</v>
      </c>
      <c r="U1090" t="s">
        <v>5390</v>
      </c>
      <c r="V1090" t="s">
        <v>65</v>
      </c>
      <c r="W1090" t="s">
        <v>5391</v>
      </c>
      <c r="X1090" t="s">
        <v>81</v>
      </c>
      <c r="Y1090" t="s">
        <v>5392</v>
      </c>
      <c r="Z1090" t="s">
        <v>129</v>
      </c>
    </row>
    <row r="1091" spans="1:26" ht="12.75" customHeight="1" x14ac:dyDescent="0.35">
      <c r="A1091">
        <v>1090</v>
      </c>
      <c r="B1091">
        <v>45898.872923252318</v>
      </c>
      <c r="D1091" t="s">
        <v>5393</v>
      </c>
      <c r="E1091" t="s">
        <v>448</v>
      </c>
      <c r="F1091" t="s">
        <v>60</v>
      </c>
      <c r="G1091" t="s">
        <v>28</v>
      </c>
      <c r="H1091" t="s">
        <v>28</v>
      </c>
      <c r="I1091" t="s">
        <v>28</v>
      </c>
      <c r="J1091" t="s">
        <v>45</v>
      </c>
      <c r="K1091" t="s">
        <v>28</v>
      </c>
      <c r="L1091" t="s">
        <v>36</v>
      </c>
      <c r="N1091" t="s">
        <v>5241</v>
      </c>
      <c r="O1091" t="s">
        <v>40</v>
      </c>
      <c r="P1091" t="s">
        <v>38</v>
      </c>
      <c r="Q1091" t="s">
        <v>38</v>
      </c>
      <c r="R1091" t="s">
        <v>5394</v>
      </c>
      <c r="S1091" t="s">
        <v>38</v>
      </c>
      <c r="T1091" t="s">
        <v>5395</v>
      </c>
      <c r="U1091" t="s">
        <v>5396</v>
      </c>
      <c r="V1091" t="s">
        <v>87</v>
      </c>
      <c r="W1091" t="s">
        <v>5397</v>
      </c>
      <c r="X1091" t="s">
        <v>81</v>
      </c>
      <c r="Y1091" t="s">
        <v>56</v>
      </c>
      <c r="Z1091" t="s">
        <v>91</v>
      </c>
    </row>
    <row r="1092" spans="1:26" ht="12.75" customHeight="1" x14ac:dyDescent="0.35">
      <c r="A1092">
        <v>1091</v>
      </c>
      <c r="B1092">
        <v>45898.875062870371</v>
      </c>
      <c r="D1092" t="s">
        <v>5398</v>
      </c>
      <c r="E1092" t="s">
        <v>5266</v>
      </c>
      <c r="F1092" t="s">
        <v>33</v>
      </c>
      <c r="G1092" t="s">
        <v>33</v>
      </c>
      <c r="H1092" t="s">
        <v>33</v>
      </c>
      <c r="I1092" t="s">
        <v>34</v>
      </c>
      <c r="J1092" t="s">
        <v>34</v>
      </c>
      <c r="K1092" t="s">
        <v>74</v>
      </c>
      <c r="L1092" t="s">
        <v>36</v>
      </c>
      <c r="N1092" t="s">
        <v>5399</v>
      </c>
      <c r="O1092" t="s">
        <v>48</v>
      </c>
      <c r="P1092" t="s">
        <v>48</v>
      </c>
      <c r="Q1092" t="s">
        <v>48</v>
      </c>
      <c r="R1092" t="s">
        <v>5347</v>
      </c>
      <c r="S1092" t="s">
        <v>48</v>
      </c>
      <c r="T1092" t="s">
        <v>5376</v>
      </c>
      <c r="U1092" t="s">
        <v>5400</v>
      </c>
      <c r="V1092" t="s">
        <v>65</v>
      </c>
      <c r="W1092" t="s">
        <v>5401</v>
      </c>
      <c r="X1092" t="s">
        <v>2077</v>
      </c>
      <c r="Y1092" t="s">
        <v>5402</v>
      </c>
      <c r="Z1092" t="s">
        <v>129</v>
      </c>
    </row>
    <row r="1093" spans="1:26" ht="12.75" customHeight="1" x14ac:dyDescent="0.35">
      <c r="A1093">
        <v>1092</v>
      </c>
      <c r="B1093">
        <v>45898.876042743053</v>
      </c>
      <c r="D1093" t="s">
        <v>5403</v>
      </c>
      <c r="E1093" t="s">
        <v>448</v>
      </c>
      <c r="F1093" t="s">
        <v>28</v>
      </c>
      <c r="G1093" t="s">
        <v>28</v>
      </c>
      <c r="H1093" t="s">
        <v>28</v>
      </c>
      <c r="I1093" t="s">
        <v>158</v>
      </c>
      <c r="J1093" t="s">
        <v>28</v>
      </c>
      <c r="K1093" t="s">
        <v>28</v>
      </c>
      <c r="L1093" t="s">
        <v>46</v>
      </c>
      <c r="N1093" t="s">
        <v>5404</v>
      </c>
      <c r="O1093" t="s">
        <v>49</v>
      </c>
      <c r="P1093" t="s">
        <v>48</v>
      </c>
      <c r="Q1093" t="s">
        <v>49</v>
      </c>
      <c r="R1093" t="s">
        <v>5405</v>
      </c>
      <c r="S1093" t="s">
        <v>49</v>
      </c>
      <c r="T1093" t="s">
        <v>5406</v>
      </c>
      <c r="U1093" t="s">
        <v>5407</v>
      </c>
      <c r="V1093" t="s">
        <v>87</v>
      </c>
      <c r="W1093" t="s">
        <v>5408</v>
      </c>
      <c r="X1093" t="s">
        <v>81</v>
      </c>
      <c r="Y1093" t="s">
        <v>56</v>
      </c>
      <c r="Z1093" t="s">
        <v>129</v>
      </c>
    </row>
    <row r="1094" spans="1:26" ht="12.75" customHeight="1" x14ac:dyDescent="0.35">
      <c r="A1094">
        <v>1093</v>
      </c>
      <c r="B1094">
        <v>45898.87844998842</v>
      </c>
      <c r="D1094" t="s">
        <v>5409</v>
      </c>
      <c r="E1094" t="s">
        <v>1775</v>
      </c>
      <c r="F1094" t="s">
        <v>33</v>
      </c>
      <c r="G1094" t="s">
        <v>33</v>
      </c>
      <c r="H1094" t="s">
        <v>33</v>
      </c>
      <c r="I1094" t="s">
        <v>30</v>
      </c>
      <c r="J1094" t="s">
        <v>30</v>
      </c>
      <c r="K1094" t="s">
        <v>74</v>
      </c>
      <c r="L1094" t="s">
        <v>46</v>
      </c>
      <c r="N1094" t="s">
        <v>5410</v>
      </c>
      <c r="O1094" t="s">
        <v>48</v>
      </c>
      <c r="P1094" t="s">
        <v>48</v>
      </c>
      <c r="Q1094" t="s">
        <v>49</v>
      </c>
      <c r="R1094" t="s">
        <v>5411</v>
      </c>
      <c r="S1094" t="s">
        <v>49</v>
      </c>
      <c r="T1094" t="s">
        <v>5412</v>
      </c>
      <c r="U1094" t="s">
        <v>5413</v>
      </c>
      <c r="V1094" t="s">
        <v>53</v>
      </c>
      <c r="W1094" t="s">
        <v>5414</v>
      </c>
      <c r="X1094" t="s">
        <v>100</v>
      </c>
      <c r="Y1094" t="s">
        <v>5415</v>
      </c>
      <c r="Z1094" t="s">
        <v>57</v>
      </c>
    </row>
    <row r="1095" spans="1:26" ht="12.75" customHeight="1" x14ac:dyDescent="0.35">
      <c r="A1095">
        <v>1094</v>
      </c>
      <c r="B1095">
        <v>45898.879212361113</v>
      </c>
      <c r="D1095" t="s">
        <v>5416</v>
      </c>
      <c r="E1095" t="s">
        <v>433</v>
      </c>
      <c r="F1095" t="s">
        <v>44</v>
      </c>
      <c r="G1095" t="s">
        <v>158</v>
      </c>
      <c r="H1095" t="s">
        <v>157</v>
      </c>
      <c r="I1095" t="s">
        <v>28</v>
      </c>
      <c r="J1095" t="s">
        <v>28</v>
      </c>
      <c r="K1095" t="s">
        <v>28</v>
      </c>
      <c r="L1095" t="s">
        <v>46</v>
      </c>
      <c r="N1095" t="s">
        <v>5417</v>
      </c>
      <c r="O1095" t="s">
        <v>38</v>
      </c>
      <c r="P1095" t="s">
        <v>49</v>
      </c>
      <c r="Q1095" t="s">
        <v>38</v>
      </c>
      <c r="R1095" t="s">
        <v>5418</v>
      </c>
      <c r="S1095" t="s">
        <v>38</v>
      </c>
      <c r="T1095" t="s">
        <v>5419</v>
      </c>
      <c r="U1095" t="s">
        <v>5420</v>
      </c>
      <c r="V1095" t="s">
        <v>87</v>
      </c>
      <c r="W1095" t="s">
        <v>5421</v>
      </c>
      <c r="X1095" t="s">
        <v>81</v>
      </c>
      <c r="Y1095" t="s">
        <v>56</v>
      </c>
      <c r="Z1095" t="s">
        <v>91</v>
      </c>
    </row>
    <row r="1096" spans="1:26" ht="12.75" customHeight="1" x14ac:dyDescent="0.35">
      <c r="A1096">
        <v>1095</v>
      </c>
      <c r="B1096">
        <v>45898.881594583334</v>
      </c>
      <c r="D1096" t="s">
        <v>5422</v>
      </c>
      <c r="E1096" t="s">
        <v>5272</v>
      </c>
      <c r="F1096" t="s">
        <v>33</v>
      </c>
      <c r="G1096" t="s">
        <v>33</v>
      </c>
      <c r="H1096" t="s">
        <v>33</v>
      </c>
      <c r="I1096" t="s">
        <v>30</v>
      </c>
      <c r="J1096" t="s">
        <v>34</v>
      </c>
      <c r="K1096" t="s">
        <v>74</v>
      </c>
      <c r="L1096" t="s">
        <v>36</v>
      </c>
      <c r="N1096" t="s">
        <v>605</v>
      </c>
      <c r="O1096" t="s">
        <v>48</v>
      </c>
      <c r="P1096" t="s">
        <v>49</v>
      </c>
      <c r="Q1096" t="s">
        <v>48</v>
      </c>
      <c r="R1096" t="s">
        <v>5423</v>
      </c>
      <c r="S1096" t="s">
        <v>48</v>
      </c>
      <c r="T1096" t="s">
        <v>5424</v>
      </c>
      <c r="U1096" t="s">
        <v>5425</v>
      </c>
      <c r="V1096" t="s">
        <v>79</v>
      </c>
      <c r="W1096" t="s">
        <v>5426</v>
      </c>
      <c r="X1096" t="s">
        <v>603</v>
      </c>
      <c r="Y1096" t="s">
        <v>5427</v>
      </c>
      <c r="Z1096" t="s">
        <v>129</v>
      </c>
    </row>
    <row r="1097" spans="1:26" ht="12.75" customHeight="1" x14ac:dyDescent="0.35">
      <c r="A1097">
        <v>1096</v>
      </c>
      <c r="B1097">
        <v>45898.885662083332</v>
      </c>
      <c r="D1097" t="s">
        <v>5428</v>
      </c>
      <c r="E1097" t="s">
        <v>172</v>
      </c>
      <c r="F1097" t="s">
        <v>33</v>
      </c>
      <c r="G1097" t="s">
        <v>33</v>
      </c>
      <c r="H1097" t="s">
        <v>60</v>
      </c>
      <c r="I1097" t="s">
        <v>34</v>
      </c>
      <c r="J1097" t="s">
        <v>30</v>
      </c>
      <c r="K1097" t="s">
        <v>74</v>
      </c>
      <c r="L1097" t="s">
        <v>46</v>
      </c>
      <c r="N1097" t="s">
        <v>494</v>
      </c>
      <c r="O1097" t="s">
        <v>48</v>
      </c>
      <c r="P1097" t="s">
        <v>48</v>
      </c>
      <c r="Q1097" t="s">
        <v>48</v>
      </c>
      <c r="R1097" t="s">
        <v>5429</v>
      </c>
      <c r="S1097" t="s">
        <v>48</v>
      </c>
      <c r="T1097" t="s">
        <v>5430</v>
      </c>
      <c r="U1097" t="s">
        <v>5431</v>
      </c>
      <c r="V1097" t="s">
        <v>87</v>
      </c>
      <c r="W1097" t="s">
        <v>5432</v>
      </c>
      <c r="X1097" t="s">
        <v>81</v>
      </c>
      <c r="Y1097" t="s">
        <v>5433</v>
      </c>
      <c r="Z1097" t="s">
        <v>129</v>
      </c>
    </row>
    <row r="1098" spans="1:26" ht="12.75" customHeight="1" x14ac:dyDescent="0.35">
      <c r="A1098">
        <v>1097</v>
      </c>
      <c r="B1098">
        <v>45898.889796192132</v>
      </c>
      <c r="D1098" t="s">
        <v>5434</v>
      </c>
      <c r="E1098" t="s">
        <v>5435</v>
      </c>
      <c r="F1098" t="s">
        <v>33</v>
      </c>
      <c r="G1098" t="s">
        <v>33</v>
      </c>
      <c r="H1098" t="s">
        <v>33</v>
      </c>
      <c r="I1098" t="s">
        <v>34</v>
      </c>
      <c r="J1098" t="s">
        <v>34</v>
      </c>
      <c r="K1098" t="s">
        <v>74</v>
      </c>
      <c r="L1098" t="s">
        <v>36</v>
      </c>
      <c r="N1098" t="s">
        <v>2077</v>
      </c>
      <c r="O1098" t="s">
        <v>49</v>
      </c>
      <c r="P1098" t="s">
        <v>49</v>
      </c>
      <c r="Q1098" t="s">
        <v>49</v>
      </c>
      <c r="R1098" t="s">
        <v>5429</v>
      </c>
      <c r="S1098" t="s">
        <v>48</v>
      </c>
      <c r="T1098" t="s">
        <v>5436</v>
      </c>
      <c r="U1098" t="s">
        <v>5431</v>
      </c>
      <c r="V1098" t="s">
        <v>79</v>
      </c>
      <c r="W1098" t="s">
        <v>5437</v>
      </c>
      <c r="X1098" t="s">
        <v>2077</v>
      </c>
      <c r="Y1098" t="s">
        <v>5438</v>
      </c>
      <c r="Z1098" t="s">
        <v>129</v>
      </c>
    </row>
    <row r="1099" spans="1:26" ht="12.75" customHeight="1" x14ac:dyDescent="0.35">
      <c r="A1099">
        <v>1098</v>
      </c>
      <c r="B1099">
        <v>45898.899890173612</v>
      </c>
      <c r="D1099" t="s">
        <v>5439</v>
      </c>
      <c r="E1099" t="s">
        <v>448</v>
      </c>
      <c r="F1099" t="s">
        <v>28</v>
      </c>
      <c r="G1099" t="s">
        <v>44</v>
      </c>
      <c r="H1099" t="s">
        <v>28</v>
      </c>
      <c r="I1099" t="s">
        <v>28</v>
      </c>
      <c r="J1099" t="s">
        <v>28</v>
      </c>
      <c r="K1099" t="s">
        <v>28</v>
      </c>
      <c r="L1099" t="s">
        <v>36</v>
      </c>
      <c r="N1099" t="s">
        <v>375</v>
      </c>
      <c r="O1099" t="s">
        <v>38</v>
      </c>
      <c r="P1099" t="s">
        <v>49</v>
      </c>
      <c r="Q1099" t="s">
        <v>49</v>
      </c>
      <c r="R1099" t="s">
        <v>5440</v>
      </c>
      <c r="S1099" t="s">
        <v>49</v>
      </c>
      <c r="T1099" t="s">
        <v>5441</v>
      </c>
      <c r="U1099" t="s">
        <v>5442</v>
      </c>
      <c r="V1099" t="s">
        <v>87</v>
      </c>
      <c r="W1099" t="s">
        <v>5443</v>
      </c>
      <c r="X1099" t="s">
        <v>81</v>
      </c>
      <c r="Y1099" t="s">
        <v>56</v>
      </c>
      <c r="Z1099" t="s">
        <v>129</v>
      </c>
    </row>
    <row r="1100" spans="1:26" ht="12.75" customHeight="1" x14ac:dyDescent="0.35">
      <c r="A1100">
        <v>1099</v>
      </c>
      <c r="B1100">
        <v>45898.907059872683</v>
      </c>
      <c r="D1100" t="s">
        <v>5444</v>
      </c>
      <c r="E1100" t="s">
        <v>172</v>
      </c>
      <c r="F1100" t="s">
        <v>33</v>
      </c>
      <c r="G1100" t="s">
        <v>33</v>
      </c>
      <c r="H1100" t="s">
        <v>33</v>
      </c>
      <c r="I1100" t="s">
        <v>30</v>
      </c>
      <c r="J1100" t="s">
        <v>34</v>
      </c>
      <c r="K1100" t="s">
        <v>74</v>
      </c>
      <c r="L1100" t="s">
        <v>46</v>
      </c>
      <c r="N1100" t="s">
        <v>375</v>
      </c>
      <c r="O1100" t="s">
        <v>48</v>
      </c>
      <c r="P1100" t="s">
        <v>48</v>
      </c>
      <c r="Q1100" t="s">
        <v>49</v>
      </c>
      <c r="R1100" t="s">
        <v>5445</v>
      </c>
      <c r="S1100" t="s">
        <v>48</v>
      </c>
      <c r="T1100" t="s">
        <v>5446</v>
      </c>
      <c r="U1100" t="s">
        <v>5447</v>
      </c>
      <c r="V1100" t="s">
        <v>53</v>
      </c>
      <c r="W1100" t="s">
        <v>5448</v>
      </c>
      <c r="X1100" t="s">
        <v>81</v>
      </c>
      <c r="Y1100" t="s">
        <v>5449</v>
      </c>
      <c r="Z1100" t="s">
        <v>129</v>
      </c>
    </row>
    <row r="1101" spans="1:26" ht="12.75" customHeight="1" x14ac:dyDescent="0.35">
      <c r="A1101">
        <v>1100</v>
      </c>
      <c r="B1101">
        <v>45898.909661631944</v>
      </c>
      <c r="D1101" t="s">
        <v>5256</v>
      </c>
      <c r="E1101" t="s">
        <v>205</v>
      </c>
      <c r="F1101" t="s">
        <v>33</v>
      </c>
      <c r="G1101" t="s">
        <v>29</v>
      </c>
      <c r="H1101" t="s">
        <v>28</v>
      </c>
      <c r="I1101" t="s">
        <v>30</v>
      </c>
      <c r="J1101" t="s">
        <v>30</v>
      </c>
      <c r="K1101" t="s">
        <v>292</v>
      </c>
      <c r="L1101" t="s">
        <v>36</v>
      </c>
      <c r="N1101" t="s">
        <v>5292</v>
      </c>
      <c r="O1101" t="s">
        <v>48</v>
      </c>
      <c r="P1101" t="s">
        <v>48</v>
      </c>
      <c r="Q1101" t="s">
        <v>48</v>
      </c>
      <c r="R1101" t="s">
        <v>5450</v>
      </c>
      <c r="S1101" t="s">
        <v>48</v>
      </c>
      <c r="T1101" t="s">
        <v>5451</v>
      </c>
      <c r="U1101" t="s">
        <v>5452</v>
      </c>
      <c r="V1101" t="s">
        <v>53</v>
      </c>
      <c r="W1101" t="s">
        <v>5453</v>
      </c>
      <c r="X1101" t="s">
        <v>81</v>
      </c>
      <c r="Y1101" t="s">
        <v>5454</v>
      </c>
      <c r="Z1101" t="s">
        <v>129</v>
      </c>
    </row>
    <row r="1102" spans="1:26" ht="12.75" customHeight="1" x14ac:dyDescent="0.35">
      <c r="A1102">
        <v>1101</v>
      </c>
      <c r="B1102">
        <v>45898.91204988426</v>
      </c>
      <c r="D1102" t="s">
        <v>5455</v>
      </c>
      <c r="E1102" t="s">
        <v>84</v>
      </c>
      <c r="F1102" t="s">
        <v>33</v>
      </c>
      <c r="G1102" t="s">
        <v>29</v>
      </c>
      <c r="H1102" t="s">
        <v>33</v>
      </c>
      <c r="I1102" t="s">
        <v>30</v>
      </c>
      <c r="J1102" t="s">
        <v>30</v>
      </c>
      <c r="K1102" t="s">
        <v>61</v>
      </c>
      <c r="L1102" t="s">
        <v>46</v>
      </c>
      <c r="N1102" t="s">
        <v>3403</v>
      </c>
      <c r="O1102" t="s">
        <v>48</v>
      </c>
      <c r="P1102" t="s">
        <v>49</v>
      </c>
      <c r="Q1102" t="s">
        <v>49</v>
      </c>
      <c r="R1102" t="s">
        <v>5456</v>
      </c>
      <c r="S1102" t="s">
        <v>49</v>
      </c>
      <c r="T1102" t="s">
        <v>5457</v>
      </c>
      <c r="U1102" t="s">
        <v>5458</v>
      </c>
      <c r="V1102" t="s">
        <v>65</v>
      </c>
      <c r="W1102" t="s">
        <v>5459</v>
      </c>
      <c r="X1102" t="s">
        <v>81</v>
      </c>
      <c r="Y1102" t="s">
        <v>5460</v>
      </c>
      <c r="Z1102" t="s">
        <v>129</v>
      </c>
    </row>
    <row r="1103" spans="1:26" ht="12.75" customHeight="1" x14ac:dyDescent="0.35">
      <c r="A1103">
        <v>1102</v>
      </c>
      <c r="B1103">
        <v>45898.913379050922</v>
      </c>
      <c r="D1103" t="s">
        <v>5461</v>
      </c>
      <c r="E1103" t="s">
        <v>5272</v>
      </c>
      <c r="F1103" t="s">
        <v>33</v>
      </c>
      <c r="G1103" t="s">
        <v>33</v>
      </c>
      <c r="H1103" t="s">
        <v>33</v>
      </c>
      <c r="I1103" t="s">
        <v>34</v>
      </c>
      <c r="J1103" t="s">
        <v>94</v>
      </c>
      <c r="K1103" t="s">
        <v>35</v>
      </c>
      <c r="L1103" t="s">
        <v>36</v>
      </c>
      <c r="N1103" t="s">
        <v>494</v>
      </c>
      <c r="O1103" t="s">
        <v>48</v>
      </c>
      <c r="P1103" t="s">
        <v>49</v>
      </c>
      <c r="Q1103" t="s">
        <v>48</v>
      </c>
      <c r="R1103" t="s">
        <v>5462</v>
      </c>
      <c r="S1103" t="s">
        <v>49</v>
      </c>
      <c r="T1103" t="s">
        <v>5463</v>
      </c>
      <c r="U1103" t="s">
        <v>5464</v>
      </c>
      <c r="V1103" t="s">
        <v>65</v>
      </c>
      <c r="W1103" t="s">
        <v>5465</v>
      </c>
      <c r="X1103" t="s">
        <v>81</v>
      </c>
      <c r="Y1103" t="s">
        <v>5466</v>
      </c>
      <c r="Z1103" t="s">
        <v>129</v>
      </c>
    </row>
    <row r="1104" spans="1:26" ht="12.75" customHeight="1" x14ac:dyDescent="0.35">
      <c r="A1104">
        <v>1103</v>
      </c>
      <c r="B1104">
        <v>45898.917612800928</v>
      </c>
      <c r="D1104" t="s">
        <v>5467</v>
      </c>
      <c r="E1104" t="s">
        <v>5319</v>
      </c>
      <c r="F1104" t="s">
        <v>33</v>
      </c>
      <c r="G1104" t="s">
        <v>29</v>
      </c>
      <c r="H1104" t="s">
        <v>33</v>
      </c>
      <c r="I1104" t="s">
        <v>34</v>
      </c>
      <c r="J1104" t="s">
        <v>34</v>
      </c>
      <c r="K1104" t="s">
        <v>61</v>
      </c>
      <c r="L1104" t="s">
        <v>36</v>
      </c>
      <c r="N1104" t="s">
        <v>5468</v>
      </c>
      <c r="O1104" t="s">
        <v>49</v>
      </c>
      <c r="P1104" t="s">
        <v>48</v>
      </c>
      <c r="Q1104" t="s">
        <v>49</v>
      </c>
      <c r="R1104" t="s">
        <v>5469</v>
      </c>
      <c r="S1104" t="s">
        <v>49</v>
      </c>
      <c r="T1104" t="s">
        <v>5470</v>
      </c>
      <c r="U1104" t="s">
        <v>5471</v>
      </c>
      <c r="V1104" t="s">
        <v>65</v>
      </c>
      <c r="W1104" t="s">
        <v>5472</v>
      </c>
      <c r="X1104" t="s">
        <v>81</v>
      </c>
      <c r="Y1104" t="s">
        <v>5473</v>
      </c>
      <c r="Z1104" t="s">
        <v>129</v>
      </c>
    </row>
    <row r="1105" spans="1:26" ht="12.75" customHeight="1" x14ac:dyDescent="0.35">
      <c r="A1105">
        <v>1104</v>
      </c>
      <c r="B1105">
        <v>45898.925446134264</v>
      </c>
      <c r="D1105" t="s">
        <v>5474</v>
      </c>
      <c r="E1105" t="s">
        <v>205</v>
      </c>
      <c r="F1105" t="s">
        <v>33</v>
      </c>
      <c r="G1105" t="s">
        <v>33</v>
      </c>
      <c r="H1105" t="s">
        <v>33</v>
      </c>
      <c r="I1105" t="s">
        <v>34</v>
      </c>
      <c r="J1105" t="s">
        <v>34</v>
      </c>
      <c r="K1105" t="s">
        <v>74</v>
      </c>
      <c r="L1105" t="s">
        <v>36</v>
      </c>
      <c r="N1105" t="s">
        <v>5475</v>
      </c>
      <c r="O1105" t="s">
        <v>48</v>
      </c>
      <c r="P1105" t="s">
        <v>49</v>
      </c>
      <c r="Q1105" t="s">
        <v>48</v>
      </c>
      <c r="R1105" t="s">
        <v>5476</v>
      </c>
      <c r="S1105" t="s">
        <v>48</v>
      </c>
      <c r="T1105" t="s">
        <v>5477</v>
      </c>
      <c r="U1105" t="s">
        <v>5478</v>
      </c>
      <c r="V1105" t="s">
        <v>79</v>
      </c>
      <c r="W1105" t="s">
        <v>5479</v>
      </c>
      <c r="X1105" t="s">
        <v>81</v>
      </c>
      <c r="Y1105" t="s">
        <v>5344</v>
      </c>
      <c r="Z1105" t="s">
        <v>129</v>
      </c>
    </row>
    <row r="1106" spans="1:26" ht="12.75" customHeight="1" x14ac:dyDescent="0.35">
      <c r="A1106">
        <v>1105</v>
      </c>
      <c r="B1106">
        <v>45898.928179490744</v>
      </c>
      <c r="D1106" t="s">
        <v>5480</v>
      </c>
      <c r="E1106" t="s">
        <v>84</v>
      </c>
      <c r="F1106" t="s">
        <v>33</v>
      </c>
      <c r="G1106" t="s">
        <v>33</v>
      </c>
      <c r="H1106" t="s">
        <v>33</v>
      </c>
      <c r="I1106" t="s">
        <v>34</v>
      </c>
      <c r="J1106" t="s">
        <v>30</v>
      </c>
      <c r="K1106" t="s">
        <v>61</v>
      </c>
      <c r="L1106" t="s">
        <v>46</v>
      </c>
      <c r="N1106" t="s">
        <v>95</v>
      </c>
      <c r="O1106" t="s">
        <v>48</v>
      </c>
      <c r="P1106" t="s">
        <v>48</v>
      </c>
      <c r="Q1106" t="s">
        <v>48</v>
      </c>
      <c r="R1106" t="s">
        <v>5481</v>
      </c>
      <c r="S1106" t="s">
        <v>48</v>
      </c>
      <c r="T1106" t="s">
        <v>5482</v>
      </c>
      <c r="U1106" t="s">
        <v>5483</v>
      </c>
      <c r="V1106" t="s">
        <v>79</v>
      </c>
      <c r="W1106" t="s">
        <v>5484</v>
      </c>
      <c r="X1106" t="s">
        <v>100</v>
      </c>
      <c r="Y1106" t="s">
        <v>5485</v>
      </c>
      <c r="Z1106" t="s">
        <v>129</v>
      </c>
    </row>
    <row r="1107" spans="1:26" ht="12.75" customHeight="1" x14ac:dyDescent="0.35">
      <c r="A1107">
        <v>1106</v>
      </c>
      <c r="B1107">
        <v>45898.932063888889</v>
      </c>
      <c r="D1107" t="s">
        <v>5486</v>
      </c>
      <c r="E1107" t="s">
        <v>5272</v>
      </c>
      <c r="F1107" t="s">
        <v>33</v>
      </c>
      <c r="G1107" t="s">
        <v>33</v>
      </c>
      <c r="H1107" t="s">
        <v>33</v>
      </c>
      <c r="I1107" t="s">
        <v>173</v>
      </c>
      <c r="J1107" t="s">
        <v>34</v>
      </c>
      <c r="K1107" t="s">
        <v>74</v>
      </c>
      <c r="L1107" t="s">
        <v>36</v>
      </c>
      <c r="N1107" t="s">
        <v>3597</v>
      </c>
      <c r="O1107" t="s">
        <v>49</v>
      </c>
      <c r="P1107" t="s">
        <v>48</v>
      </c>
      <c r="Q1107" t="s">
        <v>48</v>
      </c>
      <c r="R1107" t="s">
        <v>5487</v>
      </c>
      <c r="S1107" t="s">
        <v>49</v>
      </c>
      <c r="T1107" t="s">
        <v>5488</v>
      </c>
      <c r="U1107" t="s">
        <v>5489</v>
      </c>
      <c r="V1107" t="s">
        <v>53</v>
      </c>
      <c r="W1107" t="s">
        <v>5490</v>
      </c>
      <c r="X1107" t="s">
        <v>100</v>
      </c>
      <c r="Y1107" t="s">
        <v>5491</v>
      </c>
      <c r="Z1107" t="s">
        <v>129</v>
      </c>
    </row>
    <row r="1108" spans="1:26" ht="12.75" customHeight="1" x14ac:dyDescent="0.35">
      <c r="A1108">
        <v>1107</v>
      </c>
      <c r="B1108">
        <v>45898.934360173611</v>
      </c>
      <c r="D1108" t="s">
        <v>5492</v>
      </c>
      <c r="E1108" t="s">
        <v>5266</v>
      </c>
      <c r="F1108" t="s">
        <v>33</v>
      </c>
      <c r="G1108" t="s">
        <v>33</v>
      </c>
      <c r="H1108" t="s">
        <v>33</v>
      </c>
      <c r="I1108" t="s">
        <v>34</v>
      </c>
      <c r="J1108" t="s">
        <v>34</v>
      </c>
      <c r="K1108" t="s">
        <v>74</v>
      </c>
      <c r="L1108" t="s">
        <v>46</v>
      </c>
      <c r="N1108" t="s">
        <v>3610</v>
      </c>
      <c r="O1108" t="s">
        <v>49</v>
      </c>
      <c r="P1108" t="s">
        <v>48</v>
      </c>
      <c r="Q1108" t="s">
        <v>38</v>
      </c>
      <c r="R1108" t="s">
        <v>5493</v>
      </c>
      <c r="S1108" t="s">
        <v>49</v>
      </c>
      <c r="T1108" t="s">
        <v>5494</v>
      </c>
      <c r="U1108" t="s">
        <v>5495</v>
      </c>
      <c r="V1108" t="s">
        <v>53</v>
      </c>
      <c r="W1108" t="s">
        <v>5496</v>
      </c>
      <c r="X1108" t="s">
        <v>100</v>
      </c>
      <c r="Y1108" t="s">
        <v>5497</v>
      </c>
      <c r="Z1108" t="s">
        <v>129</v>
      </c>
    </row>
    <row r="1109" spans="1:26" ht="12.75" customHeight="1" x14ac:dyDescent="0.35">
      <c r="A1109">
        <v>1108</v>
      </c>
      <c r="B1109">
        <v>45898.936832037041</v>
      </c>
      <c r="D1109" t="s">
        <v>1055</v>
      </c>
      <c r="E1109" t="s">
        <v>172</v>
      </c>
      <c r="F1109" t="s">
        <v>33</v>
      </c>
      <c r="G1109" t="s">
        <v>33</v>
      </c>
      <c r="H1109" t="s">
        <v>33</v>
      </c>
      <c r="I1109" t="s">
        <v>30</v>
      </c>
      <c r="J1109" t="s">
        <v>173</v>
      </c>
      <c r="K1109" t="s">
        <v>292</v>
      </c>
      <c r="L1109" t="s">
        <v>36</v>
      </c>
      <c r="N1109" t="s">
        <v>5410</v>
      </c>
      <c r="O1109" t="s">
        <v>48</v>
      </c>
      <c r="P1109" t="s">
        <v>49</v>
      </c>
      <c r="Q1109" t="s">
        <v>48</v>
      </c>
      <c r="R1109" t="s">
        <v>5498</v>
      </c>
      <c r="S1109" t="s">
        <v>48</v>
      </c>
      <c r="T1109" t="s">
        <v>5499</v>
      </c>
      <c r="U1109" t="s">
        <v>5500</v>
      </c>
      <c r="V1109" t="s">
        <v>79</v>
      </c>
      <c r="W1109" t="s">
        <v>5501</v>
      </c>
      <c r="X1109" t="s">
        <v>100</v>
      </c>
      <c r="Y1109" t="s">
        <v>5502</v>
      </c>
      <c r="Z1109" t="s">
        <v>129</v>
      </c>
    </row>
    <row r="1110" spans="1:26" ht="12.75" customHeight="1" x14ac:dyDescent="0.35">
      <c r="A1110">
        <v>1109</v>
      </c>
      <c r="B1110">
        <v>45898.939870509261</v>
      </c>
      <c r="D1110" t="s">
        <v>5503</v>
      </c>
      <c r="E1110" t="s">
        <v>84</v>
      </c>
      <c r="F1110" t="s">
        <v>33</v>
      </c>
      <c r="G1110" t="s">
        <v>60</v>
      </c>
      <c r="H1110" t="s">
        <v>44</v>
      </c>
      <c r="I1110" t="s">
        <v>34</v>
      </c>
      <c r="J1110" t="s">
        <v>34</v>
      </c>
      <c r="K1110" t="s">
        <v>292</v>
      </c>
      <c r="L1110" t="s">
        <v>46</v>
      </c>
      <c r="N1110" t="s">
        <v>3390</v>
      </c>
      <c r="O1110" t="s">
        <v>48</v>
      </c>
      <c r="P1110" t="s">
        <v>48</v>
      </c>
      <c r="Q1110" t="s">
        <v>48</v>
      </c>
      <c r="R1110" t="s">
        <v>5504</v>
      </c>
      <c r="S1110" t="s">
        <v>48</v>
      </c>
      <c r="T1110" t="s">
        <v>5505</v>
      </c>
      <c r="U1110" t="s">
        <v>5506</v>
      </c>
      <c r="V1110" t="s">
        <v>65</v>
      </c>
      <c r="W1110" t="s">
        <v>5507</v>
      </c>
      <c r="X1110" t="s">
        <v>100</v>
      </c>
      <c r="Y1110" t="s">
        <v>5508</v>
      </c>
      <c r="Z1110" t="s">
        <v>129</v>
      </c>
    </row>
    <row r="1111" spans="1:26" ht="12.75" customHeight="1" x14ac:dyDescent="0.35">
      <c r="A1111">
        <v>1110</v>
      </c>
      <c r="B1111">
        <v>45898.942073194441</v>
      </c>
      <c r="D1111" t="s">
        <v>5509</v>
      </c>
      <c r="E1111" t="s">
        <v>205</v>
      </c>
      <c r="F1111" t="s">
        <v>33</v>
      </c>
      <c r="G1111" t="s">
        <v>29</v>
      </c>
      <c r="H1111" t="s">
        <v>60</v>
      </c>
      <c r="I1111" t="s">
        <v>158</v>
      </c>
      <c r="J1111" t="s">
        <v>173</v>
      </c>
      <c r="K1111" t="s">
        <v>45</v>
      </c>
      <c r="L1111" t="s">
        <v>36</v>
      </c>
      <c r="N1111" t="s">
        <v>442</v>
      </c>
      <c r="O1111" t="s">
        <v>49</v>
      </c>
      <c r="P1111" t="s">
        <v>48</v>
      </c>
      <c r="Q1111" t="s">
        <v>48</v>
      </c>
      <c r="R1111" t="s">
        <v>5510</v>
      </c>
      <c r="S1111" t="s">
        <v>48</v>
      </c>
      <c r="T1111" t="s">
        <v>5511</v>
      </c>
      <c r="U1111" t="s">
        <v>5512</v>
      </c>
      <c r="V1111" t="s">
        <v>79</v>
      </c>
      <c r="W1111" t="s">
        <v>5513</v>
      </c>
      <c r="X1111" t="s">
        <v>603</v>
      </c>
      <c r="Y1111" t="s">
        <v>5299</v>
      </c>
      <c r="Z1111" t="s">
        <v>129</v>
      </c>
    </row>
    <row r="1112" spans="1:26" ht="12.75" customHeight="1" x14ac:dyDescent="0.35">
      <c r="A1112">
        <v>1111</v>
      </c>
      <c r="B1112">
        <v>45898.943404421298</v>
      </c>
      <c r="D1112" t="s">
        <v>5514</v>
      </c>
      <c r="E1112" t="s">
        <v>5266</v>
      </c>
      <c r="F1112" t="s">
        <v>33</v>
      </c>
      <c r="G1112" t="s">
        <v>33</v>
      </c>
      <c r="H1112" t="s">
        <v>33</v>
      </c>
      <c r="I1112" t="s">
        <v>103</v>
      </c>
      <c r="J1112" t="s">
        <v>173</v>
      </c>
      <c r="K1112" t="s">
        <v>74</v>
      </c>
      <c r="L1112" t="s">
        <v>46</v>
      </c>
      <c r="N1112" t="s">
        <v>442</v>
      </c>
      <c r="O1112" t="s">
        <v>48</v>
      </c>
      <c r="P1112" t="s">
        <v>48</v>
      </c>
      <c r="Q1112" t="s">
        <v>48</v>
      </c>
      <c r="R1112" t="s">
        <v>5515</v>
      </c>
      <c r="S1112" t="s">
        <v>48</v>
      </c>
      <c r="T1112" t="s">
        <v>5516</v>
      </c>
      <c r="U1112" t="s">
        <v>5517</v>
      </c>
      <c r="V1112" t="s">
        <v>53</v>
      </c>
      <c r="W1112" t="s">
        <v>5518</v>
      </c>
      <c r="X1112" t="s">
        <v>603</v>
      </c>
      <c r="Y1112" t="s">
        <v>5519</v>
      </c>
      <c r="Z1112" t="s">
        <v>129</v>
      </c>
    </row>
    <row r="1113" spans="1:26" ht="12.75" customHeight="1" x14ac:dyDescent="0.35">
      <c r="A1113">
        <v>1112</v>
      </c>
      <c r="B1113">
        <v>45898.948401388887</v>
      </c>
      <c r="D1113" t="s">
        <v>5520</v>
      </c>
      <c r="E1113" t="s">
        <v>5272</v>
      </c>
      <c r="F1113" t="s">
        <v>33</v>
      </c>
      <c r="G1113" t="s">
        <v>29</v>
      </c>
      <c r="H1113" t="s">
        <v>33</v>
      </c>
      <c r="I1113" t="s">
        <v>30</v>
      </c>
      <c r="J1113" t="s">
        <v>30</v>
      </c>
      <c r="K1113" t="s">
        <v>292</v>
      </c>
      <c r="L1113" t="s">
        <v>36</v>
      </c>
      <c r="N1113" t="s">
        <v>605</v>
      </c>
      <c r="O1113" t="s">
        <v>48</v>
      </c>
      <c r="P1113" t="s">
        <v>49</v>
      </c>
      <c r="Q1113" t="s">
        <v>38</v>
      </c>
      <c r="R1113" t="s">
        <v>5521</v>
      </c>
      <c r="S1113" t="s">
        <v>49</v>
      </c>
      <c r="T1113" t="s">
        <v>5522</v>
      </c>
      <c r="U1113" t="s">
        <v>5523</v>
      </c>
      <c r="V1113" t="s">
        <v>87</v>
      </c>
      <c r="W1113" t="s">
        <v>5524</v>
      </c>
      <c r="X1113" t="s">
        <v>603</v>
      </c>
      <c r="Y1113" t="s">
        <v>5311</v>
      </c>
      <c r="Z1113" t="s">
        <v>129</v>
      </c>
    </row>
    <row r="1114" spans="1:26" ht="12.75" customHeight="1" x14ac:dyDescent="0.35">
      <c r="A1114">
        <v>1113</v>
      </c>
      <c r="B1114">
        <v>45898.950649953702</v>
      </c>
      <c r="D1114" t="s">
        <v>5525</v>
      </c>
      <c r="E1114" t="s">
        <v>172</v>
      </c>
      <c r="F1114" t="s">
        <v>33</v>
      </c>
      <c r="G1114" t="s">
        <v>33</v>
      </c>
      <c r="H1114" t="s">
        <v>33</v>
      </c>
      <c r="I1114" t="s">
        <v>173</v>
      </c>
      <c r="J1114" t="s">
        <v>173</v>
      </c>
      <c r="K1114" t="s">
        <v>61</v>
      </c>
      <c r="L1114" t="s">
        <v>46</v>
      </c>
      <c r="N1114" t="s">
        <v>642</v>
      </c>
      <c r="O1114" t="s">
        <v>49</v>
      </c>
      <c r="P1114" t="s">
        <v>48</v>
      </c>
      <c r="Q1114" t="s">
        <v>49</v>
      </c>
      <c r="R1114" t="s">
        <v>5526</v>
      </c>
      <c r="S1114" t="s">
        <v>48</v>
      </c>
      <c r="T1114" t="s">
        <v>5527</v>
      </c>
      <c r="U1114" t="s">
        <v>5528</v>
      </c>
      <c r="V1114" t="s">
        <v>65</v>
      </c>
      <c r="W1114" t="s">
        <v>5529</v>
      </c>
      <c r="X1114" t="s">
        <v>603</v>
      </c>
      <c r="Y1114" t="s">
        <v>5530</v>
      </c>
      <c r="Z1114" t="s">
        <v>129</v>
      </c>
    </row>
    <row r="1115" spans="1:26" ht="12.75" customHeight="1" x14ac:dyDescent="0.35">
      <c r="A1115">
        <v>1114</v>
      </c>
      <c r="B1115">
        <v>45898.953077025464</v>
      </c>
      <c r="D1115" t="s">
        <v>5531</v>
      </c>
      <c r="E1115" t="s">
        <v>205</v>
      </c>
      <c r="F1115" t="s">
        <v>33</v>
      </c>
      <c r="G1115" t="s">
        <v>29</v>
      </c>
      <c r="H1115" t="s">
        <v>29</v>
      </c>
      <c r="I1115" t="s">
        <v>173</v>
      </c>
      <c r="J1115" t="s">
        <v>30</v>
      </c>
      <c r="K1115" t="s">
        <v>74</v>
      </c>
      <c r="L1115" t="s">
        <v>36</v>
      </c>
      <c r="N1115" t="s">
        <v>668</v>
      </c>
      <c r="O1115" t="s">
        <v>48</v>
      </c>
      <c r="P1115" t="s">
        <v>48</v>
      </c>
      <c r="Q1115" t="s">
        <v>49</v>
      </c>
      <c r="R1115" t="s">
        <v>5532</v>
      </c>
      <c r="S1115" t="s">
        <v>48</v>
      </c>
      <c r="T1115" t="s">
        <v>5533</v>
      </c>
      <c r="U1115" t="s">
        <v>5534</v>
      </c>
      <c r="V1115" t="s">
        <v>65</v>
      </c>
      <c r="W1115" t="s">
        <v>5535</v>
      </c>
      <c r="X1115" t="s">
        <v>603</v>
      </c>
      <c r="Y1115" t="s">
        <v>5536</v>
      </c>
      <c r="Z1115" t="s">
        <v>91</v>
      </c>
    </row>
    <row r="1116" spans="1:26" ht="12.75" customHeight="1" x14ac:dyDescent="0.35">
      <c r="A1116">
        <v>1115</v>
      </c>
      <c r="B1116">
        <v>45898.954764456023</v>
      </c>
      <c r="D1116" t="s">
        <v>5537</v>
      </c>
      <c r="E1116" t="s">
        <v>84</v>
      </c>
      <c r="F1116" t="s">
        <v>33</v>
      </c>
      <c r="G1116" t="s">
        <v>29</v>
      </c>
      <c r="H1116" t="s">
        <v>33</v>
      </c>
      <c r="I1116" t="s">
        <v>34</v>
      </c>
      <c r="J1116" t="s">
        <v>30</v>
      </c>
      <c r="K1116" t="s">
        <v>74</v>
      </c>
      <c r="L1116" t="s">
        <v>46</v>
      </c>
      <c r="N1116" t="s">
        <v>5538</v>
      </c>
      <c r="O1116" t="s">
        <v>49</v>
      </c>
      <c r="P1116" t="s">
        <v>48</v>
      </c>
      <c r="Q1116" t="s">
        <v>48</v>
      </c>
      <c r="R1116" t="s">
        <v>5539</v>
      </c>
      <c r="S1116" t="s">
        <v>49</v>
      </c>
      <c r="T1116" t="s">
        <v>5540</v>
      </c>
      <c r="U1116" t="s">
        <v>5541</v>
      </c>
      <c r="V1116" t="s">
        <v>87</v>
      </c>
      <c r="W1116" t="s">
        <v>5542</v>
      </c>
      <c r="X1116" t="s">
        <v>2077</v>
      </c>
      <c r="Y1116" t="s">
        <v>5543</v>
      </c>
      <c r="Z1116" t="s">
        <v>91</v>
      </c>
    </row>
    <row r="1117" spans="1:26" ht="12.75" customHeight="1" x14ac:dyDescent="0.35">
      <c r="A1117">
        <v>1116</v>
      </c>
      <c r="B1117">
        <v>45898.957143206018</v>
      </c>
      <c r="D1117" t="s">
        <v>5544</v>
      </c>
      <c r="E1117" t="s">
        <v>172</v>
      </c>
      <c r="F1117" t="s">
        <v>33</v>
      </c>
      <c r="G1117" t="s">
        <v>33</v>
      </c>
      <c r="H1117" t="s">
        <v>33</v>
      </c>
      <c r="I1117" t="s">
        <v>34</v>
      </c>
      <c r="J1117" t="s">
        <v>34</v>
      </c>
      <c r="K1117" t="s">
        <v>74</v>
      </c>
      <c r="L1117" t="s">
        <v>36</v>
      </c>
      <c r="N1117" t="s">
        <v>5545</v>
      </c>
      <c r="O1117" t="s">
        <v>48</v>
      </c>
      <c r="P1117" t="s">
        <v>49</v>
      </c>
      <c r="Q1117" t="s">
        <v>48</v>
      </c>
      <c r="R1117" t="s">
        <v>5546</v>
      </c>
      <c r="S1117" t="s">
        <v>48</v>
      </c>
      <c r="T1117" t="s">
        <v>5547</v>
      </c>
      <c r="U1117" t="s">
        <v>5548</v>
      </c>
      <c r="V1117" t="s">
        <v>79</v>
      </c>
      <c r="W1117" t="s">
        <v>5549</v>
      </c>
      <c r="X1117" t="s">
        <v>2077</v>
      </c>
      <c r="Y1117" t="s">
        <v>5550</v>
      </c>
      <c r="Z1117" t="s">
        <v>129</v>
      </c>
    </row>
    <row r="1118" spans="1:26" ht="12.75" customHeight="1" x14ac:dyDescent="0.35">
      <c r="A1118">
        <v>1117</v>
      </c>
      <c r="B1118">
        <v>45898.959321192131</v>
      </c>
      <c r="D1118" t="s">
        <v>5551</v>
      </c>
      <c r="E1118" t="s">
        <v>205</v>
      </c>
      <c r="F1118" t="s">
        <v>33</v>
      </c>
      <c r="G1118" t="s">
        <v>33</v>
      </c>
      <c r="H1118" t="s">
        <v>29</v>
      </c>
      <c r="I1118" t="s">
        <v>30</v>
      </c>
      <c r="J1118" t="s">
        <v>103</v>
      </c>
      <c r="K1118" t="s">
        <v>35</v>
      </c>
      <c r="L1118" t="s">
        <v>46</v>
      </c>
      <c r="N1118" t="s">
        <v>5552</v>
      </c>
      <c r="O1118" t="s">
        <v>49</v>
      </c>
      <c r="P1118" t="s">
        <v>48</v>
      </c>
      <c r="Q1118" t="s">
        <v>48</v>
      </c>
      <c r="R1118" t="s">
        <v>5553</v>
      </c>
      <c r="S1118" t="s">
        <v>48</v>
      </c>
      <c r="T1118" t="s">
        <v>5554</v>
      </c>
      <c r="U1118" t="s">
        <v>5555</v>
      </c>
      <c r="V1118" t="s">
        <v>87</v>
      </c>
      <c r="W1118" t="s">
        <v>5556</v>
      </c>
      <c r="X1118" t="s">
        <v>2077</v>
      </c>
      <c r="Y1118" t="s">
        <v>4175</v>
      </c>
      <c r="Z1118" t="s">
        <v>129</v>
      </c>
    </row>
    <row r="1119" spans="1:26" ht="12.75" customHeight="1" x14ac:dyDescent="0.35">
      <c r="A1119">
        <v>1118</v>
      </c>
      <c r="B1119">
        <v>45898.962305856483</v>
      </c>
      <c r="D1119" t="s">
        <v>5557</v>
      </c>
      <c r="E1119" t="s">
        <v>5272</v>
      </c>
      <c r="F1119" t="s">
        <v>60</v>
      </c>
      <c r="G1119" t="s">
        <v>44</v>
      </c>
      <c r="H1119" t="s">
        <v>33</v>
      </c>
      <c r="I1119" t="s">
        <v>34</v>
      </c>
      <c r="J1119" t="s">
        <v>34</v>
      </c>
      <c r="K1119" t="s">
        <v>74</v>
      </c>
      <c r="L1119" t="s">
        <v>36</v>
      </c>
      <c r="N1119" t="s">
        <v>5399</v>
      </c>
      <c r="O1119" t="s">
        <v>48</v>
      </c>
      <c r="P1119" t="s">
        <v>48</v>
      </c>
      <c r="Q1119" t="s">
        <v>48</v>
      </c>
      <c r="R1119" t="s">
        <v>5558</v>
      </c>
      <c r="S1119" t="s">
        <v>48</v>
      </c>
      <c r="T1119" t="s">
        <v>5559</v>
      </c>
      <c r="U1119" t="s">
        <v>5560</v>
      </c>
      <c r="V1119" t="s">
        <v>79</v>
      </c>
      <c r="W1119" t="s">
        <v>5561</v>
      </c>
      <c r="X1119" t="s">
        <v>2077</v>
      </c>
      <c r="Y1119" t="s">
        <v>5562</v>
      </c>
      <c r="Z1119" t="s">
        <v>129</v>
      </c>
    </row>
    <row r="1120" spans="1:26" ht="12.75" customHeight="1" x14ac:dyDescent="0.35">
      <c r="A1120">
        <v>1119</v>
      </c>
      <c r="B1120">
        <v>45898.967951666666</v>
      </c>
      <c r="D1120" t="s">
        <v>5563</v>
      </c>
      <c r="E1120" t="s">
        <v>205</v>
      </c>
      <c r="F1120" t="s">
        <v>44</v>
      </c>
      <c r="G1120" t="s">
        <v>60</v>
      </c>
      <c r="H1120" t="s">
        <v>29</v>
      </c>
      <c r="I1120" t="s">
        <v>30</v>
      </c>
      <c r="J1120" t="s">
        <v>103</v>
      </c>
      <c r="K1120" t="s">
        <v>61</v>
      </c>
      <c r="L1120" t="s">
        <v>46</v>
      </c>
      <c r="N1120" t="s">
        <v>375</v>
      </c>
      <c r="O1120" t="s">
        <v>48</v>
      </c>
      <c r="P1120" t="s">
        <v>48</v>
      </c>
      <c r="Q1120" t="s">
        <v>48</v>
      </c>
      <c r="R1120" t="s">
        <v>5564</v>
      </c>
      <c r="S1120" t="s">
        <v>38</v>
      </c>
      <c r="T1120" t="s">
        <v>5565</v>
      </c>
      <c r="U1120" t="s">
        <v>5566</v>
      </c>
      <c r="V1120" t="s">
        <v>65</v>
      </c>
      <c r="W1120" t="s">
        <v>5567</v>
      </c>
      <c r="X1120" t="s">
        <v>81</v>
      </c>
      <c r="Y1120" t="s">
        <v>5568</v>
      </c>
      <c r="Z1120" t="s">
        <v>129</v>
      </c>
    </row>
    <row r="1121" spans="1:26" ht="12.75" customHeight="1" x14ac:dyDescent="0.35">
      <c r="A1121">
        <v>1120</v>
      </c>
      <c r="B1121">
        <v>45899.359052650463</v>
      </c>
      <c r="D1121" t="s">
        <v>5569</v>
      </c>
      <c r="E1121" t="s">
        <v>5570</v>
      </c>
      <c r="F1121" t="s">
        <v>33</v>
      </c>
      <c r="G1121" t="s">
        <v>29</v>
      </c>
      <c r="H1121" t="s">
        <v>60</v>
      </c>
      <c r="I1121" t="s">
        <v>103</v>
      </c>
      <c r="J1121" t="s">
        <v>28</v>
      </c>
      <c r="K1121" t="s">
        <v>45</v>
      </c>
      <c r="L1121" t="s">
        <v>36</v>
      </c>
      <c r="N1121" t="s">
        <v>4211</v>
      </c>
      <c r="O1121" t="s">
        <v>49</v>
      </c>
      <c r="P1121" t="s">
        <v>38</v>
      </c>
      <c r="Q1121" t="s">
        <v>49</v>
      </c>
      <c r="R1121" t="s">
        <v>5571</v>
      </c>
      <c r="S1121" t="s">
        <v>48</v>
      </c>
      <c r="T1121" t="s">
        <v>5572</v>
      </c>
      <c r="U1121" t="s">
        <v>5573</v>
      </c>
      <c r="V1121" t="s">
        <v>53</v>
      </c>
      <c r="W1121" t="s">
        <v>5574</v>
      </c>
      <c r="X1121" t="s">
        <v>5575</v>
      </c>
      <c r="Y1121" t="s">
        <v>56</v>
      </c>
      <c r="Z1121" t="s">
        <v>91</v>
      </c>
    </row>
    <row r="1122" spans="1:26" ht="12.75" customHeight="1" x14ac:dyDescent="0.35">
      <c r="A1122">
        <v>1121</v>
      </c>
      <c r="B1122">
        <v>45899.359981562498</v>
      </c>
      <c r="D1122" t="s">
        <v>5576</v>
      </c>
      <c r="E1122" t="s">
        <v>5577</v>
      </c>
      <c r="F1122" t="s">
        <v>71</v>
      </c>
      <c r="G1122" t="s">
        <v>197</v>
      </c>
      <c r="H1122" t="s">
        <v>206</v>
      </c>
      <c r="I1122" t="s">
        <v>158</v>
      </c>
      <c r="J1122" t="s">
        <v>28</v>
      </c>
      <c r="K1122" t="s">
        <v>368</v>
      </c>
      <c r="L1122" t="s">
        <v>36</v>
      </c>
      <c r="N1122" t="s">
        <v>5578</v>
      </c>
      <c r="O1122" t="s">
        <v>38</v>
      </c>
      <c r="P1122" t="s">
        <v>49</v>
      </c>
      <c r="Q1122" t="s">
        <v>49</v>
      </c>
      <c r="R1122" t="s">
        <v>5579</v>
      </c>
      <c r="S1122" t="s">
        <v>48</v>
      </c>
      <c r="T1122" t="s">
        <v>5580</v>
      </c>
      <c r="U1122" t="s">
        <v>5581</v>
      </c>
      <c r="V1122" t="s">
        <v>135</v>
      </c>
      <c r="W1122" t="s">
        <v>5582</v>
      </c>
      <c r="X1122" t="s">
        <v>118</v>
      </c>
      <c r="Y1122">
        <v>0</v>
      </c>
      <c r="Z1122" t="s">
        <v>91</v>
      </c>
    </row>
    <row r="1123" spans="1:26" ht="12.75" customHeight="1" x14ac:dyDescent="0.35">
      <c r="A1123">
        <v>1122</v>
      </c>
      <c r="B1123">
        <v>45899.374501030092</v>
      </c>
      <c r="D1123" t="s">
        <v>5583</v>
      </c>
      <c r="E1123" t="s">
        <v>5584</v>
      </c>
      <c r="F1123" t="s">
        <v>44</v>
      </c>
      <c r="G1123" t="s">
        <v>158</v>
      </c>
      <c r="H1123" t="s">
        <v>28</v>
      </c>
      <c r="I1123" t="s">
        <v>197</v>
      </c>
      <c r="J1123" t="s">
        <v>94</v>
      </c>
      <c r="K1123" t="s">
        <v>73</v>
      </c>
      <c r="L1123" t="s">
        <v>36</v>
      </c>
      <c r="N1123" t="s">
        <v>37</v>
      </c>
      <c r="O1123" t="s">
        <v>49</v>
      </c>
      <c r="P1123" t="s">
        <v>48</v>
      </c>
      <c r="Q1123" t="s">
        <v>40</v>
      </c>
      <c r="R1123" t="s">
        <v>5585</v>
      </c>
      <c r="S1123" t="s">
        <v>48</v>
      </c>
      <c r="T1123" t="s">
        <v>5586</v>
      </c>
      <c r="U1123" t="s">
        <v>5587</v>
      </c>
      <c r="V1123" t="s">
        <v>87</v>
      </c>
      <c r="W1123" t="s">
        <v>5588</v>
      </c>
      <c r="X1123" t="s">
        <v>109</v>
      </c>
      <c r="Y1123" t="s">
        <v>56</v>
      </c>
      <c r="Z1123" t="s">
        <v>170</v>
      </c>
    </row>
    <row r="1124" spans="1:26" ht="12.75" customHeight="1" x14ac:dyDescent="0.35">
      <c r="A1124">
        <v>1123</v>
      </c>
      <c r="B1124">
        <v>45899.375785069446</v>
      </c>
      <c r="D1124" t="s">
        <v>5589</v>
      </c>
      <c r="E1124" t="s">
        <v>5590</v>
      </c>
      <c r="F1124" t="s">
        <v>60</v>
      </c>
      <c r="G1124" t="s">
        <v>28</v>
      </c>
      <c r="H1124" t="s">
        <v>33</v>
      </c>
      <c r="I1124" t="s">
        <v>158</v>
      </c>
      <c r="J1124" t="s">
        <v>28</v>
      </c>
      <c r="K1124" t="s">
        <v>94</v>
      </c>
      <c r="L1124" t="s">
        <v>36</v>
      </c>
      <c r="N1124" t="s">
        <v>1725</v>
      </c>
      <c r="O1124" t="s">
        <v>49</v>
      </c>
      <c r="P1124" t="s">
        <v>48</v>
      </c>
      <c r="Q1124" t="s">
        <v>49</v>
      </c>
      <c r="R1124" t="s">
        <v>5591</v>
      </c>
      <c r="S1124" t="s">
        <v>39</v>
      </c>
      <c r="T1124" t="s">
        <v>5592</v>
      </c>
      <c r="U1124" t="s">
        <v>5593</v>
      </c>
      <c r="V1124" t="s">
        <v>79</v>
      </c>
      <c r="W1124" t="s">
        <v>5594</v>
      </c>
      <c r="X1124" t="s">
        <v>1722</v>
      </c>
      <c r="Y1124" t="s">
        <v>56</v>
      </c>
      <c r="Z1124" t="s">
        <v>129</v>
      </c>
    </row>
    <row r="1125" spans="1:26" ht="12.75" customHeight="1" x14ac:dyDescent="0.35">
      <c r="A1125">
        <v>1124</v>
      </c>
      <c r="B1125">
        <v>45899.3764643287</v>
      </c>
      <c r="D1125" t="s">
        <v>5595</v>
      </c>
      <c r="E1125" t="s">
        <v>5596</v>
      </c>
      <c r="F1125" t="s">
        <v>449</v>
      </c>
      <c r="G1125" t="s">
        <v>197</v>
      </c>
      <c r="H1125" t="s">
        <v>73</v>
      </c>
      <c r="I1125" t="s">
        <v>173</v>
      </c>
      <c r="J1125" t="s">
        <v>45</v>
      </c>
      <c r="K1125" t="s">
        <v>368</v>
      </c>
      <c r="L1125" t="s">
        <v>46</v>
      </c>
      <c r="N1125" t="s">
        <v>3500</v>
      </c>
      <c r="O1125" t="s">
        <v>49</v>
      </c>
      <c r="P1125" t="s">
        <v>49</v>
      </c>
      <c r="Q1125" t="s">
        <v>49</v>
      </c>
      <c r="R1125" t="s">
        <v>5597</v>
      </c>
      <c r="S1125" t="s">
        <v>39</v>
      </c>
      <c r="T1125" t="s">
        <v>5598</v>
      </c>
      <c r="U1125" t="s">
        <v>5599</v>
      </c>
      <c r="V1125" t="s">
        <v>87</v>
      </c>
      <c r="W1125" t="s">
        <v>5600</v>
      </c>
      <c r="X1125" t="s">
        <v>109</v>
      </c>
      <c r="Y1125">
        <v>0</v>
      </c>
      <c r="Z1125" t="s">
        <v>170</v>
      </c>
    </row>
    <row r="1126" spans="1:26" ht="12.75" customHeight="1" x14ac:dyDescent="0.35">
      <c r="A1126">
        <v>1125</v>
      </c>
      <c r="B1126">
        <v>45899.377138634256</v>
      </c>
      <c r="D1126" t="s">
        <v>5601</v>
      </c>
      <c r="E1126" t="s">
        <v>5590</v>
      </c>
      <c r="F1126" t="s">
        <v>60</v>
      </c>
      <c r="G1126" t="s">
        <v>60</v>
      </c>
      <c r="H1126" t="s">
        <v>29</v>
      </c>
      <c r="I1126" t="s">
        <v>34</v>
      </c>
      <c r="J1126" t="s">
        <v>94</v>
      </c>
      <c r="K1126" t="s">
        <v>368</v>
      </c>
      <c r="L1126" t="s">
        <v>46</v>
      </c>
      <c r="N1126" t="s">
        <v>5602</v>
      </c>
      <c r="O1126" t="s">
        <v>49</v>
      </c>
      <c r="P1126" t="s">
        <v>48</v>
      </c>
      <c r="Q1126" t="s">
        <v>38</v>
      </c>
      <c r="R1126" t="s">
        <v>5603</v>
      </c>
      <c r="S1126" t="s">
        <v>49</v>
      </c>
      <c r="T1126" t="s">
        <v>5604</v>
      </c>
      <c r="U1126" t="s">
        <v>5605</v>
      </c>
      <c r="V1126" t="s">
        <v>53</v>
      </c>
      <c r="W1126" t="s">
        <v>5606</v>
      </c>
      <c r="X1126" t="s">
        <v>109</v>
      </c>
      <c r="Y1126">
        <v>0</v>
      </c>
      <c r="Z1126" t="s">
        <v>91</v>
      </c>
    </row>
    <row r="1127" spans="1:26" ht="12.75" customHeight="1" x14ac:dyDescent="0.35">
      <c r="A1127">
        <v>1126</v>
      </c>
      <c r="B1127">
        <v>45899.377866712966</v>
      </c>
      <c r="D1127" t="s">
        <v>5607</v>
      </c>
      <c r="E1127" t="s">
        <v>5608</v>
      </c>
      <c r="F1127" t="s">
        <v>344</v>
      </c>
      <c r="G1127" t="s">
        <v>158</v>
      </c>
      <c r="H1127" t="s">
        <v>157</v>
      </c>
      <c r="I1127" t="s">
        <v>196</v>
      </c>
      <c r="J1127" t="s">
        <v>94</v>
      </c>
      <c r="K1127" t="s">
        <v>28</v>
      </c>
      <c r="L1127" t="s">
        <v>46</v>
      </c>
      <c r="N1127" t="s">
        <v>3517</v>
      </c>
      <c r="O1127" t="s">
        <v>49</v>
      </c>
      <c r="P1127" t="s">
        <v>48</v>
      </c>
      <c r="Q1127" t="s">
        <v>48</v>
      </c>
      <c r="R1127" t="s">
        <v>5609</v>
      </c>
      <c r="S1127" t="s">
        <v>40</v>
      </c>
      <c r="T1127" t="s">
        <v>5610</v>
      </c>
      <c r="U1127" t="s">
        <v>5611</v>
      </c>
      <c r="V1127" t="s">
        <v>53</v>
      </c>
      <c r="W1127" t="s">
        <v>5612</v>
      </c>
      <c r="X1127" t="s">
        <v>109</v>
      </c>
      <c r="Y1127" t="s">
        <v>56</v>
      </c>
      <c r="Z1127" t="s">
        <v>91</v>
      </c>
    </row>
    <row r="1128" spans="1:26" ht="12.75" customHeight="1" x14ac:dyDescent="0.35">
      <c r="A1128">
        <v>1127</v>
      </c>
      <c r="B1128">
        <v>45899.3785890625</v>
      </c>
      <c r="D1128" t="s">
        <v>5613</v>
      </c>
      <c r="E1128" t="s">
        <v>5590</v>
      </c>
      <c r="F1128" t="s">
        <v>377</v>
      </c>
      <c r="G1128" t="s">
        <v>44</v>
      </c>
      <c r="H1128" t="s">
        <v>206</v>
      </c>
      <c r="I1128" t="s">
        <v>30</v>
      </c>
      <c r="J1128" t="s">
        <v>94</v>
      </c>
      <c r="K1128" t="s">
        <v>61</v>
      </c>
      <c r="L1128" t="s">
        <v>36</v>
      </c>
      <c r="N1128" t="s">
        <v>5614</v>
      </c>
      <c r="O1128" t="s">
        <v>49</v>
      </c>
      <c r="P1128" t="s">
        <v>48</v>
      </c>
      <c r="Q1128" t="s">
        <v>39</v>
      </c>
      <c r="R1128" t="s">
        <v>5615</v>
      </c>
      <c r="S1128" t="s">
        <v>48</v>
      </c>
      <c r="T1128" t="s">
        <v>5616</v>
      </c>
      <c r="U1128" t="s">
        <v>5617</v>
      </c>
      <c r="V1128" t="s">
        <v>53</v>
      </c>
      <c r="W1128" t="s">
        <v>5618</v>
      </c>
      <c r="X1128" t="s">
        <v>5619</v>
      </c>
      <c r="Y1128" t="s">
        <v>56</v>
      </c>
      <c r="Z1128" t="s">
        <v>129</v>
      </c>
    </row>
    <row r="1129" spans="1:26" ht="12.75" customHeight="1" x14ac:dyDescent="0.35">
      <c r="A1129">
        <v>1128</v>
      </c>
      <c r="B1129">
        <v>45899.379286666663</v>
      </c>
      <c r="D1129" t="s">
        <v>5620</v>
      </c>
      <c r="E1129" t="s">
        <v>5584</v>
      </c>
      <c r="F1129" t="s">
        <v>449</v>
      </c>
      <c r="G1129" t="s">
        <v>29</v>
      </c>
      <c r="H1129" t="s">
        <v>28</v>
      </c>
      <c r="I1129" t="s">
        <v>34</v>
      </c>
      <c r="J1129" t="s">
        <v>368</v>
      </c>
      <c r="K1129" t="s">
        <v>368</v>
      </c>
      <c r="L1129" t="s">
        <v>36</v>
      </c>
      <c r="N1129" t="s">
        <v>4951</v>
      </c>
      <c r="O1129" t="s">
        <v>49</v>
      </c>
      <c r="P1129" t="s">
        <v>48</v>
      </c>
      <c r="Q1129" t="s">
        <v>49</v>
      </c>
      <c r="R1129" t="s">
        <v>5621</v>
      </c>
      <c r="S1129" t="s">
        <v>39</v>
      </c>
      <c r="T1129" t="s">
        <v>5622</v>
      </c>
      <c r="U1129" t="s">
        <v>5623</v>
      </c>
      <c r="V1129" t="s">
        <v>135</v>
      </c>
      <c r="W1129" t="s">
        <v>5624</v>
      </c>
      <c r="X1129" t="s">
        <v>1030</v>
      </c>
      <c r="Y1129" t="s">
        <v>56</v>
      </c>
      <c r="Z1129" t="s">
        <v>129</v>
      </c>
    </row>
    <row r="1130" spans="1:26" ht="12.75" customHeight="1" x14ac:dyDescent="0.35">
      <c r="A1130">
        <v>1129</v>
      </c>
      <c r="B1130">
        <v>45899.379975381948</v>
      </c>
      <c r="D1130" t="s">
        <v>5625</v>
      </c>
      <c r="E1130" t="s">
        <v>5626</v>
      </c>
      <c r="F1130" t="s">
        <v>44</v>
      </c>
      <c r="G1130" t="s">
        <v>29</v>
      </c>
      <c r="H1130" t="s">
        <v>60</v>
      </c>
      <c r="I1130" t="s">
        <v>34</v>
      </c>
      <c r="J1130" t="s">
        <v>34</v>
      </c>
      <c r="K1130" t="s">
        <v>35</v>
      </c>
      <c r="L1130" t="s">
        <v>46</v>
      </c>
      <c r="N1130" t="s">
        <v>3528</v>
      </c>
      <c r="O1130" t="s">
        <v>48</v>
      </c>
      <c r="P1130" t="s">
        <v>48</v>
      </c>
      <c r="Q1130" t="s">
        <v>40</v>
      </c>
      <c r="R1130" t="s">
        <v>5627</v>
      </c>
      <c r="S1130" t="s">
        <v>49</v>
      </c>
      <c r="T1130" t="s">
        <v>5628</v>
      </c>
      <c r="U1130" t="s">
        <v>5629</v>
      </c>
      <c r="V1130" t="s">
        <v>65</v>
      </c>
      <c r="W1130" t="s">
        <v>5630</v>
      </c>
      <c r="X1130" t="s">
        <v>109</v>
      </c>
      <c r="Y1130">
        <v>0</v>
      </c>
      <c r="Z1130" t="s">
        <v>91</v>
      </c>
    </row>
    <row r="1131" spans="1:26" ht="12.75" customHeight="1" x14ac:dyDescent="0.35">
      <c r="A1131">
        <v>1130</v>
      </c>
      <c r="B1131">
        <v>45899.380721493057</v>
      </c>
      <c r="D1131" t="s">
        <v>5631</v>
      </c>
      <c r="E1131" t="s">
        <v>5584</v>
      </c>
      <c r="F1131" t="s">
        <v>377</v>
      </c>
      <c r="G1131" t="s">
        <v>197</v>
      </c>
      <c r="H1131" t="s">
        <v>73</v>
      </c>
      <c r="I1131" t="s">
        <v>196</v>
      </c>
      <c r="J1131" t="s">
        <v>28</v>
      </c>
      <c r="K1131" t="s">
        <v>94</v>
      </c>
      <c r="L1131" t="s">
        <v>36</v>
      </c>
      <c r="N1131" t="s">
        <v>5632</v>
      </c>
      <c r="O1131" t="s">
        <v>40</v>
      </c>
      <c r="P1131" t="s">
        <v>49</v>
      </c>
      <c r="Q1131" t="s">
        <v>48</v>
      </c>
      <c r="R1131" t="s">
        <v>5633</v>
      </c>
      <c r="S1131" t="s">
        <v>49</v>
      </c>
      <c r="T1131" t="s">
        <v>5634</v>
      </c>
      <c r="U1131" t="s">
        <v>5635</v>
      </c>
      <c r="V1131" t="s">
        <v>79</v>
      </c>
      <c r="W1131" t="s">
        <v>5636</v>
      </c>
      <c r="X1131" t="s">
        <v>109</v>
      </c>
      <c r="Y1131" t="s">
        <v>56</v>
      </c>
      <c r="Z1131" t="s">
        <v>129</v>
      </c>
    </row>
    <row r="1132" spans="1:26" ht="12.75" customHeight="1" x14ac:dyDescent="0.35">
      <c r="A1132">
        <v>1131</v>
      </c>
      <c r="B1132">
        <v>45899.381384988425</v>
      </c>
      <c r="D1132" t="s">
        <v>5637</v>
      </c>
      <c r="E1132" t="s">
        <v>5638</v>
      </c>
      <c r="F1132" t="s">
        <v>449</v>
      </c>
      <c r="G1132" t="s">
        <v>196</v>
      </c>
      <c r="H1132" t="s">
        <v>157</v>
      </c>
      <c r="I1132" t="s">
        <v>196</v>
      </c>
      <c r="J1132" t="s">
        <v>45</v>
      </c>
      <c r="K1132" t="s">
        <v>35</v>
      </c>
      <c r="L1132" t="s">
        <v>46</v>
      </c>
      <c r="N1132" t="s">
        <v>5639</v>
      </c>
      <c r="O1132" t="s">
        <v>48</v>
      </c>
      <c r="P1132" t="s">
        <v>49</v>
      </c>
      <c r="Q1132" t="s">
        <v>49</v>
      </c>
      <c r="R1132" t="s">
        <v>5640</v>
      </c>
      <c r="S1132" t="s">
        <v>49</v>
      </c>
      <c r="T1132" t="s">
        <v>5641</v>
      </c>
      <c r="U1132" t="s">
        <v>5642</v>
      </c>
      <c r="V1132" t="s">
        <v>65</v>
      </c>
      <c r="W1132" t="s">
        <v>5643</v>
      </c>
      <c r="X1132" t="s">
        <v>5644</v>
      </c>
      <c r="Y1132">
        <v>0</v>
      </c>
      <c r="Z1132" t="s">
        <v>91</v>
      </c>
    </row>
    <row r="1133" spans="1:26" ht="12.75" customHeight="1" x14ac:dyDescent="0.35">
      <c r="A1133">
        <v>1132</v>
      </c>
      <c r="B1133">
        <v>45899.38205803241</v>
      </c>
      <c r="D1133" t="s">
        <v>5645</v>
      </c>
      <c r="E1133" t="s">
        <v>5584</v>
      </c>
      <c r="F1133" t="s">
        <v>449</v>
      </c>
      <c r="G1133" t="s">
        <v>44</v>
      </c>
      <c r="H1133" t="s">
        <v>60</v>
      </c>
      <c r="I1133" t="s">
        <v>30</v>
      </c>
      <c r="J1133" t="s">
        <v>28</v>
      </c>
      <c r="K1133" t="s">
        <v>368</v>
      </c>
      <c r="L1133" t="s">
        <v>36</v>
      </c>
      <c r="N1133" t="s">
        <v>198</v>
      </c>
      <c r="O1133" t="s">
        <v>49</v>
      </c>
      <c r="P1133" t="s">
        <v>48</v>
      </c>
      <c r="Q1133" t="s">
        <v>48</v>
      </c>
      <c r="R1133" t="s">
        <v>5646</v>
      </c>
      <c r="S1133" t="s">
        <v>49</v>
      </c>
      <c r="T1133" t="s">
        <v>5647</v>
      </c>
      <c r="U1133" t="s">
        <v>5648</v>
      </c>
      <c r="V1133" t="s">
        <v>87</v>
      </c>
      <c r="W1133" t="s">
        <v>5649</v>
      </c>
      <c r="X1133" t="s">
        <v>1030</v>
      </c>
      <c r="Y1133" t="s">
        <v>56</v>
      </c>
      <c r="Z1133" t="s">
        <v>129</v>
      </c>
    </row>
    <row r="1134" spans="1:26" ht="12.75" customHeight="1" x14ac:dyDescent="0.35">
      <c r="A1134">
        <v>1133</v>
      </c>
      <c r="B1134">
        <v>45899.382754560182</v>
      </c>
      <c r="D1134" t="s">
        <v>5650</v>
      </c>
      <c r="E1134" t="s">
        <v>5596</v>
      </c>
      <c r="F1134" t="s">
        <v>44</v>
      </c>
      <c r="G1134" t="s">
        <v>29</v>
      </c>
      <c r="H1134" t="s">
        <v>29</v>
      </c>
      <c r="I1134" t="s">
        <v>34</v>
      </c>
      <c r="J1134" t="s">
        <v>368</v>
      </c>
      <c r="K1134" t="s">
        <v>368</v>
      </c>
      <c r="L1134" t="s">
        <v>46</v>
      </c>
      <c r="N1134" t="s">
        <v>4974</v>
      </c>
      <c r="O1134" t="s">
        <v>48</v>
      </c>
      <c r="P1134" t="s">
        <v>49</v>
      </c>
      <c r="Q1134" t="s">
        <v>49</v>
      </c>
      <c r="R1134" t="s">
        <v>5651</v>
      </c>
      <c r="S1134" t="s">
        <v>48</v>
      </c>
      <c r="T1134" t="s">
        <v>5652</v>
      </c>
      <c r="U1134" t="s">
        <v>5653</v>
      </c>
      <c r="V1134" t="s">
        <v>79</v>
      </c>
      <c r="W1134" t="s">
        <v>5654</v>
      </c>
      <c r="X1134" t="s">
        <v>1030</v>
      </c>
      <c r="Y1134">
        <v>0</v>
      </c>
      <c r="Z1134" t="s">
        <v>129</v>
      </c>
    </row>
    <row r="1135" spans="1:26" ht="12.75" customHeight="1" x14ac:dyDescent="0.35">
      <c r="A1135">
        <v>1134</v>
      </c>
      <c r="B1135">
        <v>45899.383440266203</v>
      </c>
      <c r="D1135" t="s">
        <v>5655</v>
      </c>
      <c r="E1135" t="s">
        <v>5656</v>
      </c>
      <c r="F1135" t="s">
        <v>44</v>
      </c>
      <c r="G1135" t="s">
        <v>196</v>
      </c>
      <c r="H1135" t="s">
        <v>206</v>
      </c>
      <c r="I1135" t="s">
        <v>196</v>
      </c>
      <c r="J1135" t="s">
        <v>30</v>
      </c>
      <c r="K1135" t="s">
        <v>45</v>
      </c>
      <c r="L1135" t="s">
        <v>46</v>
      </c>
      <c r="N1135" t="s">
        <v>5657</v>
      </c>
      <c r="O1135" t="s">
        <v>48</v>
      </c>
      <c r="P1135" t="s">
        <v>48</v>
      </c>
      <c r="Q1135" t="s">
        <v>49</v>
      </c>
      <c r="R1135" t="s">
        <v>5658</v>
      </c>
      <c r="S1135" t="s">
        <v>48</v>
      </c>
      <c r="T1135" t="s">
        <v>5659</v>
      </c>
      <c r="U1135" t="s">
        <v>5660</v>
      </c>
      <c r="V1135" t="s">
        <v>87</v>
      </c>
      <c r="W1135" t="s">
        <v>5661</v>
      </c>
      <c r="X1135" t="s">
        <v>118</v>
      </c>
      <c r="Y1135">
        <v>0</v>
      </c>
      <c r="Z1135" t="s">
        <v>170</v>
      </c>
    </row>
    <row r="1136" spans="1:26" ht="12.75" customHeight="1" x14ac:dyDescent="0.35">
      <c r="A1136">
        <v>1135</v>
      </c>
      <c r="B1136">
        <v>45899.384212500001</v>
      </c>
      <c r="D1136" t="s">
        <v>5662</v>
      </c>
      <c r="E1136" t="s">
        <v>5584</v>
      </c>
      <c r="F1136" t="s">
        <v>377</v>
      </c>
      <c r="G1136" t="s">
        <v>28</v>
      </c>
      <c r="H1136" t="s">
        <v>60</v>
      </c>
      <c r="I1136" t="s">
        <v>196</v>
      </c>
      <c r="J1136" t="s">
        <v>73</v>
      </c>
      <c r="K1136" t="s">
        <v>368</v>
      </c>
      <c r="L1136" t="s">
        <v>36</v>
      </c>
      <c r="N1136" t="s">
        <v>534</v>
      </c>
      <c r="O1136" t="s">
        <v>49</v>
      </c>
      <c r="P1136" t="s">
        <v>48</v>
      </c>
      <c r="Q1136" t="s">
        <v>38</v>
      </c>
      <c r="R1136" t="s">
        <v>5663</v>
      </c>
      <c r="S1136" t="s">
        <v>48</v>
      </c>
      <c r="T1136" t="s">
        <v>5664</v>
      </c>
      <c r="U1136" t="s">
        <v>5665</v>
      </c>
      <c r="V1136" t="s">
        <v>87</v>
      </c>
      <c r="W1136" t="s">
        <v>5666</v>
      </c>
      <c r="X1136" t="s">
        <v>1030</v>
      </c>
      <c r="Y1136" t="s">
        <v>56</v>
      </c>
      <c r="Z1136" t="s">
        <v>129</v>
      </c>
    </row>
    <row r="1137" spans="1:26" ht="12.75" customHeight="1" x14ac:dyDescent="0.35">
      <c r="A1137">
        <v>1136</v>
      </c>
      <c r="B1137">
        <v>45899.385330393518</v>
      </c>
      <c r="D1137" t="s">
        <v>5667</v>
      </c>
      <c r="E1137" t="s">
        <v>5668</v>
      </c>
      <c r="F1137" t="s">
        <v>344</v>
      </c>
      <c r="G1137" t="s">
        <v>72</v>
      </c>
      <c r="H1137" t="s">
        <v>284</v>
      </c>
      <c r="I1137" t="s">
        <v>158</v>
      </c>
      <c r="J1137" t="s">
        <v>28</v>
      </c>
      <c r="K1137" t="s">
        <v>94</v>
      </c>
      <c r="L1137" t="s">
        <v>46</v>
      </c>
      <c r="N1137" t="s">
        <v>5669</v>
      </c>
      <c r="O1137" t="s">
        <v>49</v>
      </c>
      <c r="P1137" t="s">
        <v>48</v>
      </c>
      <c r="Q1137" t="s">
        <v>49</v>
      </c>
      <c r="R1137" t="s">
        <v>5670</v>
      </c>
      <c r="S1137" t="s">
        <v>48</v>
      </c>
      <c r="T1137" t="s">
        <v>5671</v>
      </c>
      <c r="U1137" t="s">
        <v>5672</v>
      </c>
      <c r="V1137" t="s">
        <v>79</v>
      </c>
      <c r="W1137" t="s">
        <v>5673</v>
      </c>
      <c r="X1137" t="s">
        <v>5674</v>
      </c>
      <c r="Y1137">
        <v>0</v>
      </c>
      <c r="Z1137" t="s">
        <v>91</v>
      </c>
    </row>
    <row r="1138" spans="1:26" ht="12.75" customHeight="1" x14ac:dyDescent="0.35">
      <c r="A1138">
        <v>1137</v>
      </c>
      <c r="B1138">
        <v>45899.386040243058</v>
      </c>
      <c r="D1138" t="s">
        <v>5675</v>
      </c>
      <c r="E1138" t="s">
        <v>5626</v>
      </c>
      <c r="F1138" t="s">
        <v>71</v>
      </c>
      <c r="G1138" t="s">
        <v>196</v>
      </c>
      <c r="H1138" t="s">
        <v>28</v>
      </c>
      <c r="I1138" t="s">
        <v>158</v>
      </c>
      <c r="J1138" t="s">
        <v>30</v>
      </c>
      <c r="K1138" t="s">
        <v>292</v>
      </c>
      <c r="L1138" t="s">
        <v>46</v>
      </c>
      <c r="N1138" t="s">
        <v>5676</v>
      </c>
      <c r="O1138" t="s">
        <v>48</v>
      </c>
      <c r="P1138" t="s">
        <v>49</v>
      </c>
      <c r="Q1138" t="s">
        <v>49</v>
      </c>
      <c r="R1138" t="s">
        <v>5677</v>
      </c>
      <c r="S1138" t="s">
        <v>48</v>
      </c>
      <c r="T1138" t="s">
        <v>5678</v>
      </c>
      <c r="U1138" t="s">
        <v>5679</v>
      </c>
      <c r="V1138" t="s">
        <v>79</v>
      </c>
      <c r="W1138" t="s">
        <v>5680</v>
      </c>
      <c r="X1138" t="s">
        <v>118</v>
      </c>
      <c r="Y1138" t="s">
        <v>56</v>
      </c>
      <c r="Z1138" t="s">
        <v>129</v>
      </c>
    </row>
    <row r="1139" spans="1:26" ht="12.75" customHeight="1" x14ac:dyDescent="0.35">
      <c r="A1139">
        <v>1138</v>
      </c>
      <c r="B1139">
        <v>45899.386710891209</v>
      </c>
      <c r="D1139" t="s">
        <v>5681</v>
      </c>
      <c r="E1139" t="s">
        <v>5682</v>
      </c>
      <c r="F1139" t="s">
        <v>449</v>
      </c>
      <c r="G1139" t="s">
        <v>196</v>
      </c>
      <c r="H1139" t="s">
        <v>28</v>
      </c>
      <c r="I1139" t="s">
        <v>197</v>
      </c>
      <c r="J1139" t="s">
        <v>173</v>
      </c>
      <c r="K1139" t="s">
        <v>74</v>
      </c>
      <c r="L1139" t="s">
        <v>36</v>
      </c>
      <c r="N1139" t="s">
        <v>5683</v>
      </c>
      <c r="O1139" t="s">
        <v>49</v>
      </c>
      <c r="P1139" t="s">
        <v>40</v>
      </c>
      <c r="Q1139" t="s">
        <v>48</v>
      </c>
      <c r="R1139" t="s">
        <v>5684</v>
      </c>
      <c r="S1139" t="s">
        <v>49</v>
      </c>
      <c r="T1139" t="s">
        <v>5685</v>
      </c>
      <c r="U1139" t="s">
        <v>5686</v>
      </c>
      <c r="V1139" t="s">
        <v>135</v>
      </c>
      <c r="W1139" t="s">
        <v>5687</v>
      </c>
      <c r="X1139" t="s">
        <v>118</v>
      </c>
      <c r="Y1139">
        <v>0</v>
      </c>
      <c r="Z1139" t="s">
        <v>91</v>
      </c>
    </row>
    <row r="1140" spans="1:26" ht="12.75" customHeight="1" x14ac:dyDescent="0.35">
      <c r="A1140">
        <v>1139</v>
      </c>
      <c r="B1140">
        <v>45899.387388680552</v>
      </c>
      <c r="D1140" t="s">
        <v>5688</v>
      </c>
      <c r="E1140" t="s">
        <v>5689</v>
      </c>
      <c r="F1140" t="s">
        <v>449</v>
      </c>
      <c r="G1140" t="s">
        <v>44</v>
      </c>
      <c r="H1140" t="s">
        <v>73</v>
      </c>
      <c r="I1140" t="s">
        <v>173</v>
      </c>
      <c r="J1140" t="s">
        <v>94</v>
      </c>
      <c r="K1140" t="s">
        <v>61</v>
      </c>
      <c r="L1140" t="s">
        <v>46</v>
      </c>
      <c r="N1140" t="s">
        <v>4936</v>
      </c>
      <c r="O1140" t="s">
        <v>49</v>
      </c>
      <c r="P1140" t="s">
        <v>48</v>
      </c>
      <c r="Q1140" t="s">
        <v>49</v>
      </c>
      <c r="R1140" t="s">
        <v>5690</v>
      </c>
      <c r="S1140" t="s">
        <v>48</v>
      </c>
      <c r="T1140" t="s">
        <v>5691</v>
      </c>
      <c r="U1140" t="s">
        <v>5692</v>
      </c>
      <c r="V1140" t="s">
        <v>87</v>
      </c>
      <c r="W1140" t="s">
        <v>5693</v>
      </c>
      <c r="X1140" t="s">
        <v>5694</v>
      </c>
      <c r="Y1140">
        <v>0</v>
      </c>
      <c r="Z1140" t="s">
        <v>170</v>
      </c>
    </row>
    <row r="1141" spans="1:26" ht="12.75" customHeight="1" x14ac:dyDescent="0.35">
      <c r="A1141">
        <v>1140</v>
      </c>
      <c r="B1141">
        <v>45899.388020509257</v>
      </c>
      <c r="D1141" t="s">
        <v>5695</v>
      </c>
      <c r="E1141" t="s">
        <v>5696</v>
      </c>
      <c r="F1141" t="s">
        <v>344</v>
      </c>
      <c r="G1141" t="s">
        <v>197</v>
      </c>
      <c r="H1141" t="s">
        <v>284</v>
      </c>
      <c r="I1141" t="s">
        <v>28</v>
      </c>
      <c r="J1141" t="s">
        <v>73</v>
      </c>
      <c r="K1141" t="s">
        <v>73</v>
      </c>
      <c r="L1141" t="s">
        <v>36</v>
      </c>
      <c r="N1141" t="s">
        <v>442</v>
      </c>
      <c r="O1141" t="s">
        <v>48</v>
      </c>
      <c r="P1141" t="s">
        <v>38</v>
      </c>
      <c r="Q1141" t="s">
        <v>49</v>
      </c>
      <c r="R1141" t="s">
        <v>5697</v>
      </c>
      <c r="S1141" t="s">
        <v>48</v>
      </c>
      <c r="T1141" t="s">
        <v>5698</v>
      </c>
      <c r="U1141" t="s">
        <v>5699</v>
      </c>
      <c r="V1141" t="s">
        <v>65</v>
      </c>
      <c r="W1141" t="s">
        <v>5700</v>
      </c>
      <c r="X1141" t="s">
        <v>603</v>
      </c>
      <c r="Y1141" t="s">
        <v>56</v>
      </c>
      <c r="Z1141" t="s">
        <v>57</v>
      </c>
    </row>
    <row r="1142" spans="1:26" ht="12.75" customHeight="1" x14ac:dyDescent="0.35">
      <c r="A1142">
        <v>1141</v>
      </c>
      <c r="B1142">
        <v>45899.388687395833</v>
      </c>
      <c r="D1142" t="s">
        <v>5701</v>
      </c>
      <c r="E1142" t="s">
        <v>5702</v>
      </c>
      <c r="F1142" t="s">
        <v>449</v>
      </c>
      <c r="G1142" t="s">
        <v>197</v>
      </c>
      <c r="H1142" t="s">
        <v>73</v>
      </c>
      <c r="I1142" t="s">
        <v>158</v>
      </c>
      <c r="J1142" t="s">
        <v>28</v>
      </c>
      <c r="K1142" t="s">
        <v>368</v>
      </c>
      <c r="L1142" t="s">
        <v>46</v>
      </c>
      <c r="N1142" t="s">
        <v>5147</v>
      </c>
      <c r="O1142" t="s">
        <v>48</v>
      </c>
      <c r="P1142" t="s">
        <v>48</v>
      </c>
      <c r="Q1142" t="s">
        <v>48</v>
      </c>
      <c r="R1142" t="s">
        <v>5703</v>
      </c>
      <c r="S1142" t="s">
        <v>49</v>
      </c>
      <c r="T1142" t="s">
        <v>5704</v>
      </c>
      <c r="U1142" t="s">
        <v>5705</v>
      </c>
      <c r="V1142" t="s">
        <v>53</v>
      </c>
      <c r="W1142" t="s">
        <v>5706</v>
      </c>
      <c r="X1142" t="s">
        <v>118</v>
      </c>
      <c r="Y1142">
        <v>0</v>
      </c>
      <c r="Z1142" t="s">
        <v>91</v>
      </c>
    </row>
    <row r="1143" spans="1:26" ht="12.75" customHeight="1" x14ac:dyDescent="0.35">
      <c r="A1143">
        <v>1142</v>
      </c>
      <c r="B1143">
        <v>45899.389355277774</v>
      </c>
      <c r="D1143" t="s">
        <v>5707</v>
      </c>
      <c r="E1143" t="s">
        <v>5656</v>
      </c>
      <c r="F1143" t="s">
        <v>60</v>
      </c>
      <c r="G1143" t="s">
        <v>158</v>
      </c>
      <c r="H1143" t="s">
        <v>33</v>
      </c>
      <c r="I1143" t="s">
        <v>197</v>
      </c>
      <c r="J1143" t="s">
        <v>94</v>
      </c>
      <c r="K1143" t="s">
        <v>292</v>
      </c>
      <c r="L1143" t="s">
        <v>46</v>
      </c>
      <c r="N1143" t="s">
        <v>5708</v>
      </c>
      <c r="O1143" t="s">
        <v>49</v>
      </c>
      <c r="P1143" t="s">
        <v>48</v>
      </c>
      <c r="Q1143" t="s">
        <v>49</v>
      </c>
      <c r="R1143" t="s">
        <v>5709</v>
      </c>
      <c r="S1143" t="s">
        <v>48</v>
      </c>
      <c r="T1143" t="s">
        <v>5710</v>
      </c>
      <c r="U1143" t="s">
        <v>5711</v>
      </c>
      <c r="V1143" t="s">
        <v>87</v>
      </c>
      <c r="W1143" t="s">
        <v>5712</v>
      </c>
      <c r="X1143" t="s">
        <v>118</v>
      </c>
      <c r="Y1143">
        <v>0</v>
      </c>
      <c r="Z1143" t="s">
        <v>91</v>
      </c>
    </row>
    <row r="1144" spans="1:26" ht="12.75" customHeight="1" x14ac:dyDescent="0.35">
      <c r="A1144">
        <v>1143</v>
      </c>
      <c r="B1144">
        <v>45899.389990729163</v>
      </c>
      <c r="D1144" t="s">
        <v>5713</v>
      </c>
      <c r="E1144" t="s">
        <v>5590</v>
      </c>
      <c r="F1144" t="s">
        <v>377</v>
      </c>
      <c r="G1144" t="s">
        <v>60</v>
      </c>
      <c r="H1144" t="s">
        <v>284</v>
      </c>
      <c r="I1144" t="s">
        <v>196</v>
      </c>
      <c r="J1144" t="s">
        <v>94</v>
      </c>
      <c r="K1144" t="s">
        <v>94</v>
      </c>
      <c r="L1144" t="s">
        <v>36</v>
      </c>
      <c r="N1144" t="s">
        <v>5714</v>
      </c>
      <c r="O1144" t="s">
        <v>49</v>
      </c>
      <c r="P1144" t="s">
        <v>48</v>
      </c>
      <c r="Q1144" t="s">
        <v>48</v>
      </c>
      <c r="R1144" t="s">
        <v>5715</v>
      </c>
      <c r="S1144" t="s">
        <v>48</v>
      </c>
      <c r="T1144" t="s">
        <v>5716</v>
      </c>
      <c r="U1144" t="s">
        <v>5717</v>
      </c>
      <c r="V1144" t="s">
        <v>53</v>
      </c>
      <c r="W1144" t="s">
        <v>5718</v>
      </c>
      <c r="X1144" t="s">
        <v>118</v>
      </c>
      <c r="Y1144" t="s">
        <v>56</v>
      </c>
      <c r="Z1144" t="s">
        <v>91</v>
      </c>
    </row>
    <row r="1145" spans="1:26" ht="12.75" customHeight="1" x14ac:dyDescent="0.35">
      <c r="A1145">
        <v>1144</v>
      </c>
      <c r="B1145">
        <v>45899.390690300927</v>
      </c>
      <c r="D1145" t="s">
        <v>5719</v>
      </c>
      <c r="E1145" t="s">
        <v>5720</v>
      </c>
      <c r="F1145" t="s">
        <v>344</v>
      </c>
      <c r="G1145" t="s">
        <v>197</v>
      </c>
      <c r="H1145" t="s">
        <v>28</v>
      </c>
      <c r="I1145" t="s">
        <v>158</v>
      </c>
      <c r="J1145" t="s">
        <v>73</v>
      </c>
      <c r="K1145" t="s">
        <v>35</v>
      </c>
      <c r="L1145" t="s">
        <v>36</v>
      </c>
      <c r="N1145" t="s">
        <v>5721</v>
      </c>
      <c r="O1145" t="s">
        <v>49</v>
      </c>
      <c r="P1145" t="s">
        <v>49</v>
      </c>
      <c r="Q1145" t="s">
        <v>49</v>
      </c>
      <c r="R1145" t="s">
        <v>5722</v>
      </c>
      <c r="S1145" t="s">
        <v>48</v>
      </c>
      <c r="T1145" t="s">
        <v>5723</v>
      </c>
      <c r="U1145" t="s">
        <v>5724</v>
      </c>
      <c r="V1145" t="s">
        <v>53</v>
      </c>
      <c r="W1145" t="s">
        <v>5725</v>
      </c>
      <c r="X1145" t="s">
        <v>89</v>
      </c>
      <c r="Y1145" t="s">
        <v>56</v>
      </c>
      <c r="Z1145" t="s">
        <v>91</v>
      </c>
    </row>
    <row r="1146" spans="1:26" ht="12.75" customHeight="1" x14ac:dyDescent="0.35">
      <c r="A1146">
        <v>1145</v>
      </c>
      <c r="B1146">
        <v>45899.391362696755</v>
      </c>
      <c r="D1146" t="s">
        <v>5726</v>
      </c>
      <c r="E1146" t="s">
        <v>5727</v>
      </c>
      <c r="F1146" t="s">
        <v>28</v>
      </c>
      <c r="G1146" t="s">
        <v>158</v>
      </c>
      <c r="H1146" t="s">
        <v>284</v>
      </c>
      <c r="I1146" t="s">
        <v>197</v>
      </c>
      <c r="J1146" t="s">
        <v>94</v>
      </c>
      <c r="K1146" t="s">
        <v>368</v>
      </c>
      <c r="L1146" t="s">
        <v>36</v>
      </c>
      <c r="N1146" t="s">
        <v>3585</v>
      </c>
      <c r="O1146" t="s">
        <v>49</v>
      </c>
      <c r="P1146" t="s">
        <v>49</v>
      </c>
      <c r="Q1146" t="s">
        <v>49</v>
      </c>
      <c r="R1146" t="s">
        <v>5728</v>
      </c>
      <c r="S1146" t="s">
        <v>48</v>
      </c>
      <c r="T1146" t="s">
        <v>5729</v>
      </c>
      <c r="U1146" t="s">
        <v>5730</v>
      </c>
      <c r="V1146" t="s">
        <v>65</v>
      </c>
      <c r="W1146" t="s">
        <v>5731</v>
      </c>
      <c r="X1146" t="s">
        <v>81</v>
      </c>
      <c r="Y1146">
        <v>0</v>
      </c>
      <c r="Z1146" t="s">
        <v>129</v>
      </c>
    </row>
    <row r="1147" spans="1:26" ht="12.75" customHeight="1" x14ac:dyDescent="0.35">
      <c r="A1147">
        <v>1146</v>
      </c>
      <c r="B1147">
        <v>45899.392036203702</v>
      </c>
      <c r="D1147" t="s">
        <v>5732</v>
      </c>
      <c r="E1147" t="s">
        <v>5702</v>
      </c>
      <c r="F1147" t="s">
        <v>71</v>
      </c>
      <c r="G1147" t="s">
        <v>158</v>
      </c>
      <c r="H1147" t="s">
        <v>28</v>
      </c>
      <c r="I1147" t="s">
        <v>158</v>
      </c>
      <c r="J1147" t="s">
        <v>173</v>
      </c>
      <c r="K1147" t="s">
        <v>368</v>
      </c>
      <c r="L1147" t="s">
        <v>36</v>
      </c>
      <c r="N1147" t="s">
        <v>37</v>
      </c>
      <c r="O1147" t="s">
        <v>49</v>
      </c>
      <c r="P1147" t="s">
        <v>49</v>
      </c>
      <c r="Q1147" t="s">
        <v>49</v>
      </c>
      <c r="R1147" t="s">
        <v>5733</v>
      </c>
      <c r="S1147" t="s">
        <v>48</v>
      </c>
      <c r="T1147" t="s">
        <v>5734</v>
      </c>
      <c r="U1147" t="s">
        <v>5735</v>
      </c>
      <c r="V1147" t="s">
        <v>87</v>
      </c>
      <c r="W1147" t="s">
        <v>5736</v>
      </c>
      <c r="X1147" t="s">
        <v>109</v>
      </c>
      <c r="Y1147" t="s">
        <v>56</v>
      </c>
      <c r="Z1147" t="s">
        <v>129</v>
      </c>
    </row>
    <row r="1148" spans="1:26" ht="12.75" customHeight="1" x14ac:dyDescent="0.35">
      <c r="A1148">
        <v>1147</v>
      </c>
      <c r="B1148">
        <v>45899.392739571762</v>
      </c>
      <c r="D1148" t="s">
        <v>5737</v>
      </c>
      <c r="E1148" t="s">
        <v>5738</v>
      </c>
      <c r="F1148" t="s">
        <v>71</v>
      </c>
      <c r="G1148" t="s">
        <v>197</v>
      </c>
      <c r="H1148" t="s">
        <v>157</v>
      </c>
      <c r="I1148" t="s">
        <v>28</v>
      </c>
      <c r="J1148" t="s">
        <v>103</v>
      </c>
      <c r="K1148" t="s">
        <v>74</v>
      </c>
      <c r="L1148" t="s">
        <v>36</v>
      </c>
      <c r="N1148" t="s">
        <v>1207</v>
      </c>
      <c r="O1148" t="s">
        <v>48</v>
      </c>
      <c r="P1148" t="s">
        <v>49</v>
      </c>
      <c r="Q1148" t="s">
        <v>49</v>
      </c>
      <c r="R1148" t="s">
        <v>5739</v>
      </c>
      <c r="S1148" t="s">
        <v>48</v>
      </c>
      <c r="T1148" t="s">
        <v>5740</v>
      </c>
      <c r="U1148" t="s">
        <v>5741</v>
      </c>
      <c r="V1148" t="s">
        <v>65</v>
      </c>
      <c r="W1148" t="s">
        <v>5742</v>
      </c>
      <c r="X1148" t="s">
        <v>1046</v>
      </c>
      <c r="Y1148">
        <v>0</v>
      </c>
      <c r="Z1148" t="s">
        <v>129</v>
      </c>
    </row>
    <row r="1149" spans="1:26" ht="12.75" customHeight="1" x14ac:dyDescent="0.35">
      <c r="A1149">
        <v>1148</v>
      </c>
      <c r="B1149">
        <v>45899.393402453701</v>
      </c>
      <c r="D1149" t="s">
        <v>5743</v>
      </c>
      <c r="E1149" t="s">
        <v>5744</v>
      </c>
      <c r="F1149" t="s">
        <v>377</v>
      </c>
      <c r="G1149" t="s">
        <v>196</v>
      </c>
      <c r="H1149" t="s">
        <v>284</v>
      </c>
      <c r="I1149" t="s">
        <v>173</v>
      </c>
      <c r="J1149" t="s">
        <v>173</v>
      </c>
      <c r="K1149" t="s">
        <v>368</v>
      </c>
      <c r="L1149" t="s">
        <v>46</v>
      </c>
      <c r="N1149" t="s">
        <v>1390</v>
      </c>
      <c r="O1149" t="s">
        <v>40</v>
      </c>
      <c r="P1149" t="s">
        <v>48</v>
      </c>
      <c r="Q1149" t="s">
        <v>48</v>
      </c>
      <c r="R1149" t="s">
        <v>5745</v>
      </c>
      <c r="S1149" t="s">
        <v>49</v>
      </c>
      <c r="T1149" t="s">
        <v>5746</v>
      </c>
      <c r="U1149" t="s">
        <v>5747</v>
      </c>
      <c r="V1149" t="s">
        <v>79</v>
      </c>
      <c r="W1149" t="s">
        <v>5748</v>
      </c>
      <c r="X1149" t="s">
        <v>2246</v>
      </c>
      <c r="Y1149" t="s">
        <v>56</v>
      </c>
      <c r="Z1149" t="s">
        <v>91</v>
      </c>
    </row>
    <row r="1150" spans="1:26" ht="12.75" customHeight="1" x14ac:dyDescent="0.35">
      <c r="A1150">
        <v>1149</v>
      </c>
      <c r="B1150">
        <v>45899.394092546296</v>
      </c>
      <c r="D1150" t="s">
        <v>5749</v>
      </c>
      <c r="E1150" t="s">
        <v>5584</v>
      </c>
      <c r="F1150" t="s">
        <v>344</v>
      </c>
      <c r="G1150" t="s">
        <v>60</v>
      </c>
      <c r="H1150" t="s">
        <v>44</v>
      </c>
      <c r="I1150" t="s">
        <v>30</v>
      </c>
      <c r="J1150" t="s">
        <v>368</v>
      </c>
      <c r="K1150" t="s">
        <v>74</v>
      </c>
      <c r="L1150" t="s">
        <v>36</v>
      </c>
      <c r="N1150" t="s">
        <v>3209</v>
      </c>
      <c r="O1150" t="s">
        <v>49</v>
      </c>
      <c r="P1150" t="s">
        <v>48</v>
      </c>
      <c r="Q1150" t="s">
        <v>49</v>
      </c>
      <c r="R1150" t="s">
        <v>5750</v>
      </c>
      <c r="S1150" t="s">
        <v>48</v>
      </c>
      <c r="T1150" t="s">
        <v>5751</v>
      </c>
      <c r="U1150" t="s">
        <v>5752</v>
      </c>
      <c r="V1150" t="s">
        <v>135</v>
      </c>
      <c r="W1150" t="s">
        <v>5753</v>
      </c>
      <c r="X1150" t="s">
        <v>1030</v>
      </c>
      <c r="Y1150" t="s">
        <v>56</v>
      </c>
      <c r="Z1150" t="s">
        <v>170</v>
      </c>
    </row>
    <row r="1151" spans="1:26" ht="12.75" customHeight="1" x14ac:dyDescent="0.35">
      <c r="A1151">
        <v>1150</v>
      </c>
      <c r="B1151">
        <v>45899.394757291666</v>
      </c>
      <c r="D1151" t="s">
        <v>5754</v>
      </c>
      <c r="E1151" t="s">
        <v>5755</v>
      </c>
      <c r="F1151" t="s">
        <v>344</v>
      </c>
      <c r="G1151" t="s">
        <v>196</v>
      </c>
      <c r="H1151" t="s">
        <v>284</v>
      </c>
      <c r="I1151" t="s">
        <v>30</v>
      </c>
      <c r="J1151" t="s">
        <v>173</v>
      </c>
      <c r="K1151" t="s">
        <v>74</v>
      </c>
      <c r="L1151" t="s">
        <v>36</v>
      </c>
      <c r="N1151" t="s">
        <v>5756</v>
      </c>
      <c r="O1151" t="s">
        <v>49</v>
      </c>
      <c r="P1151" t="s">
        <v>48</v>
      </c>
      <c r="Q1151" t="s">
        <v>49</v>
      </c>
      <c r="R1151" t="s">
        <v>5757</v>
      </c>
      <c r="S1151" t="s">
        <v>48</v>
      </c>
      <c r="T1151" t="s">
        <v>5758</v>
      </c>
      <c r="U1151" t="s">
        <v>5759</v>
      </c>
      <c r="V1151" t="s">
        <v>135</v>
      </c>
      <c r="W1151" t="s">
        <v>5760</v>
      </c>
      <c r="X1151" t="s">
        <v>118</v>
      </c>
      <c r="Y1151">
        <v>0</v>
      </c>
      <c r="Z1151" t="s">
        <v>91</v>
      </c>
    </row>
    <row r="1152" spans="1:26" ht="12.75" customHeight="1" x14ac:dyDescent="0.35">
      <c r="A1152">
        <v>1151</v>
      </c>
      <c r="B1152">
        <v>45899.395374756947</v>
      </c>
      <c r="D1152" t="s">
        <v>5761</v>
      </c>
      <c r="E1152" t="s">
        <v>5727</v>
      </c>
      <c r="F1152" t="s">
        <v>71</v>
      </c>
      <c r="G1152" t="s">
        <v>197</v>
      </c>
      <c r="H1152" t="s">
        <v>157</v>
      </c>
      <c r="I1152" t="s">
        <v>103</v>
      </c>
      <c r="J1152" t="s">
        <v>28</v>
      </c>
      <c r="K1152" t="s">
        <v>61</v>
      </c>
      <c r="L1152" t="s">
        <v>36</v>
      </c>
      <c r="N1152" t="s">
        <v>5762</v>
      </c>
      <c r="O1152" t="s">
        <v>48</v>
      </c>
      <c r="P1152" t="s">
        <v>49</v>
      </c>
      <c r="Q1152" t="s">
        <v>48</v>
      </c>
      <c r="R1152" t="s">
        <v>5763</v>
      </c>
      <c r="S1152" t="s">
        <v>49</v>
      </c>
      <c r="T1152" t="s">
        <v>5764</v>
      </c>
      <c r="U1152" t="s">
        <v>5765</v>
      </c>
      <c r="V1152" t="s">
        <v>65</v>
      </c>
      <c r="W1152" t="s">
        <v>5766</v>
      </c>
      <c r="X1152" t="s">
        <v>5619</v>
      </c>
      <c r="Y1152" t="s">
        <v>56</v>
      </c>
      <c r="Z1152" t="s">
        <v>129</v>
      </c>
    </row>
    <row r="1153" spans="1:26" ht="12.75" customHeight="1" x14ac:dyDescent="0.35">
      <c r="A1153">
        <v>1152</v>
      </c>
      <c r="B1153">
        <v>45899.395960960646</v>
      </c>
      <c r="D1153" t="s">
        <v>5767</v>
      </c>
      <c r="E1153" t="s">
        <v>5738</v>
      </c>
      <c r="F1153" t="s">
        <v>71</v>
      </c>
      <c r="G1153" t="s">
        <v>196</v>
      </c>
      <c r="H1153" t="s">
        <v>60</v>
      </c>
      <c r="I1153" t="s">
        <v>197</v>
      </c>
      <c r="J1153" t="s">
        <v>94</v>
      </c>
      <c r="K1153" t="s">
        <v>94</v>
      </c>
      <c r="L1153" t="s">
        <v>36</v>
      </c>
      <c r="N1153" t="s">
        <v>555</v>
      </c>
      <c r="O1153" t="s">
        <v>48</v>
      </c>
      <c r="P1153" t="s">
        <v>48</v>
      </c>
      <c r="Q1153" t="s">
        <v>48</v>
      </c>
      <c r="R1153" t="s">
        <v>5768</v>
      </c>
      <c r="S1153" t="s">
        <v>48</v>
      </c>
      <c r="T1153" t="s">
        <v>5769</v>
      </c>
      <c r="U1153" t="s">
        <v>5770</v>
      </c>
      <c r="V1153" t="s">
        <v>65</v>
      </c>
      <c r="W1153" t="s">
        <v>5771</v>
      </c>
      <c r="X1153" t="s">
        <v>1030</v>
      </c>
      <c r="Y1153" t="s">
        <v>56</v>
      </c>
      <c r="Z1153" t="s">
        <v>129</v>
      </c>
    </row>
    <row r="1154" spans="1:26" ht="12.75" customHeight="1" x14ac:dyDescent="0.35">
      <c r="A1154">
        <v>1153</v>
      </c>
      <c r="B1154">
        <v>45899.396604768517</v>
      </c>
      <c r="D1154" t="s">
        <v>5772</v>
      </c>
      <c r="E1154" t="s">
        <v>5656</v>
      </c>
      <c r="F1154" t="s">
        <v>344</v>
      </c>
      <c r="G1154" t="s">
        <v>196</v>
      </c>
      <c r="H1154" t="s">
        <v>157</v>
      </c>
      <c r="I1154" t="s">
        <v>30</v>
      </c>
      <c r="J1154" t="s">
        <v>28</v>
      </c>
      <c r="K1154" t="s">
        <v>45</v>
      </c>
      <c r="L1154" t="s">
        <v>46</v>
      </c>
      <c r="N1154" t="s">
        <v>4980</v>
      </c>
      <c r="O1154" t="s">
        <v>49</v>
      </c>
      <c r="P1154" t="s">
        <v>48</v>
      </c>
      <c r="Q1154" t="s">
        <v>48</v>
      </c>
      <c r="R1154" t="s">
        <v>5773</v>
      </c>
      <c r="S1154" t="s">
        <v>49</v>
      </c>
      <c r="T1154" t="s">
        <v>5774</v>
      </c>
      <c r="U1154" t="s">
        <v>5775</v>
      </c>
      <c r="V1154" t="s">
        <v>79</v>
      </c>
      <c r="W1154" t="s">
        <v>5776</v>
      </c>
      <c r="X1154" t="s">
        <v>118</v>
      </c>
      <c r="Y1154">
        <v>0</v>
      </c>
      <c r="Z1154" t="s">
        <v>91</v>
      </c>
    </row>
    <row r="1155" spans="1:26" ht="12.75" customHeight="1" x14ac:dyDescent="0.35">
      <c r="A1155">
        <v>1154</v>
      </c>
      <c r="B1155">
        <v>45899.397309548614</v>
      </c>
      <c r="D1155" t="s">
        <v>5777</v>
      </c>
      <c r="E1155" t="s">
        <v>5778</v>
      </c>
      <c r="F1155" t="s">
        <v>344</v>
      </c>
      <c r="G1155" t="s">
        <v>72</v>
      </c>
      <c r="H1155" t="s">
        <v>157</v>
      </c>
      <c r="I1155" t="s">
        <v>28</v>
      </c>
      <c r="J1155" t="s">
        <v>103</v>
      </c>
      <c r="K1155" t="s">
        <v>368</v>
      </c>
      <c r="L1155" t="s">
        <v>46</v>
      </c>
      <c r="N1155" t="s">
        <v>4814</v>
      </c>
      <c r="O1155" t="s">
        <v>49</v>
      </c>
      <c r="P1155" t="s">
        <v>48</v>
      </c>
      <c r="Q1155" t="s">
        <v>48</v>
      </c>
      <c r="R1155" t="s">
        <v>5779</v>
      </c>
      <c r="S1155" t="s">
        <v>48</v>
      </c>
      <c r="T1155" t="s">
        <v>5780</v>
      </c>
      <c r="U1155" t="s">
        <v>5781</v>
      </c>
      <c r="V1155" t="s">
        <v>65</v>
      </c>
      <c r="W1155" t="s">
        <v>5782</v>
      </c>
      <c r="X1155" t="s">
        <v>1030</v>
      </c>
      <c r="Y1155" t="s">
        <v>56</v>
      </c>
      <c r="Z1155" t="s">
        <v>91</v>
      </c>
    </row>
    <row r="1156" spans="1:26" ht="12.75" customHeight="1" x14ac:dyDescent="0.35">
      <c r="A1156">
        <v>1155</v>
      </c>
      <c r="B1156">
        <v>45899.397959085647</v>
      </c>
      <c r="D1156" t="s">
        <v>5783</v>
      </c>
      <c r="E1156" t="s">
        <v>5784</v>
      </c>
      <c r="F1156" t="s">
        <v>344</v>
      </c>
      <c r="G1156" t="s">
        <v>197</v>
      </c>
      <c r="H1156" t="s">
        <v>60</v>
      </c>
      <c r="I1156" t="s">
        <v>158</v>
      </c>
      <c r="J1156" t="s">
        <v>30</v>
      </c>
      <c r="K1156" t="s">
        <v>74</v>
      </c>
      <c r="L1156" t="s">
        <v>46</v>
      </c>
      <c r="N1156" t="s">
        <v>95</v>
      </c>
      <c r="O1156" t="s">
        <v>48</v>
      </c>
      <c r="P1156" t="s">
        <v>48</v>
      </c>
      <c r="Q1156" t="s">
        <v>48</v>
      </c>
      <c r="R1156" t="s">
        <v>5785</v>
      </c>
      <c r="S1156" t="s">
        <v>48</v>
      </c>
      <c r="T1156" t="s">
        <v>5786</v>
      </c>
      <c r="U1156" t="s">
        <v>5787</v>
      </c>
      <c r="V1156" t="s">
        <v>79</v>
      </c>
      <c r="W1156" t="s">
        <v>5788</v>
      </c>
      <c r="X1156" t="s">
        <v>100</v>
      </c>
      <c r="Y1156">
        <v>0</v>
      </c>
      <c r="Z1156" t="s">
        <v>129</v>
      </c>
    </row>
    <row r="1157" spans="1:26" ht="12.75" customHeight="1" x14ac:dyDescent="0.35">
      <c r="A1157">
        <v>1156</v>
      </c>
      <c r="B1157">
        <v>45899.39864053241</v>
      </c>
      <c r="D1157" t="s">
        <v>5789</v>
      </c>
      <c r="E1157" t="s">
        <v>5790</v>
      </c>
      <c r="F1157" t="s">
        <v>449</v>
      </c>
      <c r="G1157" t="s">
        <v>196</v>
      </c>
      <c r="H1157" t="s">
        <v>284</v>
      </c>
      <c r="I1157" t="s">
        <v>30</v>
      </c>
      <c r="J1157" t="s">
        <v>28</v>
      </c>
      <c r="K1157" t="s">
        <v>368</v>
      </c>
      <c r="L1157" t="s">
        <v>46</v>
      </c>
      <c r="N1157" t="s">
        <v>5791</v>
      </c>
      <c r="O1157" t="s">
        <v>49</v>
      </c>
      <c r="P1157" t="s">
        <v>48</v>
      </c>
      <c r="Q1157" t="s">
        <v>48</v>
      </c>
      <c r="R1157" t="s">
        <v>5792</v>
      </c>
      <c r="S1157" t="s">
        <v>48</v>
      </c>
      <c r="T1157" t="s">
        <v>5793</v>
      </c>
      <c r="U1157" t="s">
        <v>5794</v>
      </c>
      <c r="V1157" t="s">
        <v>53</v>
      </c>
      <c r="W1157" t="s">
        <v>5795</v>
      </c>
      <c r="X1157" t="s">
        <v>118</v>
      </c>
      <c r="Y1157" t="s">
        <v>56</v>
      </c>
      <c r="Z1157" t="s">
        <v>91</v>
      </c>
    </row>
    <row r="1158" spans="1:26" ht="12.75" customHeight="1" x14ac:dyDescent="0.35">
      <c r="A1158">
        <v>1157</v>
      </c>
      <c r="B1158">
        <v>45899.399314675931</v>
      </c>
      <c r="D1158" t="s">
        <v>5796</v>
      </c>
      <c r="E1158" t="s">
        <v>5702</v>
      </c>
      <c r="F1158" t="s">
        <v>344</v>
      </c>
      <c r="G1158" t="s">
        <v>72</v>
      </c>
      <c r="H1158" t="s">
        <v>60</v>
      </c>
      <c r="I1158" t="s">
        <v>158</v>
      </c>
      <c r="J1158" t="s">
        <v>173</v>
      </c>
      <c r="K1158" t="s">
        <v>45</v>
      </c>
      <c r="L1158" t="s">
        <v>36</v>
      </c>
      <c r="N1158" t="s">
        <v>1395</v>
      </c>
      <c r="O1158" t="s">
        <v>49</v>
      </c>
      <c r="P1158" t="s">
        <v>48</v>
      </c>
      <c r="Q1158" t="s">
        <v>49</v>
      </c>
      <c r="R1158" t="s">
        <v>5797</v>
      </c>
      <c r="S1158" t="s">
        <v>48</v>
      </c>
      <c r="T1158" t="s">
        <v>5798</v>
      </c>
      <c r="U1158" t="s">
        <v>5799</v>
      </c>
      <c r="V1158" t="s">
        <v>65</v>
      </c>
      <c r="W1158" t="s">
        <v>5800</v>
      </c>
      <c r="X1158" t="s">
        <v>2246</v>
      </c>
      <c r="Y1158" t="s">
        <v>56</v>
      </c>
      <c r="Z1158" t="s">
        <v>57</v>
      </c>
    </row>
    <row r="1159" spans="1:26" ht="12.75" customHeight="1" x14ac:dyDescent="0.35">
      <c r="A1159">
        <v>1158</v>
      </c>
      <c r="B1159">
        <v>45899.400085775458</v>
      </c>
      <c r="D1159" t="s">
        <v>5801</v>
      </c>
      <c r="E1159" t="s">
        <v>5778</v>
      </c>
      <c r="F1159" t="s">
        <v>344</v>
      </c>
      <c r="G1159" t="s">
        <v>72</v>
      </c>
      <c r="H1159" t="s">
        <v>284</v>
      </c>
      <c r="I1159" t="s">
        <v>173</v>
      </c>
      <c r="J1159" t="s">
        <v>45</v>
      </c>
      <c r="K1159" t="s">
        <v>74</v>
      </c>
      <c r="L1159" t="s">
        <v>46</v>
      </c>
      <c r="N1159" t="s">
        <v>1381</v>
      </c>
      <c r="O1159" t="s">
        <v>38</v>
      </c>
      <c r="P1159" t="s">
        <v>49</v>
      </c>
      <c r="Q1159" t="s">
        <v>48</v>
      </c>
      <c r="R1159" t="s">
        <v>5802</v>
      </c>
      <c r="S1159" t="s">
        <v>49</v>
      </c>
      <c r="T1159" t="s">
        <v>5803</v>
      </c>
      <c r="U1159" t="s">
        <v>5804</v>
      </c>
      <c r="V1159" t="s">
        <v>53</v>
      </c>
      <c r="W1159" t="s">
        <v>5805</v>
      </c>
      <c r="X1159" t="s">
        <v>2246</v>
      </c>
      <c r="Y1159">
        <v>0</v>
      </c>
      <c r="Z1159" t="s">
        <v>91</v>
      </c>
    </row>
    <row r="1160" spans="1:26" ht="12.75" customHeight="1" x14ac:dyDescent="0.35">
      <c r="A1160">
        <v>1159</v>
      </c>
      <c r="B1160">
        <v>45899.400779606483</v>
      </c>
      <c r="D1160" t="s">
        <v>5806</v>
      </c>
      <c r="E1160" t="s">
        <v>5590</v>
      </c>
      <c r="F1160" t="s">
        <v>344</v>
      </c>
      <c r="G1160" t="s">
        <v>197</v>
      </c>
      <c r="H1160" t="s">
        <v>157</v>
      </c>
      <c r="I1160" t="s">
        <v>34</v>
      </c>
      <c r="J1160" t="s">
        <v>173</v>
      </c>
      <c r="K1160" t="s">
        <v>61</v>
      </c>
      <c r="L1160" t="s">
        <v>36</v>
      </c>
      <c r="N1160" t="s">
        <v>1521</v>
      </c>
      <c r="O1160" t="s">
        <v>49</v>
      </c>
      <c r="P1160" t="s">
        <v>48</v>
      </c>
      <c r="Q1160" t="s">
        <v>48</v>
      </c>
      <c r="R1160" t="s">
        <v>5807</v>
      </c>
      <c r="S1160" t="s">
        <v>49</v>
      </c>
      <c r="T1160" t="s">
        <v>5808</v>
      </c>
      <c r="U1160" t="s">
        <v>5809</v>
      </c>
      <c r="V1160" t="s">
        <v>79</v>
      </c>
      <c r="W1160" t="s">
        <v>5810</v>
      </c>
      <c r="X1160" t="s">
        <v>1525</v>
      </c>
      <c r="Y1160" t="s">
        <v>56</v>
      </c>
      <c r="Z1160" t="s">
        <v>91</v>
      </c>
    </row>
    <row r="1161" spans="1:26" ht="12.75" customHeight="1" x14ac:dyDescent="0.35">
      <c r="A1161">
        <v>1160</v>
      </c>
      <c r="B1161">
        <v>45899.401436041662</v>
      </c>
      <c r="D1161" t="s">
        <v>5811</v>
      </c>
      <c r="E1161" t="s">
        <v>5689</v>
      </c>
      <c r="F1161" t="s">
        <v>449</v>
      </c>
      <c r="G1161" t="s">
        <v>158</v>
      </c>
      <c r="H1161" t="s">
        <v>206</v>
      </c>
      <c r="I1161" t="s">
        <v>197</v>
      </c>
      <c r="J1161" t="s">
        <v>94</v>
      </c>
      <c r="K1161" t="s">
        <v>292</v>
      </c>
      <c r="L1161" t="s">
        <v>46</v>
      </c>
      <c r="N1161" t="s">
        <v>4855</v>
      </c>
      <c r="O1161" t="s">
        <v>49</v>
      </c>
      <c r="P1161" t="s">
        <v>48</v>
      </c>
      <c r="Q1161" t="s">
        <v>48</v>
      </c>
      <c r="R1161" t="s">
        <v>5812</v>
      </c>
      <c r="S1161" t="s">
        <v>49</v>
      </c>
      <c r="T1161" t="s">
        <v>5813</v>
      </c>
      <c r="U1161" t="s">
        <v>5814</v>
      </c>
      <c r="V1161" t="s">
        <v>79</v>
      </c>
      <c r="W1161" t="s">
        <v>5815</v>
      </c>
      <c r="X1161" t="s">
        <v>1030</v>
      </c>
      <c r="Y1161">
        <v>0</v>
      </c>
      <c r="Z1161" t="s">
        <v>91</v>
      </c>
    </row>
    <row r="1162" spans="1:26" ht="12.75" customHeight="1" x14ac:dyDescent="0.35">
      <c r="A1162">
        <v>1161</v>
      </c>
      <c r="B1162">
        <v>45899.402102453707</v>
      </c>
      <c r="D1162" t="s">
        <v>5816</v>
      </c>
      <c r="E1162" t="s">
        <v>5638</v>
      </c>
      <c r="F1162" t="s">
        <v>29</v>
      </c>
      <c r="G1162" t="s">
        <v>60</v>
      </c>
      <c r="H1162" t="s">
        <v>44</v>
      </c>
      <c r="I1162" t="s">
        <v>196</v>
      </c>
      <c r="J1162" t="s">
        <v>94</v>
      </c>
      <c r="K1162" t="s">
        <v>368</v>
      </c>
      <c r="L1162" t="s">
        <v>46</v>
      </c>
      <c r="N1162" t="s">
        <v>5817</v>
      </c>
      <c r="O1162" t="s">
        <v>49</v>
      </c>
      <c r="P1162" t="s">
        <v>48</v>
      </c>
      <c r="Q1162" t="s">
        <v>49</v>
      </c>
      <c r="R1162" t="s">
        <v>5818</v>
      </c>
      <c r="S1162" t="s">
        <v>48</v>
      </c>
      <c r="T1162" t="s">
        <v>5819</v>
      </c>
      <c r="U1162" t="s">
        <v>5820</v>
      </c>
      <c r="V1162" t="s">
        <v>65</v>
      </c>
      <c r="W1162" t="s">
        <v>5821</v>
      </c>
      <c r="X1162" t="s">
        <v>5822</v>
      </c>
      <c r="Y1162" t="s">
        <v>56</v>
      </c>
      <c r="Z1162" t="s">
        <v>129</v>
      </c>
    </row>
    <row r="1163" spans="1:26" ht="12.75" customHeight="1" x14ac:dyDescent="0.35">
      <c r="A1163">
        <v>1162</v>
      </c>
      <c r="B1163">
        <v>45899.40276975694</v>
      </c>
      <c r="D1163" t="s">
        <v>5823</v>
      </c>
      <c r="E1163" t="s">
        <v>5738</v>
      </c>
      <c r="F1163" t="s">
        <v>449</v>
      </c>
      <c r="G1163" t="s">
        <v>197</v>
      </c>
      <c r="H1163" t="s">
        <v>284</v>
      </c>
      <c r="I1163" t="s">
        <v>197</v>
      </c>
      <c r="J1163" t="s">
        <v>30</v>
      </c>
      <c r="K1163" t="s">
        <v>35</v>
      </c>
      <c r="L1163" t="s">
        <v>36</v>
      </c>
      <c r="N1163" t="s">
        <v>1718</v>
      </c>
      <c r="O1163" t="s">
        <v>49</v>
      </c>
      <c r="P1163" t="s">
        <v>48</v>
      </c>
      <c r="Q1163" t="s">
        <v>49</v>
      </c>
      <c r="R1163" t="s">
        <v>5824</v>
      </c>
      <c r="S1163" t="s">
        <v>48</v>
      </c>
      <c r="T1163" t="s">
        <v>5825</v>
      </c>
      <c r="U1163" t="s">
        <v>5826</v>
      </c>
      <c r="V1163" t="s">
        <v>65</v>
      </c>
      <c r="W1163" t="s">
        <v>5827</v>
      </c>
      <c r="X1163" t="s">
        <v>1722</v>
      </c>
      <c r="Y1163">
        <v>0</v>
      </c>
      <c r="Z1163" t="s">
        <v>57</v>
      </c>
    </row>
    <row r="1164" spans="1:26" ht="12.75" customHeight="1" x14ac:dyDescent="0.35">
      <c r="A1164">
        <v>1163</v>
      </c>
      <c r="B1164">
        <v>45899.403408587961</v>
      </c>
      <c r="D1164" t="s">
        <v>5828</v>
      </c>
      <c r="E1164" t="s">
        <v>5668</v>
      </c>
      <c r="F1164" t="s">
        <v>71</v>
      </c>
      <c r="G1164" t="s">
        <v>72</v>
      </c>
      <c r="H1164" t="s">
        <v>28</v>
      </c>
      <c r="I1164" t="s">
        <v>28</v>
      </c>
      <c r="J1164" t="s">
        <v>173</v>
      </c>
      <c r="K1164" t="s">
        <v>28</v>
      </c>
      <c r="L1164" t="s">
        <v>46</v>
      </c>
      <c r="N1164" t="s">
        <v>5829</v>
      </c>
      <c r="O1164" t="s">
        <v>49</v>
      </c>
      <c r="P1164" t="s">
        <v>49</v>
      </c>
      <c r="Q1164" t="s">
        <v>49</v>
      </c>
      <c r="R1164" t="s">
        <v>5830</v>
      </c>
      <c r="S1164" t="s">
        <v>48</v>
      </c>
      <c r="T1164" t="s">
        <v>5831</v>
      </c>
      <c r="U1164" t="s">
        <v>5832</v>
      </c>
      <c r="V1164" t="s">
        <v>87</v>
      </c>
      <c r="W1164" t="s">
        <v>5833</v>
      </c>
      <c r="X1164" t="s">
        <v>118</v>
      </c>
      <c r="Y1164">
        <v>0</v>
      </c>
      <c r="Z1164" t="s">
        <v>170</v>
      </c>
    </row>
    <row r="1165" spans="1:26" ht="12.75" customHeight="1" x14ac:dyDescent="0.35">
      <c r="A1165">
        <v>1164</v>
      </c>
      <c r="B1165">
        <v>45899.40405582176</v>
      </c>
      <c r="D1165" t="s">
        <v>5834</v>
      </c>
      <c r="E1165" t="s">
        <v>5727</v>
      </c>
      <c r="F1165" t="s">
        <v>71</v>
      </c>
      <c r="G1165" t="s">
        <v>197</v>
      </c>
      <c r="H1165" t="s">
        <v>60</v>
      </c>
      <c r="I1165" t="s">
        <v>196</v>
      </c>
      <c r="J1165" t="s">
        <v>173</v>
      </c>
      <c r="K1165" t="s">
        <v>74</v>
      </c>
      <c r="L1165" t="s">
        <v>36</v>
      </c>
      <c r="N1165" t="s">
        <v>5835</v>
      </c>
      <c r="O1165" t="s">
        <v>48</v>
      </c>
      <c r="P1165" t="s">
        <v>49</v>
      </c>
      <c r="Q1165" t="s">
        <v>48</v>
      </c>
      <c r="R1165" t="s">
        <v>5836</v>
      </c>
      <c r="S1165" t="s">
        <v>49</v>
      </c>
      <c r="T1165" t="s">
        <v>5837</v>
      </c>
      <c r="U1165" t="s">
        <v>5838</v>
      </c>
      <c r="V1165" t="s">
        <v>65</v>
      </c>
      <c r="W1165" t="s">
        <v>5839</v>
      </c>
      <c r="X1165" t="s">
        <v>89</v>
      </c>
      <c r="Y1165" t="s">
        <v>56</v>
      </c>
      <c r="Z1165" t="s">
        <v>129</v>
      </c>
    </row>
    <row r="1166" spans="1:26" ht="12.75" customHeight="1" x14ac:dyDescent="0.35">
      <c r="A1166">
        <v>1165</v>
      </c>
      <c r="B1166">
        <v>45899.404678553241</v>
      </c>
      <c r="D1166" t="s">
        <v>5840</v>
      </c>
      <c r="E1166" t="s">
        <v>5682</v>
      </c>
      <c r="F1166" t="s">
        <v>449</v>
      </c>
      <c r="G1166" t="s">
        <v>197</v>
      </c>
      <c r="H1166" t="s">
        <v>157</v>
      </c>
      <c r="I1166" t="s">
        <v>103</v>
      </c>
      <c r="J1166" t="s">
        <v>30</v>
      </c>
      <c r="K1166" t="s">
        <v>94</v>
      </c>
      <c r="L1166" t="s">
        <v>36</v>
      </c>
      <c r="N1166" t="s">
        <v>5841</v>
      </c>
      <c r="O1166" t="s">
        <v>49</v>
      </c>
      <c r="P1166" t="s">
        <v>48</v>
      </c>
      <c r="Q1166" t="s">
        <v>49</v>
      </c>
      <c r="R1166" t="s">
        <v>5842</v>
      </c>
      <c r="S1166" t="s">
        <v>48</v>
      </c>
      <c r="T1166" t="s">
        <v>5843</v>
      </c>
      <c r="U1166" t="s">
        <v>5844</v>
      </c>
      <c r="V1166" t="s">
        <v>79</v>
      </c>
      <c r="W1166" t="s">
        <v>5845</v>
      </c>
      <c r="X1166" t="s">
        <v>118</v>
      </c>
      <c r="Y1166">
        <v>0</v>
      </c>
      <c r="Z1166" t="s">
        <v>91</v>
      </c>
    </row>
    <row r="1167" spans="1:26" ht="12.75" customHeight="1" x14ac:dyDescent="0.35">
      <c r="A1167">
        <v>1166</v>
      </c>
      <c r="B1167">
        <v>45899.405299756945</v>
      </c>
      <c r="D1167" t="s">
        <v>5846</v>
      </c>
      <c r="E1167" t="s">
        <v>5638</v>
      </c>
      <c r="F1167" t="s">
        <v>377</v>
      </c>
      <c r="G1167" t="s">
        <v>197</v>
      </c>
      <c r="H1167" t="s">
        <v>60</v>
      </c>
      <c r="I1167" t="s">
        <v>158</v>
      </c>
      <c r="J1167" t="s">
        <v>30</v>
      </c>
      <c r="K1167" t="s">
        <v>74</v>
      </c>
      <c r="L1167" t="s">
        <v>46</v>
      </c>
      <c r="N1167" t="s">
        <v>5847</v>
      </c>
      <c r="O1167" t="s">
        <v>48</v>
      </c>
      <c r="P1167" t="s">
        <v>49</v>
      </c>
      <c r="Q1167" t="s">
        <v>48</v>
      </c>
      <c r="R1167" t="s">
        <v>5848</v>
      </c>
      <c r="S1167" t="s">
        <v>49</v>
      </c>
      <c r="T1167" t="s">
        <v>5849</v>
      </c>
      <c r="U1167" t="s">
        <v>5850</v>
      </c>
      <c r="V1167" t="s">
        <v>65</v>
      </c>
      <c r="W1167" t="s">
        <v>5851</v>
      </c>
      <c r="X1167" t="s">
        <v>89</v>
      </c>
      <c r="Y1167" t="s">
        <v>56</v>
      </c>
      <c r="Z1167" t="s">
        <v>129</v>
      </c>
    </row>
    <row r="1168" spans="1:26" ht="12.75" customHeight="1" x14ac:dyDescent="0.35">
      <c r="A1168">
        <v>1167</v>
      </c>
      <c r="B1168">
        <v>45899.405909108798</v>
      </c>
      <c r="D1168" t="s">
        <v>5852</v>
      </c>
      <c r="E1168" t="s">
        <v>5656</v>
      </c>
      <c r="F1168" t="s">
        <v>449</v>
      </c>
      <c r="G1168" t="s">
        <v>44</v>
      </c>
      <c r="H1168" t="s">
        <v>28</v>
      </c>
      <c r="I1168" t="s">
        <v>34</v>
      </c>
      <c r="J1168" t="s">
        <v>173</v>
      </c>
      <c r="K1168" t="s">
        <v>292</v>
      </c>
      <c r="L1168" t="s">
        <v>46</v>
      </c>
      <c r="N1168" t="s">
        <v>5853</v>
      </c>
      <c r="O1168" t="s">
        <v>49</v>
      </c>
      <c r="P1168" t="s">
        <v>49</v>
      </c>
      <c r="Q1168" t="s">
        <v>48</v>
      </c>
      <c r="R1168" t="s">
        <v>5854</v>
      </c>
      <c r="S1168" t="s">
        <v>49</v>
      </c>
      <c r="T1168" t="s">
        <v>5855</v>
      </c>
      <c r="U1168" t="s">
        <v>5856</v>
      </c>
      <c r="V1168" t="s">
        <v>135</v>
      </c>
      <c r="W1168" t="s">
        <v>5857</v>
      </c>
      <c r="X1168" t="s">
        <v>89</v>
      </c>
      <c r="Y1168">
        <v>0</v>
      </c>
      <c r="Z1168" t="s">
        <v>91</v>
      </c>
    </row>
    <row r="1169" spans="1:26" ht="12.75" customHeight="1" x14ac:dyDescent="0.35">
      <c r="A1169">
        <v>1168</v>
      </c>
      <c r="B1169">
        <v>45899.406662199079</v>
      </c>
      <c r="D1169" t="s">
        <v>5858</v>
      </c>
      <c r="E1169" t="s">
        <v>5720</v>
      </c>
      <c r="F1169" t="s">
        <v>449</v>
      </c>
      <c r="G1169" t="s">
        <v>72</v>
      </c>
      <c r="H1169" t="s">
        <v>157</v>
      </c>
      <c r="I1169" t="s">
        <v>103</v>
      </c>
      <c r="J1169" t="s">
        <v>30</v>
      </c>
      <c r="K1169" t="s">
        <v>368</v>
      </c>
      <c r="L1169" t="s">
        <v>36</v>
      </c>
      <c r="N1169" t="s">
        <v>5859</v>
      </c>
      <c r="O1169" t="s">
        <v>49</v>
      </c>
      <c r="P1169" t="s">
        <v>38</v>
      </c>
      <c r="Q1169" t="s">
        <v>49</v>
      </c>
      <c r="R1169" t="s">
        <v>5860</v>
      </c>
      <c r="S1169" t="s">
        <v>48</v>
      </c>
      <c r="T1169" t="s">
        <v>5861</v>
      </c>
      <c r="U1169" t="s">
        <v>5862</v>
      </c>
      <c r="V1169" t="s">
        <v>53</v>
      </c>
      <c r="W1169" t="s">
        <v>5863</v>
      </c>
      <c r="X1169" t="s">
        <v>5864</v>
      </c>
      <c r="Y1169" t="s">
        <v>56</v>
      </c>
      <c r="Z1169" t="s">
        <v>91</v>
      </c>
    </row>
    <row r="1170" spans="1:26" ht="12.75" customHeight="1" x14ac:dyDescent="0.35">
      <c r="A1170">
        <v>1169</v>
      </c>
      <c r="B1170">
        <v>45899.40727200231</v>
      </c>
      <c r="D1170" t="s">
        <v>5865</v>
      </c>
      <c r="E1170" t="s">
        <v>5727</v>
      </c>
      <c r="F1170" t="s">
        <v>44</v>
      </c>
      <c r="G1170" t="s">
        <v>196</v>
      </c>
      <c r="H1170" t="s">
        <v>206</v>
      </c>
      <c r="I1170" t="s">
        <v>196</v>
      </c>
      <c r="J1170" t="s">
        <v>73</v>
      </c>
      <c r="K1170" t="s">
        <v>368</v>
      </c>
      <c r="L1170" t="s">
        <v>46</v>
      </c>
      <c r="N1170" t="s">
        <v>304</v>
      </c>
      <c r="O1170" t="s">
        <v>49</v>
      </c>
      <c r="P1170" t="s">
        <v>48</v>
      </c>
      <c r="Q1170" t="s">
        <v>38</v>
      </c>
      <c r="R1170" t="s">
        <v>5866</v>
      </c>
      <c r="S1170" t="s">
        <v>48</v>
      </c>
      <c r="T1170" t="s">
        <v>5867</v>
      </c>
      <c r="U1170" t="s">
        <v>5868</v>
      </c>
      <c r="V1170" t="s">
        <v>65</v>
      </c>
      <c r="W1170" t="s">
        <v>5869</v>
      </c>
      <c r="X1170" t="s">
        <v>109</v>
      </c>
      <c r="Y1170">
        <v>0</v>
      </c>
      <c r="Z1170" t="s">
        <v>129</v>
      </c>
    </row>
    <row r="1171" spans="1:26" ht="12.75" customHeight="1" x14ac:dyDescent="0.35">
      <c r="A1171">
        <v>1170</v>
      </c>
      <c r="B1171">
        <v>45899.445038344908</v>
      </c>
      <c r="D1171" t="s">
        <v>5870</v>
      </c>
      <c r="E1171" t="s">
        <v>5871</v>
      </c>
      <c r="F1171" t="s">
        <v>33</v>
      </c>
      <c r="G1171" t="s">
        <v>29</v>
      </c>
      <c r="H1171" t="s">
        <v>29</v>
      </c>
      <c r="I1171" t="s">
        <v>30</v>
      </c>
      <c r="J1171" t="s">
        <v>30</v>
      </c>
      <c r="K1171" t="s">
        <v>61</v>
      </c>
      <c r="L1171" t="s">
        <v>36</v>
      </c>
      <c r="N1171" t="s">
        <v>442</v>
      </c>
      <c r="O1171" t="s">
        <v>49</v>
      </c>
      <c r="P1171" t="s">
        <v>48</v>
      </c>
      <c r="Q1171" t="s">
        <v>49</v>
      </c>
      <c r="R1171" t="s">
        <v>5872</v>
      </c>
      <c r="S1171" t="s">
        <v>48</v>
      </c>
      <c r="T1171" t="s">
        <v>5873</v>
      </c>
      <c r="U1171" t="s">
        <v>5874</v>
      </c>
      <c r="V1171" t="s">
        <v>87</v>
      </c>
      <c r="W1171" t="s">
        <v>5875</v>
      </c>
      <c r="X1171" t="s">
        <v>603</v>
      </c>
      <c r="Y1171" t="s">
        <v>5876</v>
      </c>
      <c r="Z1171" t="s">
        <v>91</v>
      </c>
    </row>
    <row r="1172" spans="1:26" ht="12.75" customHeight="1" x14ac:dyDescent="0.35">
      <c r="A1172">
        <v>1171</v>
      </c>
      <c r="B1172">
        <v>45899.447914201388</v>
      </c>
      <c r="D1172" t="s">
        <v>5877</v>
      </c>
      <c r="E1172" t="s">
        <v>5878</v>
      </c>
      <c r="F1172" t="s">
        <v>33</v>
      </c>
      <c r="G1172" t="s">
        <v>33</v>
      </c>
      <c r="H1172" t="s">
        <v>33</v>
      </c>
      <c r="I1172" t="s">
        <v>34</v>
      </c>
      <c r="J1172" t="s">
        <v>34</v>
      </c>
      <c r="K1172" t="s">
        <v>74</v>
      </c>
      <c r="L1172" t="s">
        <v>46</v>
      </c>
      <c r="N1172" t="s">
        <v>5545</v>
      </c>
      <c r="O1172" t="s">
        <v>48</v>
      </c>
      <c r="P1172" t="s">
        <v>48</v>
      </c>
      <c r="Q1172" t="s">
        <v>49</v>
      </c>
      <c r="R1172" t="s">
        <v>5879</v>
      </c>
      <c r="S1172" t="s">
        <v>48</v>
      </c>
      <c r="T1172" t="s">
        <v>5880</v>
      </c>
      <c r="U1172" t="s">
        <v>5881</v>
      </c>
      <c r="V1172" t="s">
        <v>65</v>
      </c>
      <c r="W1172" t="s">
        <v>5882</v>
      </c>
      <c r="X1172" t="s">
        <v>2077</v>
      </c>
      <c r="Y1172" t="s">
        <v>5883</v>
      </c>
      <c r="Z1172" t="s">
        <v>129</v>
      </c>
    </row>
    <row r="1173" spans="1:26" ht="12.75" customHeight="1" x14ac:dyDescent="0.35">
      <c r="A1173">
        <v>1172</v>
      </c>
      <c r="B1173">
        <v>45899.449044039357</v>
      </c>
      <c r="D1173" t="s">
        <v>5884</v>
      </c>
      <c r="E1173" t="s">
        <v>5885</v>
      </c>
      <c r="F1173" t="s">
        <v>33</v>
      </c>
      <c r="G1173" t="s">
        <v>29</v>
      </c>
      <c r="H1173" t="s">
        <v>29</v>
      </c>
      <c r="I1173" t="s">
        <v>34</v>
      </c>
      <c r="J1173" t="s">
        <v>103</v>
      </c>
      <c r="K1173" t="s">
        <v>61</v>
      </c>
      <c r="L1173" t="s">
        <v>46</v>
      </c>
      <c r="N1173" t="s">
        <v>5886</v>
      </c>
      <c r="O1173" t="s">
        <v>48</v>
      </c>
      <c r="P1173" t="s">
        <v>48</v>
      </c>
      <c r="Q1173" t="s">
        <v>49</v>
      </c>
      <c r="R1173" t="s">
        <v>5887</v>
      </c>
      <c r="S1173" t="s">
        <v>49</v>
      </c>
      <c r="T1173" t="s">
        <v>5888</v>
      </c>
      <c r="U1173" t="s">
        <v>5889</v>
      </c>
      <c r="V1173" t="s">
        <v>53</v>
      </c>
      <c r="W1173" t="s">
        <v>5890</v>
      </c>
      <c r="X1173" t="s">
        <v>5891</v>
      </c>
      <c r="Y1173" t="s">
        <v>5892</v>
      </c>
      <c r="Z1173" t="s">
        <v>129</v>
      </c>
    </row>
    <row r="1174" spans="1:26" ht="12.75" customHeight="1" x14ac:dyDescent="0.35">
      <c r="A1174">
        <v>1173</v>
      </c>
      <c r="B1174">
        <v>45899.451960115737</v>
      </c>
      <c r="D1174" t="s">
        <v>5893</v>
      </c>
      <c r="E1174" t="s">
        <v>5894</v>
      </c>
      <c r="F1174" t="s">
        <v>33</v>
      </c>
      <c r="G1174" t="s">
        <v>33</v>
      </c>
      <c r="H1174" t="s">
        <v>29</v>
      </c>
      <c r="I1174" t="s">
        <v>34</v>
      </c>
      <c r="J1174" t="s">
        <v>34</v>
      </c>
      <c r="K1174" t="s">
        <v>292</v>
      </c>
      <c r="L1174" t="s">
        <v>46</v>
      </c>
      <c r="N1174" t="s">
        <v>5895</v>
      </c>
      <c r="O1174" t="s">
        <v>49</v>
      </c>
      <c r="P1174" t="s">
        <v>48</v>
      </c>
      <c r="Q1174" t="s">
        <v>48</v>
      </c>
      <c r="R1174" t="s">
        <v>5896</v>
      </c>
      <c r="S1174" t="s">
        <v>49</v>
      </c>
      <c r="T1174" t="s">
        <v>5897</v>
      </c>
      <c r="U1174" t="s">
        <v>5898</v>
      </c>
      <c r="V1174" t="s">
        <v>65</v>
      </c>
      <c r="W1174" t="s">
        <v>5899</v>
      </c>
      <c r="X1174" t="s">
        <v>81</v>
      </c>
      <c r="Y1174" t="s">
        <v>5900</v>
      </c>
      <c r="Z1174" t="s">
        <v>129</v>
      </c>
    </row>
    <row r="1175" spans="1:26" ht="12.75" customHeight="1" x14ac:dyDescent="0.35">
      <c r="A1175">
        <v>1174</v>
      </c>
      <c r="B1175">
        <v>45899.45309221065</v>
      </c>
      <c r="D1175" t="s">
        <v>5901</v>
      </c>
      <c r="E1175" t="s">
        <v>5266</v>
      </c>
      <c r="F1175" t="s">
        <v>33</v>
      </c>
      <c r="G1175" t="s">
        <v>33</v>
      </c>
      <c r="H1175" t="s">
        <v>29</v>
      </c>
      <c r="I1175" t="s">
        <v>30</v>
      </c>
      <c r="J1175" t="s">
        <v>103</v>
      </c>
      <c r="K1175" t="s">
        <v>61</v>
      </c>
      <c r="L1175" t="s">
        <v>36</v>
      </c>
      <c r="N1175" t="s">
        <v>5902</v>
      </c>
      <c r="O1175" t="s">
        <v>49</v>
      </c>
      <c r="P1175" t="s">
        <v>48</v>
      </c>
      <c r="Q1175" t="s">
        <v>48</v>
      </c>
      <c r="R1175" t="s">
        <v>5903</v>
      </c>
      <c r="S1175" t="s">
        <v>38</v>
      </c>
      <c r="T1175" t="s">
        <v>5904</v>
      </c>
      <c r="U1175" t="s">
        <v>5905</v>
      </c>
      <c r="V1175" t="s">
        <v>53</v>
      </c>
      <c r="W1175" t="s">
        <v>5906</v>
      </c>
      <c r="X1175" t="s">
        <v>2077</v>
      </c>
      <c r="Y1175" t="s">
        <v>5907</v>
      </c>
      <c r="Z1175" t="s">
        <v>129</v>
      </c>
    </row>
    <row r="1176" spans="1:26" ht="12.75" customHeight="1" x14ac:dyDescent="0.35">
      <c r="A1176">
        <v>1175</v>
      </c>
      <c r="B1176">
        <v>45899.464527557866</v>
      </c>
      <c r="D1176" t="s">
        <v>5908</v>
      </c>
      <c r="E1176" t="s">
        <v>5286</v>
      </c>
      <c r="F1176" t="s">
        <v>44</v>
      </c>
      <c r="G1176" t="s">
        <v>33</v>
      </c>
      <c r="H1176" t="s">
        <v>33</v>
      </c>
      <c r="I1176" t="s">
        <v>30</v>
      </c>
      <c r="J1176" t="s">
        <v>30</v>
      </c>
      <c r="K1176" t="s">
        <v>35</v>
      </c>
      <c r="L1176" t="s">
        <v>46</v>
      </c>
      <c r="N1176" t="s">
        <v>5909</v>
      </c>
      <c r="O1176" t="s">
        <v>49</v>
      </c>
      <c r="P1176" t="s">
        <v>49</v>
      </c>
      <c r="Q1176" t="s">
        <v>48</v>
      </c>
      <c r="R1176" t="s">
        <v>5910</v>
      </c>
      <c r="S1176" t="s">
        <v>48</v>
      </c>
      <c r="T1176" t="s">
        <v>5911</v>
      </c>
      <c r="U1176" t="s">
        <v>5912</v>
      </c>
      <c r="V1176" t="s">
        <v>87</v>
      </c>
      <c r="W1176" t="s">
        <v>5913</v>
      </c>
      <c r="X1176" t="s">
        <v>100</v>
      </c>
      <c r="Y1176" t="s">
        <v>5914</v>
      </c>
      <c r="Z1176" t="s">
        <v>129</v>
      </c>
    </row>
    <row r="1177" spans="1:26" ht="12.75" customHeight="1" x14ac:dyDescent="0.35">
      <c r="A1177">
        <v>1176</v>
      </c>
      <c r="B1177">
        <v>45899.466529791665</v>
      </c>
      <c r="D1177" t="s">
        <v>5915</v>
      </c>
      <c r="E1177" t="s">
        <v>5916</v>
      </c>
      <c r="F1177" t="s">
        <v>60</v>
      </c>
      <c r="G1177" t="s">
        <v>33</v>
      </c>
      <c r="H1177" t="s">
        <v>33</v>
      </c>
      <c r="I1177" t="s">
        <v>34</v>
      </c>
      <c r="J1177" t="s">
        <v>34</v>
      </c>
      <c r="K1177" t="s">
        <v>74</v>
      </c>
      <c r="L1177" t="s">
        <v>36</v>
      </c>
      <c r="N1177" t="s">
        <v>375</v>
      </c>
      <c r="O1177" t="s">
        <v>48</v>
      </c>
      <c r="P1177" t="s">
        <v>48</v>
      </c>
      <c r="Q1177" t="s">
        <v>48</v>
      </c>
      <c r="R1177" t="s">
        <v>5917</v>
      </c>
      <c r="S1177" t="s">
        <v>48</v>
      </c>
      <c r="T1177" t="s">
        <v>5918</v>
      </c>
      <c r="U1177" t="s">
        <v>5919</v>
      </c>
      <c r="V1177" t="s">
        <v>65</v>
      </c>
      <c r="W1177" t="s">
        <v>5920</v>
      </c>
      <c r="X1177" t="s">
        <v>81</v>
      </c>
      <c r="Y1177" t="s">
        <v>5921</v>
      </c>
      <c r="Z1177" t="s">
        <v>91</v>
      </c>
    </row>
    <row r="1178" spans="1:26" ht="12.75" customHeight="1" x14ac:dyDescent="0.35">
      <c r="A1178">
        <v>1177</v>
      </c>
      <c r="B1178">
        <v>45899.46851244213</v>
      </c>
      <c r="D1178" t="s">
        <v>5922</v>
      </c>
      <c r="E1178" t="s">
        <v>5923</v>
      </c>
      <c r="F1178" t="s">
        <v>33</v>
      </c>
      <c r="G1178" t="s">
        <v>33</v>
      </c>
      <c r="H1178" t="s">
        <v>33</v>
      </c>
      <c r="I1178" t="s">
        <v>34</v>
      </c>
      <c r="J1178" t="s">
        <v>30</v>
      </c>
      <c r="K1178" t="s">
        <v>35</v>
      </c>
      <c r="L1178" t="s">
        <v>46</v>
      </c>
      <c r="N1178" t="s">
        <v>605</v>
      </c>
      <c r="O1178" t="s">
        <v>49</v>
      </c>
      <c r="P1178" t="s">
        <v>48</v>
      </c>
      <c r="Q1178" t="s">
        <v>48</v>
      </c>
      <c r="R1178" t="s">
        <v>5924</v>
      </c>
      <c r="S1178" t="s">
        <v>48</v>
      </c>
      <c r="T1178" t="s">
        <v>5925</v>
      </c>
      <c r="U1178" t="s">
        <v>5926</v>
      </c>
      <c r="V1178" t="s">
        <v>87</v>
      </c>
      <c r="W1178" t="s">
        <v>5927</v>
      </c>
      <c r="X1178" t="s">
        <v>603</v>
      </c>
      <c r="Y1178" t="s">
        <v>5928</v>
      </c>
      <c r="Z1178" t="s">
        <v>57</v>
      </c>
    </row>
    <row r="1179" spans="1:26" ht="12.75" customHeight="1" x14ac:dyDescent="0.35">
      <c r="A1179">
        <v>1178</v>
      </c>
      <c r="B1179">
        <v>45899.604022187501</v>
      </c>
      <c r="D1179" t="s">
        <v>5929</v>
      </c>
      <c r="E1179" t="s">
        <v>172</v>
      </c>
      <c r="F1179" t="s">
        <v>33</v>
      </c>
      <c r="G1179" t="s">
        <v>33</v>
      </c>
      <c r="H1179" t="s">
        <v>33</v>
      </c>
      <c r="I1179" t="s">
        <v>30</v>
      </c>
      <c r="J1179" t="s">
        <v>34</v>
      </c>
      <c r="K1179" t="s">
        <v>74</v>
      </c>
      <c r="L1179" t="s">
        <v>46</v>
      </c>
      <c r="N1179" t="s">
        <v>5886</v>
      </c>
      <c r="O1179" t="s">
        <v>48</v>
      </c>
      <c r="P1179" t="s">
        <v>49</v>
      </c>
      <c r="Q1179" t="s">
        <v>48</v>
      </c>
      <c r="R1179" t="s">
        <v>5930</v>
      </c>
      <c r="S1179" t="s">
        <v>49</v>
      </c>
      <c r="T1179" t="s">
        <v>5931</v>
      </c>
      <c r="U1179" t="s">
        <v>5932</v>
      </c>
      <c r="V1179" t="s">
        <v>135</v>
      </c>
      <c r="W1179" t="s">
        <v>5933</v>
      </c>
      <c r="X1179" t="s">
        <v>100</v>
      </c>
      <c r="Y1179" t="s">
        <v>5934</v>
      </c>
      <c r="Z1179" t="s">
        <v>91</v>
      </c>
    </row>
    <row r="1180" spans="1:26" ht="12.75" customHeight="1" x14ac:dyDescent="0.35">
      <c r="A1180">
        <v>1179</v>
      </c>
      <c r="B1180">
        <v>45899.607269953704</v>
      </c>
      <c r="D1180" t="s">
        <v>5935</v>
      </c>
      <c r="E1180" t="s">
        <v>5435</v>
      </c>
      <c r="F1180" t="s">
        <v>33</v>
      </c>
      <c r="G1180" t="s">
        <v>29</v>
      </c>
      <c r="H1180" t="s">
        <v>29</v>
      </c>
      <c r="I1180" t="s">
        <v>34</v>
      </c>
      <c r="J1180" t="s">
        <v>34</v>
      </c>
      <c r="K1180" t="s">
        <v>61</v>
      </c>
      <c r="L1180" t="s">
        <v>36</v>
      </c>
      <c r="N1180" t="s">
        <v>5936</v>
      </c>
      <c r="O1180" t="s">
        <v>49</v>
      </c>
      <c r="P1180" t="s">
        <v>48</v>
      </c>
      <c r="Q1180" t="s">
        <v>48</v>
      </c>
      <c r="R1180" t="s">
        <v>5937</v>
      </c>
      <c r="S1180" t="s">
        <v>49</v>
      </c>
      <c r="T1180" t="s">
        <v>5938</v>
      </c>
      <c r="U1180" t="s">
        <v>5939</v>
      </c>
      <c r="V1180" t="s">
        <v>87</v>
      </c>
      <c r="W1180" t="s">
        <v>5940</v>
      </c>
      <c r="X1180" t="s">
        <v>603</v>
      </c>
      <c r="Y1180" t="s">
        <v>5941</v>
      </c>
      <c r="Z1180" t="s">
        <v>129</v>
      </c>
    </row>
    <row r="1181" spans="1:26" ht="12.75" customHeight="1" x14ac:dyDescent="0.35">
      <c r="A1181">
        <v>1180</v>
      </c>
      <c r="B1181">
        <v>45899.608549166667</v>
      </c>
      <c r="D1181" t="s">
        <v>5942</v>
      </c>
      <c r="E1181" t="s">
        <v>205</v>
      </c>
      <c r="F1181" t="s">
        <v>33</v>
      </c>
      <c r="G1181" t="s">
        <v>29</v>
      </c>
      <c r="H1181" t="s">
        <v>29</v>
      </c>
      <c r="I1181" t="s">
        <v>30</v>
      </c>
      <c r="J1181" t="s">
        <v>173</v>
      </c>
      <c r="K1181" t="s">
        <v>292</v>
      </c>
      <c r="L1181" t="s">
        <v>36</v>
      </c>
      <c r="N1181" t="s">
        <v>5943</v>
      </c>
      <c r="O1181" t="s">
        <v>48</v>
      </c>
      <c r="P1181" t="s">
        <v>48</v>
      </c>
      <c r="Q1181" t="s">
        <v>48</v>
      </c>
      <c r="R1181" t="s">
        <v>5944</v>
      </c>
      <c r="S1181" t="s">
        <v>49</v>
      </c>
      <c r="T1181" t="s">
        <v>5938</v>
      </c>
      <c r="U1181" t="s">
        <v>5945</v>
      </c>
      <c r="V1181" t="s">
        <v>79</v>
      </c>
      <c r="W1181" t="s">
        <v>5946</v>
      </c>
      <c r="X1181" t="s">
        <v>81</v>
      </c>
      <c r="Y1181" t="s">
        <v>5947</v>
      </c>
      <c r="Z1181" t="s">
        <v>129</v>
      </c>
    </row>
    <row r="1182" spans="1:26" ht="12.75" customHeight="1" x14ac:dyDescent="0.35">
      <c r="A1182">
        <v>1181</v>
      </c>
      <c r="B1182">
        <v>45899.611765243055</v>
      </c>
      <c r="D1182" t="s">
        <v>5948</v>
      </c>
      <c r="E1182" t="s">
        <v>5266</v>
      </c>
      <c r="F1182" t="s">
        <v>29</v>
      </c>
      <c r="G1182" t="s">
        <v>33</v>
      </c>
      <c r="H1182" t="s">
        <v>29</v>
      </c>
      <c r="I1182" t="s">
        <v>34</v>
      </c>
      <c r="J1182" t="s">
        <v>30</v>
      </c>
      <c r="K1182" t="s">
        <v>292</v>
      </c>
      <c r="L1182" t="s">
        <v>46</v>
      </c>
      <c r="N1182" t="s">
        <v>5538</v>
      </c>
      <c r="O1182" t="s">
        <v>49</v>
      </c>
      <c r="P1182" t="s">
        <v>48</v>
      </c>
      <c r="Q1182" t="s">
        <v>49</v>
      </c>
      <c r="R1182" t="s">
        <v>5949</v>
      </c>
      <c r="S1182" t="s">
        <v>48</v>
      </c>
      <c r="T1182" t="s">
        <v>5950</v>
      </c>
      <c r="U1182" t="s">
        <v>5951</v>
      </c>
      <c r="V1182" t="s">
        <v>87</v>
      </c>
      <c r="W1182" t="s">
        <v>5952</v>
      </c>
      <c r="X1182" t="s">
        <v>2077</v>
      </c>
      <c r="Y1182" t="s">
        <v>5953</v>
      </c>
      <c r="Z1182" t="s">
        <v>91</v>
      </c>
    </row>
    <row r="1183" spans="1:26" ht="12.75" customHeight="1" x14ac:dyDescent="0.35">
      <c r="A1183">
        <v>1182</v>
      </c>
      <c r="B1183">
        <v>45899.612882893518</v>
      </c>
      <c r="D1183" t="s">
        <v>5954</v>
      </c>
      <c r="E1183" t="s">
        <v>5263</v>
      </c>
      <c r="F1183" t="s">
        <v>33</v>
      </c>
      <c r="G1183" t="s">
        <v>29</v>
      </c>
      <c r="H1183" t="s">
        <v>60</v>
      </c>
      <c r="I1183" t="s">
        <v>173</v>
      </c>
      <c r="J1183" t="s">
        <v>28</v>
      </c>
      <c r="K1183" t="s">
        <v>292</v>
      </c>
      <c r="L1183" t="s">
        <v>36</v>
      </c>
      <c r="N1183" t="s">
        <v>5955</v>
      </c>
      <c r="O1183" t="s">
        <v>49</v>
      </c>
      <c r="P1183" t="s">
        <v>48</v>
      </c>
      <c r="Q1183" t="s">
        <v>48</v>
      </c>
      <c r="R1183" t="s">
        <v>5956</v>
      </c>
      <c r="S1183" t="s">
        <v>38</v>
      </c>
      <c r="T1183" t="s">
        <v>5957</v>
      </c>
      <c r="U1183" t="s">
        <v>5958</v>
      </c>
      <c r="V1183" t="s">
        <v>65</v>
      </c>
      <c r="W1183" t="s">
        <v>5959</v>
      </c>
      <c r="X1183" t="s">
        <v>100</v>
      </c>
      <c r="Y1183" t="s">
        <v>5960</v>
      </c>
      <c r="Z1183" t="s">
        <v>91</v>
      </c>
    </row>
    <row r="1184" spans="1:26" ht="12.75" customHeight="1" x14ac:dyDescent="0.35">
      <c r="A1184">
        <v>1183</v>
      </c>
      <c r="B1184">
        <v>45899.614963020838</v>
      </c>
      <c r="D1184" t="s">
        <v>5961</v>
      </c>
      <c r="E1184" t="s">
        <v>5327</v>
      </c>
      <c r="F1184" t="s">
        <v>44</v>
      </c>
      <c r="G1184" t="s">
        <v>29</v>
      </c>
      <c r="H1184" t="s">
        <v>60</v>
      </c>
      <c r="I1184" t="s">
        <v>103</v>
      </c>
      <c r="J1184" t="s">
        <v>103</v>
      </c>
      <c r="K1184" t="s">
        <v>74</v>
      </c>
      <c r="L1184" t="s">
        <v>46</v>
      </c>
      <c r="N1184" t="s">
        <v>5936</v>
      </c>
      <c r="O1184" t="s">
        <v>48</v>
      </c>
      <c r="P1184" t="s">
        <v>48</v>
      </c>
      <c r="Q1184" t="s">
        <v>48</v>
      </c>
      <c r="R1184" t="s">
        <v>5962</v>
      </c>
      <c r="S1184" t="s">
        <v>49</v>
      </c>
      <c r="T1184" t="s">
        <v>5963</v>
      </c>
      <c r="U1184" t="s">
        <v>5964</v>
      </c>
      <c r="V1184" t="s">
        <v>65</v>
      </c>
      <c r="W1184" t="s">
        <v>5965</v>
      </c>
      <c r="X1184" t="s">
        <v>603</v>
      </c>
      <c r="Y1184" t="s">
        <v>5966</v>
      </c>
      <c r="Z1184" t="s">
        <v>129</v>
      </c>
    </row>
    <row r="1185" spans="1:26" ht="12.75" customHeight="1" x14ac:dyDescent="0.35">
      <c r="A1185">
        <v>1184</v>
      </c>
      <c r="B1185">
        <v>45899.616845543977</v>
      </c>
      <c r="D1185" t="s">
        <v>5967</v>
      </c>
      <c r="E1185" t="s">
        <v>5272</v>
      </c>
      <c r="F1185" t="s">
        <v>33</v>
      </c>
      <c r="G1185" t="s">
        <v>33</v>
      </c>
      <c r="H1185" t="s">
        <v>33</v>
      </c>
      <c r="I1185" t="s">
        <v>34</v>
      </c>
      <c r="J1185" t="s">
        <v>34</v>
      </c>
      <c r="K1185" t="s">
        <v>61</v>
      </c>
      <c r="L1185" t="s">
        <v>36</v>
      </c>
      <c r="N1185" t="s">
        <v>5968</v>
      </c>
      <c r="O1185" t="s">
        <v>48</v>
      </c>
      <c r="P1185" t="s">
        <v>49</v>
      </c>
      <c r="Q1185" t="s">
        <v>49</v>
      </c>
      <c r="R1185" t="s">
        <v>5969</v>
      </c>
      <c r="S1185" t="s">
        <v>49</v>
      </c>
      <c r="T1185" t="s">
        <v>5970</v>
      </c>
      <c r="U1185" t="s">
        <v>5971</v>
      </c>
      <c r="V1185" t="s">
        <v>65</v>
      </c>
      <c r="W1185" t="s">
        <v>5972</v>
      </c>
      <c r="X1185" t="s">
        <v>81</v>
      </c>
      <c r="Y1185" t="s">
        <v>5973</v>
      </c>
      <c r="Z1185" t="s">
        <v>129</v>
      </c>
    </row>
    <row r="1186" spans="1:26" ht="12.75" customHeight="1" x14ac:dyDescent="0.35">
      <c r="A1186">
        <v>1185</v>
      </c>
      <c r="B1186">
        <v>45899.619542800923</v>
      </c>
      <c r="D1186" t="s">
        <v>5259</v>
      </c>
      <c r="E1186" t="s">
        <v>172</v>
      </c>
      <c r="F1186" t="s">
        <v>33</v>
      </c>
      <c r="G1186" t="s">
        <v>60</v>
      </c>
      <c r="H1186" t="s">
        <v>33</v>
      </c>
      <c r="I1186" t="s">
        <v>173</v>
      </c>
      <c r="J1186" t="s">
        <v>103</v>
      </c>
      <c r="K1186" t="s">
        <v>292</v>
      </c>
      <c r="L1186" t="s">
        <v>46</v>
      </c>
      <c r="N1186" t="s">
        <v>5974</v>
      </c>
      <c r="O1186" t="s">
        <v>48</v>
      </c>
      <c r="P1186" t="s">
        <v>48</v>
      </c>
      <c r="Q1186" t="s">
        <v>49</v>
      </c>
      <c r="R1186" t="s">
        <v>5975</v>
      </c>
      <c r="S1186" t="s">
        <v>48</v>
      </c>
      <c r="T1186" t="s">
        <v>5976</v>
      </c>
      <c r="U1186" t="s">
        <v>5977</v>
      </c>
      <c r="V1186" t="s">
        <v>65</v>
      </c>
      <c r="W1186" t="s">
        <v>5978</v>
      </c>
      <c r="X1186" t="s">
        <v>2077</v>
      </c>
      <c r="Y1186" t="s">
        <v>5979</v>
      </c>
      <c r="Z1186" t="s">
        <v>91</v>
      </c>
    </row>
    <row r="1187" spans="1:26" ht="12.75" customHeight="1" x14ac:dyDescent="0.35">
      <c r="A1187">
        <v>1186</v>
      </c>
      <c r="B1187">
        <v>45899.712753599539</v>
      </c>
      <c r="D1187" t="s">
        <v>5980</v>
      </c>
      <c r="E1187" t="s">
        <v>5266</v>
      </c>
      <c r="F1187" t="s">
        <v>33</v>
      </c>
      <c r="G1187" t="s">
        <v>33</v>
      </c>
      <c r="H1187" t="s">
        <v>33</v>
      </c>
      <c r="I1187" t="s">
        <v>34</v>
      </c>
      <c r="J1187" t="s">
        <v>30</v>
      </c>
      <c r="K1187" t="s">
        <v>35</v>
      </c>
      <c r="L1187" t="s">
        <v>36</v>
      </c>
      <c r="N1187" t="s">
        <v>5981</v>
      </c>
      <c r="O1187" t="s">
        <v>48</v>
      </c>
      <c r="P1187" t="s">
        <v>49</v>
      </c>
      <c r="Q1187" t="s">
        <v>48</v>
      </c>
      <c r="R1187" t="s">
        <v>5982</v>
      </c>
      <c r="S1187" t="s">
        <v>49</v>
      </c>
      <c r="T1187" t="s">
        <v>5983</v>
      </c>
      <c r="U1187" t="s">
        <v>5984</v>
      </c>
      <c r="V1187" t="s">
        <v>53</v>
      </c>
      <c r="W1187" t="s">
        <v>5985</v>
      </c>
      <c r="X1187" t="s">
        <v>100</v>
      </c>
      <c r="Y1187" t="s">
        <v>5986</v>
      </c>
      <c r="Z1187" t="s">
        <v>91</v>
      </c>
    </row>
    <row r="1188" spans="1:26" ht="12.75" customHeight="1" x14ac:dyDescent="0.35">
      <c r="A1188">
        <v>1187</v>
      </c>
      <c r="B1188">
        <v>45899.715401168985</v>
      </c>
      <c r="D1188" t="s">
        <v>5987</v>
      </c>
      <c r="E1188" t="s">
        <v>205</v>
      </c>
      <c r="F1188" t="s">
        <v>33</v>
      </c>
      <c r="G1188" t="s">
        <v>33</v>
      </c>
      <c r="H1188" t="s">
        <v>33</v>
      </c>
      <c r="I1188" t="s">
        <v>34</v>
      </c>
      <c r="J1188" t="s">
        <v>30</v>
      </c>
      <c r="K1188" t="s">
        <v>35</v>
      </c>
      <c r="L1188" t="s">
        <v>46</v>
      </c>
      <c r="N1188" t="s">
        <v>5902</v>
      </c>
      <c r="O1188" t="s">
        <v>49</v>
      </c>
      <c r="P1188" t="s">
        <v>48</v>
      </c>
      <c r="Q1188" t="s">
        <v>48</v>
      </c>
      <c r="R1188" t="s">
        <v>5988</v>
      </c>
      <c r="S1188" t="s">
        <v>49</v>
      </c>
      <c r="T1188" t="s">
        <v>5989</v>
      </c>
      <c r="U1188" t="s">
        <v>5990</v>
      </c>
      <c r="V1188" t="s">
        <v>65</v>
      </c>
      <c r="W1188" t="s">
        <v>5991</v>
      </c>
      <c r="X1188" t="s">
        <v>2077</v>
      </c>
      <c r="Y1188" t="s">
        <v>5992</v>
      </c>
      <c r="Z1188" t="s">
        <v>129</v>
      </c>
    </row>
    <row r="1189" spans="1:26" ht="12.75" customHeight="1" x14ac:dyDescent="0.35">
      <c r="A1189">
        <v>1188</v>
      </c>
      <c r="B1189">
        <v>45899.717143182876</v>
      </c>
      <c r="D1189" t="s">
        <v>5993</v>
      </c>
      <c r="E1189" t="s">
        <v>5286</v>
      </c>
      <c r="F1189" t="s">
        <v>44</v>
      </c>
      <c r="G1189" t="s">
        <v>33</v>
      </c>
      <c r="H1189" t="s">
        <v>33</v>
      </c>
      <c r="I1189" t="s">
        <v>30</v>
      </c>
      <c r="J1189" t="s">
        <v>34</v>
      </c>
      <c r="K1189" t="s">
        <v>74</v>
      </c>
      <c r="L1189" t="s">
        <v>36</v>
      </c>
      <c r="N1189" t="s">
        <v>5994</v>
      </c>
      <c r="O1189" t="s">
        <v>49</v>
      </c>
      <c r="P1189" t="s">
        <v>48</v>
      </c>
      <c r="Q1189" t="s">
        <v>48</v>
      </c>
      <c r="R1189" t="s">
        <v>5988</v>
      </c>
      <c r="S1189" t="s">
        <v>38</v>
      </c>
      <c r="T1189" t="s">
        <v>5995</v>
      </c>
      <c r="U1189" t="s">
        <v>5990</v>
      </c>
      <c r="V1189" t="s">
        <v>79</v>
      </c>
      <c r="W1189" t="s">
        <v>5996</v>
      </c>
      <c r="X1189" t="s">
        <v>81</v>
      </c>
      <c r="Y1189" t="s">
        <v>5997</v>
      </c>
      <c r="Z1189" t="s">
        <v>129</v>
      </c>
    </row>
    <row r="1190" spans="1:26" ht="12.75" customHeight="1" x14ac:dyDescent="0.35">
      <c r="A1190">
        <v>1189</v>
      </c>
      <c r="B1190">
        <v>45899.728824907404</v>
      </c>
      <c r="D1190" t="s">
        <v>5998</v>
      </c>
      <c r="E1190" t="s">
        <v>84</v>
      </c>
      <c r="F1190" t="s">
        <v>44</v>
      </c>
      <c r="G1190" t="s">
        <v>44</v>
      </c>
      <c r="H1190" t="s">
        <v>33</v>
      </c>
      <c r="I1190" t="s">
        <v>34</v>
      </c>
      <c r="J1190" t="s">
        <v>34</v>
      </c>
      <c r="K1190" t="s">
        <v>292</v>
      </c>
      <c r="L1190" t="s">
        <v>46</v>
      </c>
      <c r="N1190" t="s">
        <v>5999</v>
      </c>
      <c r="O1190" t="s">
        <v>48</v>
      </c>
      <c r="P1190" t="s">
        <v>48</v>
      </c>
      <c r="Q1190" t="s">
        <v>48</v>
      </c>
      <c r="R1190" t="s">
        <v>6000</v>
      </c>
      <c r="S1190" t="s">
        <v>48</v>
      </c>
      <c r="T1190" t="s">
        <v>6001</v>
      </c>
      <c r="U1190" t="s">
        <v>6002</v>
      </c>
      <c r="V1190" t="s">
        <v>65</v>
      </c>
      <c r="W1190" t="s">
        <v>6003</v>
      </c>
      <c r="X1190" t="s">
        <v>603</v>
      </c>
      <c r="Y1190" t="s">
        <v>6004</v>
      </c>
      <c r="Z1190" t="s">
        <v>91</v>
      </c>
    </row>
    <row r="1191" spans="1:26" ht="12.75" customHeight="1" x14ac:dyDescent="0.35">
      <c r="A1191">
        <v>1190</v>
      </c>
      <c r="B1191">
        <v>45899.730435173609</v>
      </c>
      <c r="D1191" t="s">
        <v>6005</v>
      </c>
      <c r="E1191" t="s">
        <v>5272</v>
      </c>
      <c r="F1191" t="s">
        <v>44</v>
      </c>
      <c r="G1191" t="s">
        <v>33</v>
      </c>
      <c r="H1191" t="s">
        <v>33</v>
      </c>
      <c r="I1191" t="s">
        <v>30</v>
      </c>
      <c r="J1191" t="s">
        <v>30</v>
      </c>
      <c r="K1191" t="s">
        <v>35</v>
      </c>
      <c r="L1191" t="s">
        <v>36</v>
      </c>
      <c r="N1191" t="s">
        <v>6006</v>
      </c>
      <c r="O1191" t="s">
        <v>49</v>
      </c>
      <c r="P1191" t="s">
        <v>48</v>
      </c>
      <c r="Q1191" t="s">
        <v>48</v>
      </c>
      <c r="R1191" t="s">
        <v>6007</v>
      </c>
      <c r="S1191" t="s">
        <v>49</v>
      </c>
      <c r="T1191" t="s">
        <v>6008</v>
      </c>
      <c r="U1191" t="s">
        <v>6009</v>
      </c>
      <c r="V1191" t="s">
        <v>65</v>
      </c>
      <c r="W1191" t="s">
        <v>6010</v>
      </c>
      <c r="X1191" t="s">
        <v>100</v>
      </c>
      <c r="Y1191" t="s">
        <v>6011</v>
      </c>
      <c r="Z1191" t="s">
        <v>129</v>
      </c>
    </row>
    <row r="1192" spans="1:26" ht="12.75" customHeight="1" x14ac:dyDescent="0.35">
      <c r="A1192">
        <v>1191</v>
      </c>
      <c r="B1192">
        <v>45899.732013865738</v>
      </c>
      <c r="D1192" t="s">
        <v>6012</v>
      </c>
      <c r="E1192" t="s">
        <v>172</v>
      </c>
      <c r="F1192" t="s">
        <v>60</v>
      </c>
      <c r="G1192" t="s">
        <v>33</v>
      </c>
      <c r="H1192" t="s">
        <v>33</v>
      </c>
      <c r="I1192" t="s">
        <v>34</v>
      </c>
      <c r="J1192" t="s">
        <v>34</v>
      </c>
      <c r="K1192" t="s">
        <v>74</v>
      </c>
      <c r="L1192" t="s">
        <v>46</v>
      </c>
      <c r="N1192" t="s">
        <v>6013</v>
      </c>
      <c r="O1192" t="s">
        <v>48</v>
      </c>
      <c r="P1192" t="s">
        <v>48</v>
      </c>
      <c r="Q1192" t="s">
        <v>49</v>
      </c>
      <c r="R1192" t="s">
        <v>6014</v>
      </c>
      <c r="S1192" t="s">
        <v>48</v>
      </c>
      <c r="T1192" t="s">
        <v>6015</v>
      </c>
      <c r="U1192" t="s">
        <v>6016</v>
      </c>
      <c r="V1192" t="s">
        <v>65</v>
      </c>
      <c r="W1192" t="s">
        <v>6017</v>
      </c>
      <c r="X1192" t="s">
        <v>2077</v>
      </c>
      <c r="Y1192" t="s">
        <v>6018</v>
      </c>
      <c r="Z1192" t="s">
        <v>129</v>
      </c>
    </row>
    <row r="1193" spans="1:26" ht="12.75" customHeight="1" x14ac:dyDescent="0.35">
      <c r="A1193">
        <v>1192</v>
      </c>
      <c r="B1193">
        <v>45899.733989687498</v>
      </c>
      <c r="D1193" t="s">
        <v>6019</v>
      </c>
      <c r="E1193" t="s">
        <v>5266</v>
      </c>
      <c r="F1193" t="s">
        <v>33</v>
      </c>
      <c r="G1193" t="s">
        <v>33</v>
      </c>
      <c r="H1193" t="s">
        <v>33</v>
      </c>
      <c r="I1193" t="s">
        <v>34</v>
      </c>
      <c r="J1193" t="s">
        <v>34</v>
      </c>
      <c r="K1193" t="s">
        <v>74</v>
      </c>
      <c r="L1193" t="s">
        <v>36</v>
      </c>
      <c r="N1193" t="s">
        <v>6020</v>
      </c>
      <c r="O1193" t="s">
        <v>40</v>
      </c>
      <c r="P1193" t="s">
        <v>38</v>
      </c>
      <c r="Q1193" t="s">
        <v>48</v>
      </c>
      <c r="R1193" t="s">
        <v>6021</v>
      </c>
      <c r="S1193" t="s">
        <v>48</v>
      </c>
      <c r="T1193" t="s">
        <v>6022</v>
      </c>
      <c r="U1193" t="s">
        <v>6023</v>
      </c>
      <c r="V1193" t="s">
        <v>65</v>
      </c>
      <c r="W1193" t="s">
        <v>6024</v>
      </c>
      <c r="X1193" t="s">
        <v>81</v>
      </c>
      <c r="Y1193" t="s">
        <v>6025</v>
      </c>
      <c r="Z1193" t="s">
        <v>129</v>
      </c>
    </row>
    <row r="1194" spans="1:26" ht="12.75" customHeight="1" x14ac:dyDescent="0.35">
      <c r="A1194">
        <v>1193</v>
      </c>
      <c r="B1194">
        <v>45901.429098958339</v>
      </c>
      <c r="D1194" t="s">
        <v>6026</v>
      </c>
      <c r="E1194" t="s">
        <v>448</v>
      </c>
      <c r="F1194" t="s">
        <v>44</v>
      </c>
      <c r="G1194" t="s">
        <v>28</v>
      </c>
      <c r="H1194" t="s">
        <v>28</v>
      </c>
      <c r="I1194" t="s">
        <v>28</v>
      </c>
      <c r="J1194" t="s">
        <v>28</v>
      </c>
      <c r="K1194" t="s">
        <v>28</v>
      </c>
      <c r="L1194" t="s">
        <v>36</v>
      </c>
      <c r="N1194" t="s">
        <v>375</v>
      </c>
      <c r="O1194" t="s">
        <v>38</v>
      </c>
      <c r="P1194" t="s">
        <v>49</v>
      </c>
      <c r="Q1194" t="s">
        <v>49</v>
      </c>
      <c r="R1194" t="s">
        <v>6027</v>
      </c>
      <c r="S1194" t="s">
        <v>38</v>
      </c>
      <c r="T1194" t="s">
        <v>6028</v>
      </c>
      <c r="U1194" t="s">
        <v>6029</v>
      </c>
      <c r="V1194" t="s">
        <v>53</v>
      </c>
      <c r="W1194" t="s">
        <v>6030</v>
      </c>
      <c r="X1194" t="s">
        <v>81</v>
      </c>
      <c r="Y1194" t="s">
        <v>56</v>
      </c>
      <c r="Z1194" t="s">
        <v>129</v>
      </c>
    </row>
    <row r="1195" spans="1:26" ht="12.75" customHeight="1" x14ac:dyDescent="0.35">
      <c r="A1195">
        <v>1194</v>
      </c>
      <c r="B1195">
        <v>45901.431705277777</v>
      </c>
      <c r="D1195" t="s">
        <v>6031</v>
      </c>
      <c r="E1195" t="s">
        <v>448</v>
      </c>
      <c r="F1195" t="s">
        <v>44</v>
      </c>
      <c r="G1195" t="s">
        <v>44</v>
      </c>
      <c r="H1195" t="s">
        <v>28</v>
      </c>
      <c r="I1195" t="s">
        <v>28</v>
      </c>
      <c r="J1195" t="s">
        <v>28</v>
      </c>
      <c r="K1195" t="s">
        <v>45</v>
      </c>
      <c r="L1195" t="s">
        <v>46</v>
      </c>
      <c r="N1195" t="s">
        <v>375</v>
      </c>
      <c r="O1195" t="s">
        <v>49</v>
      </c>
      <c r="P1195" t="s">
        <v>49</v>
      </c>
      <c r="Q1195" t="s">
        <v>38</v>
      </c>
      <c r="R1195" t="s">
        <v>6032</v>
      </c>
      <c r="S1195" t="s">
        <v>38</v>
      </c>
      <c r="T1195" t="s">
        <v>5931</v>
      </c>
      <c r="U1195" t="s">
        <v>6033</v>
      </c>
      <c r="V1195" t="s">
        <v>53</v>
      </c>
      <c r="W1195" t="s">
        <v>6034</v>
      </c>
      <c r="X1195" t="s">
        <v>81</v>
      </c>
      <c r="Y1195" t="s">
        <v>56</v>
      </c>
      <c r="Z1195" t="s">
        <v>129</v>
      </c>
    </row>
    <row r="1196" spans="1:26" ht="12.75" customHeight="1" x14ac:dyDescent="0.35">
      <c r="A1196">
        <v>1195</v>
      </c>
      <c r="B1196">
        <v>45901.434940231484</v>
      </c>
      <c r="D1196" t="s">
        <v>6035</v>
      </c>
      <c r="E1196" t="s">
        <v>6036</v>
      </c>
      <c r="F1196" t="s">
        <v>28</v>
      </c>
      <c r="G1196" t="s">
        <v>44</v>
      </c>
      <c r="H1196" t="s">
        <v>44</v>
      </c>
      <c r="I1196" t="s">
        <v>28</v>
      </c>
      <c r="J1196" t="s">
        <v>103</v>
      </c>
      <c r="K1196" t="s">
        <v>28</v>
      </c>
      <c r="L1196" t="s">
        <v>46</v>
      </c>
      <c r="N1196" t="s">
        <v>494</v>
      </c>
      <c r="O1196" t="s">
        <v>38</v>
      </c>
      <c r="P1196" t="s">
        <v>49</v>
      </c>
      <c r="Q1196" t="s">
        <v>38</v>
      </c>
      <c r="R1196" t="s">
        <v>6037</v>
      </c>
      <c r="S1196" t="s">
        <v>38</v>
      </c>
      <c r="T1196" t="s">
        <v>6038</v>
      </c>
      <c r="U1196" t="s">
        <v>5938</v>
      </c>
      <c r="V1196" t="s">
        <v>87</v>
      </c>
      <c r="W1196" t="s">
        <v>6039</v>
      </c>
      <c r="X1196" t="s">
        <v>81</v>
      </c>
      <c r="Y1196" t="s">
        <v>56</v>
      </c>
      <c r="Z1196" t="s">
        <v>129</v>
      </c>
    </row>
    <row r="1197" spans="1:26" ht="12.75" customHeight="1" x14ac:dyDescent="0.35">
      <c r="A1197">
        <v>1196</v>
      </c>
      <c r="B1197">
        <v>45901.445342013889</v>
      </c>
      <c r="D1197" t="s">
        <v>597</v>
      </c>
      <c r="E1197" t="s">
        <v>6040</v>
      </c>
      <c r="F1197" t="s">
        <v>28</v>
      </c>
      <c r="G1197" t="s">
        <v>44</v>
      </c>
      <c r="H1197" t="s">
        <v>44</v>
      </c>
      <c r="I1197" t="s">
        <v>28</v>
      </c>
      <c r="J1197" t="s">
        <v>103</v>
      </c>
      <c r="K1197" t="s">
        <v>28</v>
      </c>
      <c r="L1197" t="s">
        <v>46</v>
      </c>
      <c r="N1197" t="s">
        <v>6041</v>
      </c>
      <c r="O1197" t="s">
        <v>40</v>
      </c>
      <c r="P1197" t="s">
        <v>38</v>
      </c>
      <c r="Q1197" t="s">
        <v>38</v>
      </c>
      <c r="R1197" t="s">
        <v>6042</v>
      </c>
      <c r="S1197" t="s">
        <v>38</v>
      </c>
      <c r="T1197" t="s">
        <v>106</v>
      </c>
      <c r="U1197" t="s">
        <v>106</v>
      </c>
      <c r="V1197" t="s">
        <v>87</v>
      </c>
      <c r="W1197" t="s">
        <v>6043</v>
      </c>
      <c r="X1197" t="s">
        <v>81</v>
      </c>
      <c r="Y1197" t="s">
        <v>56</v>
      </c>
      <c r="Z1197" t="s">
        <v>91</v>
      </c>
    </row>
    <row r="1198" spans="1:26" ht="12.75" customHeight="1" x14ac:dyDescent="0.35">
      <c r="A1198">
        <v>1197</v>
      </c>
      <c r="B1198">
        <v>45901.455603796298</v>
      </c>
      <c r="D1198" t="s">
        <v>6044</v>
      </c>
      <c r="E1198" t="s">
        <v>433</v>
      </c>
      <c r="F1198" t="s">
        <v>44</v>
      </c>
      <c r="G1198" t="s">
        <v>28</v>
      </c>
      <c r="H1198" t="s">
        <v>28</v>
      </c>
      <c r="I1198" t="s">
        <v>28</v>
      </c>
      <c r="J1198" t="s">
        <v>28</v>
      </c>
      <c r="K1198" t="s">
        <v>28</v>
      </c>
      <c r="L1198" t="s">
        <v>36</v>
      </c>
      <c r="N1198" t="s">
        <v>6045</v>
      </c>
      <c r="O1198" t="s">
        <v>49</v>
      </c>
      <c r="P1198" t="s">
        <v>49</v>
      </c>
      <c r="Q1198" t="s">
        <v>49</v>
      </c>
      <c r="R1198" t="s">
        <v>6046</v>
      </c>
      <c r="S1198" t="s">
        <v>49</v>
      </c>
      <c r="T1198" t="s">
        <v>6047</v>
      </c>
      <c r="U1198" t="s">
        <v>56</v>
      </c>
      <c r="V1198" t="s">
        <v>87</v>
      </c>
      <c r="W1198" t="s">
        <v>6048</v>
      </c>
      <c r="X1198" t="s">
        <v>81</v>
      </c>
      <c r="Y1198" t="s">
        <v>56</v>
      </c>
      <c r="Z1198" t="s">
        <v>129</v>
      </c>
    </row>
    <row r="1199" spans="1:26" ht="12.75" customHeight="1" x14ac:dyDescent="0.35">
      <c r="A1199">
        <v>1198</v>
      </c>
      <c r="B1199">
        <v>45901.457008356483</v>
      </c>
      <c r="D1199" t="s">
        <v>6049</v>
      </c>
      <c r="E1199" t="s">
        <v>448</v>
      </c>
      <c r="F1199" t="s">
        <v>28</v>
      </c>
      <c r="G1199" t="s">
        <v>197</v>
      </c>
      <c r="H1199" t="s">
        <v>157</v>
      </c>
      <c r="I1199" t="s">
        <v>103</v>
      </c>
      <c r="J1199" t="s">
        <v>103</v>
      </c>
      <c r="K1199" t="s">
        <v>368</v>
      </c>
      <c r="L1199" t="s">
        <v>46</v>
      </c>
      <c r="N1199" t="s">
        <v>6045</v>
      </c>
      <c r="O1199" t="s">
        <v>49</v>
      </c>
      <c r="P1199" t="s">
        <v>49</v>
      </c>
      <c r="Q1199" t="s">
        <v>38</v>
      </c>
      <c r="R1199" t="s">
        <v>56</v>
      </c>
      <c r="S1199" t="s">
        <v>49</v>
      </c>
      <c r="T1199" t="s">
        <v>56</v>
      </c>
      <c r="U1199" t="s">
        <v>56</v>
      </c>
      <c r="V1199" t="s">
        <v>87</v>
      </c>
      <c r="W1199" t="s">
        <v>6050</v>
      </c>
      <c r="X1199" t="s">
        <v>81</v>
      </c>
      <c r="Y1199" t="s">
        <v>56</v>
      </c>
      <c r="Z1199" t="s">
        <v>129</v>
      </c>
    </row>
    <row r="1200" spans="1:26" ht="12.75" customHeight="1" x14ac:dyDescent="0.35">
      <c r="A1200">
        <v>1199</v>
      </c>
      <c r="B1200">
        <v>45901.459680243061</v>
      </c>
      <c r="D1200" t="s">
        <v>6051</v>
      </c>
      <c r="E1200" t="s">
        <v>6052</v>
      </c>
      <c r="F1200" t="s">
        <v>60</v>
      </c>
      <c r="G1200" t="s">
        <v>44</v>
      </c>
      <c r="H1200" t="s">
        <v>44</v>
      </c>
      <c r="I1200" t="s">
        <v>173</v>
      </c>
      <c r="J1200" t="s">
        <v>173</v>
      </c>
      <c r="K1200" t="s">
        <v>35</v>
      </c>
      <c r="L1200" t="s">
        <v>36</v>
      </c>
      <c r="N1200" t="s">
        <v>6045</v>
      </c>
      <c r="O1200" t="s">
        <v>38</v>
      </c>
      <c r="P1200" t="s">
        <v>38</v>
      </c>
      <c r="Q1200" t="s">
        <v>40</v>
      </c>
      <c r="R1200" t="s">
        <v>6053</v>
      </c>
      <c r="S1200" t="s">
        <v>38</v>
      </c>
      <c r="T1200" t="s">
        <v>6054</v>
      </c>
      <c r="U1200" t="s">
        <v>6055</v>
      </c>
      <c r="V1200" t="s">
        <v>53</v>
      </c>
      <c r="W1200" t="s">
        <v>6056</v>
      </c>
      <c r="X1200" t="s">
        <v>81</v>
      </c>
      <c r="Y1200" t="s">
        <v>56</v>
      </c>
      <c r="Z1200" t="s">
        <v>129</v>
      </c>
    </row>
    <row r="1201" spans="1:26" ht="12.75" customHeight="1" x14ac:dyDescent="0.35">
      <c r="A1201">
        <v>1200</v>
      </c>
      <c r="B1201">
        <v>45901.463033356486</v>
      </c>
      <c r="D1201" t="s">
        <v>6057</v>
      </c>
      <c r="E1201" t="s">
        <v>6058</v>
      </c>
      <c r="F1201" t="s">
        <v>28</v>
      </c>
      <c r="G1201" t="s">
        <v>158</v>
      </c>
      <c r="H1201" t="s">
        <v>157</v>
      </c>
      <c r="I1201" t="s">
        <v>28</v>
      </c>
      <c r="J1201" t="s">
        <v>103</v>
      </c>
      <c r="K1201" t="s">
        <v>28</v>
      </c>
      <c r="L1201" t="s">
        <v>36</v>
      </c>
      <c r="N1201" t="s">
        <v>494</v>
      </c>
      <c r="O1201" t="s">
        <v>40</v>
      </c>
      <c r="P1201" t="s">
        <v>38</v>
      </c>
      <c r="Q1201" t="s">
        <v>40</v>
      </c>
      <c r="R1201" t="s">
        <v>6059</v>
      </c>
      <c r="S1201" t="s">
        <v>40</v>
      </c>
      <c r="V1201" t="s">
        <v>87</v>
      </c>
      <c r="W1201" t="s">
        <v>6060</v>
      </c>
      <c r="X1201" t="s">
        <v>81</v>
      </c>
      <c r="Y1201" t="s">
        <v>56</v>
      </c>
      <c r="Z1201" t="s">
        <v>129</v>
      </c>
    </row>
    <row r="1202" spans="1:26" ht="12.75" customHeight="1" x14ac:dyDescent="0.35">
      <c r="A1202">
        <v>1201</v>
      </c>
      <c r="B1202">
        <v>45901.465086898148</v>
      </c>
      <c r="D1202" t="s">
        <v>6061</v>
      </c>
      <c r="E1202" t="s">
        <v>6040</v>
      </c>
      <c r="F1202" t="s">
        <v>44</v>
      </c>
      <c r="G1202" t="s">
        <v>28</v>
      </c>
      <c r="H1202" t="s">
        <v>28</v>
      </c>
      <c r="I1202" t="s">
        <v>28</v>
      </c>
      <c r="J1202" t="s">
        <v>28</v>
      </c>
      <c r="K1202" t="s">
        <v>28</v>
      </c>
      <c r="L1202" t="s">
        <v>46</v>
      </c>
      <c r="N1202" t="s">
        <v>494</v>
      </c>
      <c r="O1202" t="s">
        <v>38</v>
      </c>
      <c r="P1202" t="s">
        <v>38</v>
      </c>
      <c r="Q1202" t="s">
        <v>38</v>
      </c>
      <c r="R1202" t="s">
        <v>6062</v>
      </c>
      <c r="S1202" t="s">
        <v>49</v>
      </c>
      <c r="T1202" t="s">
        <v>6063</v>
      </c>
      <c r="V1202" t="s">
        <v>53</v>
      </c>
      <c r="W1202" t="s">
        <v>6064</v>
      </c>
      <c r="X1202" t="s">
        <v>81</v>
      </c>
      <c r="Y1202" t="s">
        <v>56</v>
      </c>
      <c r="Z1202" t="s">
        <v>129</v>
      </c>
    </row>
    <row r="1203" spans="1:26" ht="12.75" customHeight="1" x14ac:dyDescent="0.35">
      <c r="A1203">
        <v>1202</v>
      </c>
      <c r="B1203">
        <v>45901.467844409723</v>
      </c>
      <c r="D1203" t="s">
        <v>6065</v>
      </c>
      <c r="E1203" t="s">
        <v>433</v>
      </c>
      <c r="F1203" t="s">
        <v>44</v>
      </c>
      <c r="G1203" t="s">
        <v>28</v>
      </c>
      <c r="H1203" t="s">
        <v>44</v>
      </c>
      <c r="I1203" t="s">
        <v>173</v>
      </c>
      <c r="J1203" t="s">
        <v>103</v>
      </c>
      <c r="K1203" t="s">
        <v>28</v>
      </c>
      <c r="L1203" t="s">
        <v>46</v>
      </c>
      <c r="N1203" t="s">
        <v>375</v>
      </c>
      <c r="O1203" t="s">
        <v>38</v>
      </c>
      <c r="Q1203" t="s">
        <v>38</v>
      </c>
      <c r="S1203" t="s">
        <v>38</v>
      </c>
      <c r="V1203" t="s">
        <v>53</v>
      </c>
      <c r="W1203" t="s">
        <v>6066</v>
      </c>
      <c r="X1203" t="s">
        <v>81</v>
      </c>
      <c r="Y1203" t="s">
        <v>56</v>
      </c>
      <c r="Z1203" t="s">
        <v>129</v>
      </c>
    </row>
    <row r="1204" spans="1:26" ht="12.75" customHeight="1" x14ac:dyDescent="0.35">
      <c r="A1204">
        <v>1203</v>
      </c>
      <c r="B1204">
        <v>45901.471003888888</v>
      </c>
      <c r="D1204" t="s">
        <v>6067</v>
      </c>
      <c r="E1204" t="s">
        <v>6068</v>
      </c>
      <c r="F1204" t="s">
        <v>28</v>
      </c>
      <c r="G1204" t="s">
        <v>158</v>
      </c>
      <c r="H1204" t="s">
        <v>44</v>
      </c>
      <c r="I1204" t="s">
        <v>158</v>
      </c>
      <c r="J1204" t="s">
        <v>173</v>
      </c>
      <c r="K1204" t="s">
        <v>292</v>
      </c>
      <c r="L1204" t="s">
        <v>36</v>
      </c>
      <c r="N1204" t="s">
        <v>6069</v>
      </c>
      <c r="O1204" t="s">
        <v>49</v>
      </c>
      <c r="P1204" t="s">
        <v>40</v>
      </c>
      <c r="Q1204" t="s">
        <v>49</v>
      </c>
      <c r="R1204" t="s">
        <v>6070</v>
      </c>
      <c r="S1204" t="s">
        <v>49</v>
      </c>
      <c r="T1204" t="s">
        <v>5365</v>
      </c>
      <c r="U1204" t="s">
        <v>6071</v>
      </c>
      <c r="V1204" t="s">
        <v>87</v>
      </c>
      <c r="W1204" t="s">
        <v>6072</v>
      </c>
      <c r="X1204" t="s">
        <v>81</v>
      </c>
      <c r="Y1204" t="s">
        <v>56</v>
      </c>
      <c r="Z1204" t="s">
        <v>129</v>
      </c>
    </row>
  </sheetData>
  <pageMargins left="0.7" right="0.7" top="0.75" bottom="0.75" header="0.3" footer="0.3"/>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04"/>
  <sheetViews>
    <sheetView topLeftCell="E1" workbookViewId="0">
      <selection sqref="A1:F9"/>
    </sheetView>
  </sheetViews>
  <sheetFormatPr defaultColWidth="11.0625" defaultRowHeight="13.5" x14ac:dyDescent="0.35"/>
  <cols>
    <col min="1" max="1" width="24.0625" bestFit="1" customWidth="1"/>
    <col min="2" max="2" width="20.4375" bestFit="1" customWidth="1"/>
    <col min="3" max="3" width="27.0625" bestFit="1" customWidth="1"/>
    <col min="4" max="4" width="22.0625" bestFit="1" customWidth="1"/>
    <col min="5" max="5" width="28.625" bestFit="1" customWidth="1"/>
    <col min="6" max="6" width="25.0625" bestFit="1" customWidth="1"/>
  </cols>
  <sheetData>
    <row r="1" spans="1:6" x14ac:dyDescent="0.35">
      <c r="A1" s="1" t="s">
        <v>6074</v>
      </c>
      <c r="B1" s="1" t="s">
        <v>6075</v>
      </c>
      <c r="C1" s="1" t="s">
        <v>6076</v>
      </c>
      <c r="D1" s="1" t="s">
        <v>6077</v>
      </c>
      <c r="E1" s="1" t="s">
        <v>6078</v>
      </c>
      <c r="F1" s="1" t="s">
        <v>6079</v>
      </c>
    </row>
    <row r="2" spans="1:6" x14ac:dyDescent="0.35">
      <c r="A2" s="1">
        <v>1</v>
      </c>
      <c r="B2" s="1">
        <v>1</v>
      </c>
      <c r="C2" s="1">
        <v>7</v>
      </c>
      <c r="D2" s="1">
        <v>7</v>
      </c>
      <c r="E2" s="1">
        <v>7</v>
      </c>
      <c r="F2" s="1">
        <v>1</v>
      </c>
    </row>
    <row r="3" spans="1:6" x14ac:dyDescent="0.35">
      <c r="A3" s="1">
        <v>9</v>
      </c>
      <c r="B3" s="1">
        <v>9</v>
      </c>
      <c r="C3" s="1">
        <v>9</v>
      </c>
      <c r="D3" s="1">
        <v>9</v>
      </c>
      <c r="E3" s="1">
        <v>7</v>
      </c>
      <c r="F3" s="1">
        <v>3</v>
      </c>
    </row>
    <row r="4" spans="1:6" x14ac:dyDescent="0.35">
      <c r="A4" s="1">
        <v>7</v>
      </c>
      <c r="B4" s="1">
        <v>1</v>
      </c>
      <c r="C4" s="1">
        <v>3</v>
      </c>
      <c r="D4" s="1">
        <v>1</v>
      </c>
      <c r="E4" s="1">
        <v>0.33333333333333298</v>
      </c>
      <c r="F4" s="1">
        <v>1</v>
      </c>
    </row>
    <row r="5" spans="1:6" x14ac:dyDescent="0.35">
      <c r="A5" s="1">
        <v>5</v>
      </c>
      <c r="B5" s="1">
        <v>7</v>
      </c>
      <c r="C5" s="1">
        <v>7</v>
      </c>
      <c r="D5" s="1">
        <v>7</v>
      </c>
      <c r="E5" s="1">
        <v>9</v>
      </c>
      <c r="F5" s="1">
        <v>7</v>
      </c>
    </row>
    <row r="6" spans="1:6" x14ac:dyDescent="0.35">
      <c r="A6" s="1">
        <v>0.11111111111111099</v>
      </c>
      <c r="B6" s="1">
        <v>0.11111111111111099</v>
      </c>
      <c r="C6" s="1">
        <v>0.11111111111111099</v>
      </c>
      <c r="D6" s="1">
        <v>9</v>
      </c>
      <c r="E6" s="1">
        <v>9</v>
      </c>
      <c r="F6" s="1">
        <v>9</v>
      </c>
    </row>
    <row r="7" spans="1:6" x14ac:dyDescent="0.35">
      <c r="A7" s="1">
        <v>9</v>
      </c>
      <c r="B7" s="1">
        <v>9</v>
      </c>
      <c r="C7" s="1">
        <v>9</v>
      </c>
      <c r="D7" s="1">
        <v>9</v>
      </c>
      <c r="E7" s="1">
        <v>9</v>
      </c>
      <c r="F7" s="1">
        <v>0.11111111111111099</v>
      </c>
    </row>
    <row r="8" spans="1:6" x14ac:dyDescent="0.35">
      <c r="A8" s="1">
        <v>1</v>
      </c>
      <c r="B8" s="1">
        <v>7</v>
      </c>
      <c r="C8" s="1">
        <v>7</v>
      </c>
      <c r="D8" s="1">
        <v>7</v>
      </c>
      <c r="E8" s="1">
        <v>7</v>
      </c>
      <c r="F8" s="1">
        <v>0.14285714285714299</v>
      </c>
    </row>
    <row r="9" spans="1:6" x14ac:dyDescent="0.35">
      <c r="A9" s="1">
        <v>3</v>
      </c>
      <c r="B9" s="1">
        <v>5</v>
      </c>
      <c r="C9" s="1">
        <v>1</v>
      </c>
      <c r="D9" s="1">
        <v>1</v>
      </c>
      <c r="E9" s="1">
        <v>3</v>
      </c>
      <c r="F9" s="1">
        <v>3</v>
      </c>
    </row>
    <row r="10" spans="1:6" x14ac:dyDescent="0.35">
      <c r="A10" s="1">
        <v>9</v>
      </c>
      <c r="B10" s="1">
        <v>9</v>
      </c>
      <c r="C10" s="1">
        <v>3</v>
      </c>
      <c r="D10" s="1">
        <v>9</v>
      </c>
      <c r="E10" s="1">
        <v>7</v>
      </c>
      <c r="F10" s="1">
        <v>9</v>
      </c>
    </row>
    <row r="11" spans="1:6" x14ac:dyDescent="0.35">
      <c r="A11" s="1">
        <v>0.11111111111111099</v>
      </c>
      <c r="B11" s="1">
        <v>9</v>
      </c>
      <c r="C11" s="1">
        <v>9</v>
      </c>
      <c r="D11" s="1">
        <v>9</v>
      </c>
      <c r="E11" s="1">
        <v>9</v>
      </c>
      <c r="F11" s="1">
        <v>9</v>
      </c>
    </row>
    <row r="12" spans="1:6" x14ac:dyDescent="0.35">
      <c r="A12" s="1">
        <v>1</v>
      </c>
      <c r="B12" s="1">
        <v>1</v>
      </c>
      <c r="C12" s="1">
        <v>1</v>
      </c>
      <c r="D12" s="1">
        <v>1</v>
      </c>
      <c r="E12" s="1">
        <v>1</v>
      </c>
      <c r="F12" s="1">
        <v>1</v>
      </c>
    </row>
    <row r="13" spans="1:6" x14ac:dyDescent="0.35">
      <c r="A13" s="1">
        <v>7</v>
      </c>
      <c r="B13" s="1">
        <v>7</v>
      </c>
      <c r="C13" s="1">
        <v>7</v>
      </c>
      <c r="D13" s="1">
        <v>1</v>
      </c>
      <c r="E13" s="1">
        <v>1</v>
      </c>
      <c r="F13" s="1">
        <v>1</v>
      </c>
    </row>
    <row r="14" spans="1:6" x14ac:dyDescent="0.35">
      <c r="A14" s="1">
        <v>1</v>
      </c>
      <c r="B14" s="1">
        <v>1</v>
      </c>
      <c r="C14" s="1">
        <v>1</v>
      </c>
      <c r="D14" s="1">
        <v>1</v>
      </c>
      <c r="E14" s="1">
        <v>1</v>
      </c>
      <c r="F14" s="1">
        <v>1</v>
      </c>
    </row>
    <row r="15" spans="1:6" x14ac:dyDescent="0.35">
      <c r="A15" s="1">
        <v>7</v>
      </c>
      <c r="B15" s="1">
        <v>1</v>
      </c>
      <c r="C15" s="1">
        <v>0.33333333333333298</v>
      </c>
      <c r="D15" s="1">
        <v>0.33333333333333298</v>
      </c>
      <c r="E15" s="1">
        <v>0.33333333333333298</v>
      </c>
      <c r="F15" s="1">
        <v>0.33333333333333298</v>
      </c>
    </row>
    <row r="16" spans="1:6" x14ac:dyDescent="0.35">
      <c r="A16" s="1">
        <v>1</v>
      </c>
      <c r="B16" s="1">
        <v>7</v>
      </c>
      <c r="C16" s="1">
        <v>1</v>
      </c>
      <c r="D16" s="1">
        <v>7</v>
      </c>
      <c r="E16" s="1">
        <v>1</v>
      </c>
      <c r="F16" s="1">
        <v>1</v>
      </c>
    </row>
    <row r="17" spans="1:6" x14ac:dyDescent="0.35">
      <c r="A17" s="1">
        <v>1</v>
      </c>
      <c r="B17" s="1">
        <v>7</v>
      </c>
      <c r="C17" s="1">
        <v>9</v>
      </c>
      <c r="D17" s="1">
        <v>5</v>
      </c>
      <c r="E17" s="1">
        <v>3</v>
      </c>
      <c r="F17" s="1">
        <v>1</v>
      </c>
    </row>
    <row r="18" spans="1:6" x14ac:dyDescent="0.35">
      <c r="A18" s="1">
        <v>1</v>
      </c>
      <c r="B18" s="1">
        <v>1</v>
      </c>
      <c r="C18" s="1">
        <v>1</v>
      </c>
      <c r="D18" s="1">
        <v>1</v>
      </c>
      <c r="E18" s="1">
        <v>1</v>
      </c>
      <c r="F18" s="1">
        <v>1</v>
      </c>
    </row>
    <row r="19" spans="1:6" x14ac:dyDescent="0.35">
      <c r="A19" s="1">
        <v>1</v>
      </c>
      <c r="B19" s="1">
        <v>7</v>
      </c>
      <c r="C19" s="1">
        <v>0.33333333333333298</v>
      </c>
      <c r="D19" s="1">
        <v>9</v>
      </c>
      <c r="E19" s="1">
        <v>9</v>
      </c>
      <c r="F19" s="1">
        <v>0.33333333333333298</v>
      </c>
    </row>
    <row r="20" spans="1:6" x14ac:dyDescent="0.35">
      <c r="A20" s="1">
        <v>7</v>
      </c>
      <c r="B20" s="1">
        <v>0.14285714285714299</v>
      </c>
      <c r="C20" s="1">
        <v>7</v>
      </c>
      <c r="D20" s="1">
        <v>0.2</v>
      </c>
      <c r="E20" s="1">
        <v>9</v>
      </c>
      <c r="F20" s="1">
        <v>1</v>
      </c>
    </row>
    <row r="21" spans="1:6" x14ac:dyDescent="0.35">
      <c r="A21" s="1">
        <v>0.11111111111111099</v>
      </c>
      <c r="B21" s="1">
        <v>0.11111111111111099</v>
      </c>
      <c r="C21" s="1">
        <v>0.14285714285714299</v>
      </c>
      <c r="D21" s="1">
        <v>9</v>
      </c>
      <c r="E21" s="1">
        <v>5</v>
      </c>
      <c r="F21" s="1">
        <v>1</v>
      </c>
    </row>
    <row r="22" spans="1:6" x14ac:dyDescent="0.35">
      <c r="A22" s="1">
        <v>7</v>
      </c>
      <c r="B22" s="1">
        <v>1</v>
      </c>
      <c r="C22" s="1">
        <v>1</v>
      </c>
      <c r="D22" s="1">
        <v>1</v>
      </c>
      <c r="E22" s="1">
        <v>1</v>
      </c>
      <c r="F22" s="1">
        <v>1</v>
      </c>
    </row>
    <row r="23" spans="1:6" x14ac:dyDescent="0.35">
      <c r="A23" s="1">
        <v>0.11111111111111099</v>
      </c>
      <c r="B23" s="1">
        <v>9</v>
      </c>
      <c r="C23" s="1">
        <v>9</v>
      </c>
      <c r="D23" s="1">
        <v>9</v>
      </c>
      <c r="E23" s="1">
        <v>9</v>
      </c>
      <c r="F23" s="1">
        <v>9</v>
      </c>
    </row>
    <row r="24" spans="1:6" x14ac:dyDescent="0.35">
      <c r="A24" s="1">
        <v>9</v>
      </c>
      <c r="B24" s="1">
        <v>1</v>
      </c>
      <c r="C24" s="1">
        <v>1</v>
      </c>
      <c r="D24" s="1">
        <v>1</v>
      </c>
      <c r="E24" s="1">
        <v>3</v>
      </c>
      <c r="F24" s="1">
        <v>1</v>
      </c>
    </row>
    <row r="25" spans="1:6" x14ac:dyDescent="0.35">
      <c r="A25" s="1">
        <v>1</v>
      </c>
      <c r="B25" s="1">
        <v>1</v>
      </c>
      <c r="C25" s="1">
        <v>1</v>
      </c>
      <c r="D25" s="1">
        <v>1</v>
      </c>
      <c r="E25" s="1">
        <v>1</v>
      </c>
      <c r="F25" s="1">
        <v>1</v>
      </c>
    </row>
    <row r="26" spans="1:6" x14ac:dyDescent="0.35">
      <c r="A26" s="1">
        <v>9</v>
      </c>
      <c r="B26" s="1">
        <v>7</v>
      </c>
      <c r="C26" s="1">
        <v>5</v>
      </c>
      <c r="D26" s="1">
        <v>1</v>
      </c>
      <c r="E26" s="1">
        <v>3</v>
      </c>
      <c r="F26" s="1">
        <v>0.33333333333333298</v>
      </c>
    </row>
    <row r="27" spans="1:6" x14ac:dyDescent="0.35">
      <c r="A27" s="1">
        <v>0.11111111111111099</v>
      </c>
      <c r="B27" s="1">
        <v>9</v>
      </c>
      <c r="C27" s="1">
        <v>1</v>
      </c>
      <c r="D27" s="1">
        <v>7</v>
      </c>
      <c r="E27" s="1">
        <v>0.14285714285714299</v>
      </c>
      <c r="F27" s="1">
        <v>1</v>
      </c>
    </row>
    <row r="28" spans="1:6" x14ac:dyDescent="0.35">
      <c r="A28" s="1">
        <v>1</v>
      </c>
      <c r="B28" s="1">
        <v>1</v>
      </c>
      <c r="C28" s="1">
        <v>1</v>
      </c>
      <c r="D28" s="1">
        <v>1</v>
      </c>
      <c r="E28" s="1">
        <v>1</v>
      </c>
      <c r="F28" s="1">
        <v>1</v>
      </c>
    </row>
    <row r="29" spans="1:6" x14ac:dyDescent="0.35">
      <c r="A29" s="1">
        <v>1</v>
      </c>
      <c r="B29" s="1">
        <v>1</v>
      </c>
      <c r="C29" s="1">
        <v>1</v>
      </c>
      <c r="D29" s="1">
        <v>1</v>
      </c>
      <c r="E29" s="1">
        <v>1</v>
      </c>
      <c r="F29" s="1">
        <v>1</v>
      </c>
    </row>
    <row r="30" spans="1:6" x14ac:dyDescent="0.35">
      <c r="A30" s="1">
        <v>9</v>
      </c>
      <c r="B30" s="1">
        <v>9</v>
      </c>
      <c r="C30" s="1">
        <v>9</v>
      </c>
      <c r="D30" s="1">
        <v>9</v>
      </c>
      <c r="E30" s="1">
        <v>9</v>
      </c>
      <c r="F30" s="1">
        <v>9</v>
      </c>
    </row>
    <row r="31" spans="1:6" x14ac:dyDescent="0.35">
      <c r="A31" s="1">
        <v>1</v>
      </c>
      <c r="B31" s="1">
        <v>5</v>
      </c>
      <c r="C31" s="1">
        <v>1</v>
      </c>
      <c r="D31" s="1">
        <v>0.33333333333333298</v>
      </c>
      <c r="E31" s="1">
        <v>0.33333333333333298</v>
      </c>
      <c r="F31" s="1">
        <v>1</v>
      </c>
    </row>
    <row r="32" spans="1:6" x14ac:dyDescent="0.35">
      <c r="A32" s="1">
        <v>1</v>
      </c>
      <c r="B32" s="1">
        <v>1</v>
      </c>
      <c r="C32" s="1">
        <v>1</v>
      </c>
      <c r="D32" s="1">
        <v>5</v>
      </c>
      <c r="E32" s="1">
        <v>1</v>
      </c>
      <c r="F32" s="1">
        <v>1</v>
      </c>
    </row>
    <row r="33" spans="1:6" x14ac:dyDescent="0.35">
      <c r="A33" s="1">
        <v>1</v>
      </c>
      <c r="B33" s="1">
        <v>0.14285714285714299</v>
      </c>
      <c r="C33" s="1">
        <v>0.2</v>
      </c>
      <c r="D33" s="1">
        <v>0.2</v>
      </c>
      <c r="E33" s="1">
        <v>1</v>
      </c>
      <c r="F33" s="1">
        <v>1</v>
      </c>
    </row>
    <row r="34" spans="1:6" x14ac:dyDescent="0.35">
      <c r="A34" s="1">
        <v>1</v>
      </c>
      <c r="B34" s="1">
        <v>9</v>
      </c>
      <c r="C34" s="1">
        <v>0.2</v>
      </c>
      <c r="D34" s="1">
        <v>7</v>
      </c>
      <c r="E34" s="1">
        <v>9</v>
      </c>
      <c r="F34" s="1">
        <v>5</v>
      </c>
    </row>
    <row r="35" spans="1:6" x14ac:dyDescent="0.35">
      <c r="A35" s="1">
        <v>1</v>
      </c>
      <c r="B35" s="1">
        <v>7</v>
      </c>
      <c r="C35" s="1">
        <v>0.14285714285714299</v>
      </c>
      <c r="D35" s="1">
        <v>7</v>
      </c>
      <c r="E35" s="1">
        <v>1</v>
      </c>
      <c r="F35" s="1">
        <v>0.14285714285714299</v>
      </c>
    </row>
    <row r="36" spans="1:6" x14ac:dyDescent="0.35">
      <c r="A36" s="1">
        <v>9</v>
      </c>
      <c r="B36" s="1">
        <v>9</v>
      </c>
      <c r="C36" s="1">
        <v>9</v>
      </c>
      <c r="D36" s="1">
        <v>9</v>
      </c>
      <c r="E36" s="1">
        <v>9</v>
      </c>
      <c r="F36" s="1">
        <v>1</v>
      </c>
    </row>
    <row r="37" spans="1:6" x14ac:dyDescent="0.35">
      <c r="A37" s="1">
        <v>9</v>
      </c>
      <c r="B37" s="1">
        <v>0.11111111111111099</v>
      </c>
      <c r="C37" s="1">
        <v>9</v>
      </c>
      <c r="D37" s="1">
        <v>0.11111111111111099</v>
      </c>
      <c r="E37" s="1">
        <v>9</v>
      </c>
      <c r="F37" s="1">
        <v>9</v>
      </c>
    </row>
    <row r="38" spans="1:6" x14ac:dyDescent="0.35">
      <c r="A38" s="1">
        <v>9</v>
      </c>
      <c r="B38" s="1">
        <v>9</v>
      </c>
      <c r="C38" s="1">
        <v>9</v>
      </c>
      <c r="D38" s="1">
        <v>9</v>
      </c>
      <c r="E38" s="1">
        <v>9</v>
      </c>
      <c r="F38" s="1">
        <v>9</v>
      </c>
    </row>
    <row r="39" spans="1:6" x14ac:dyDescent="0.35">
      <c r="A39" s="1">
        <v>1</v>
      </c>
      <c r="B39" s="1">
        <v>7</v>
      </c>
      <c r="C39" s="1">
        <v>7</v>
      </c>
      <c r="D39" s="1">
        <v>5</v>
      </c>
      <c r="E39" s="1">
        <v>7</v>
      </c>
      <c r="F39" s="1">
        <v>3</v>
      </c>
    </row>
    <row r="40" spans="1:6" x14ac:dyDescent="0.35">
      <c r="A40" s="1">
        <v>1</v>
      </c>
      <c r="B40" s="1">
        <v>1</v>
      </c>
      <c r="C40" s="1">
        <v>1</v>
      </c>
      <c r="D40" s="1">
        <v>3</v>
      </c>
      <c r="E40" s="1">
        <v>3</v>
      </c>
      <c r="F40" s="1">
        <v>1</v>
      </c>
    </row>
    <row r="41" spans="1:6" x14ac:dyDescent="0.35">
      <c r="A41" s="1">
        <v>9</v>
      </c>
      <c r="B41" s="1">
        <v>1</v>
      </c>
      <c r="C41" s="1">
        <v>9</v>
      </c>
      <c r="D41" s="1">
        <v>7</v>
      </c>
      <c r="E41" s="1">
        <v>9</v>
      </c>
      <c r="F41" s="1">
        <v>9</v>
      </c>
    </row>
    <row r="42" spans="1:6" x14ac:dyDescent="0.35">
      <c r="A42" s="1">
        <v>9</v>
      </c>
      <c r="B42" s="1">
        <v>1</v>
      </c>
      <c r="C42" s="1">
        <v>9</v>
      </c>
      <c r="D42" s="1">
        <v>9</v>
      </c>
      <c r="E42" s="1">
        <v>9</v>
      </c>
      <c r="F42" s="1">
        <v>9</v>
      </c>
    </row>
    <row r="43" spans="1:6" x14ac:dyDescent="0.35">
      <c r="A43" s="1">
        <v>0.14285714285714299</v>
      </c>
      <c r="B43" s="1">
        <v>7</v>
      </c>
      <c r="C43" s="1">
        <v>7</v>
      </c>
      <c r="D43" s="1">
        <v>7</v>
      </c>
      <c r="E43" s="1">
        <v>7</v>
      </c>
      <c r="F43" s="1">
        <v>0.14285714285714299</v>
      </c>
    </row>
    <row r="44" spans="1:6" x14ac:dyDescent="0.35">
      <c r="A44" s="1">
        <v>9</v>
      </c>
      <c r="B44" s="1">
        <v>9</v>
      </c>
      <c r="C44" s="1">
        <v>9</v>
      </c>
      <c r="D44" s="1">
        <v>9</v>
      </c>
      <c r="E44" s="1">
        <v>9</v>
      </c>
      <c r="F44" s="1">
        <v>9</v>
      </c>
    </row>
    <row r="45" spans="1:6" x14ac:dyDescent="0.35">
      <c r="A45" s="1">
        <v>7</v>
      </c>
      <c r="B45" s="1">
        <v>5</v>
      </c>
      <c r="C45" s="1">
        <v>9</v>
      </c>
      <c r="D45" s="1">
        <v>1</v>
      </c>
      <c r="E45" s="1">
        <v>9</v>
      </c>
      <c r="F45" s="1">
        <v>7</v>
      </c>
    </row>
    <row r="46" spans="1:6" x14ac:dyDescent="0.35">
      <c r="A46" s="1">
        <v>7</v>
      </c>
      <c r="B46" s="1">
        <v>1</v>
      </c>
      <c r="C46" s="1">
        <v>0.2</v>
      </c>
      <c r="D46" s="1">
        <v>3</v>
      </c>
      <c r="E46" s="1">
        <v>0.2</v>
      </c>
      <c r="F46" s="1">
        <v>1</v>
      </c>
    </row>
    <row r="47" spans="1:6" x14ac:dyDescent="0.35">
      <c r="A47" s="1">
        <v>1</v>
      </c>
      <c r="B47" s="1">
        <v>7</v>
      </c>
      <c r="C47" s="1">
        <v>0.2</v>
      </c>
      <c r="D47" s="1">
        <v>7</v>
      </c>
      <c r="E47" s="1">
        <v>7</v>
      </c>
      <c r="F47" s="1">
        <v>1</v>
      </c>
    </row>
    <row r="48" spans="1:6" x14ac:dyDescent="0.35">
      <c r="A48" s="1">
        <v>0.33333333333333298</v>
      </c>
      <c r="B48" s="1">
        <v>7</v>
      </c>
      <c r="C48" s="1">
        <v>1</v>
      </c>
      <c r="D48" s="1">
        <v>9</v>
      </c>
      <c r="E48" s="1">
        <v>1</v>
      </c>
      <c r="F48" s="1">
        <v>0.2</v>
      </c>
    </row>
    <row r="49" spans="1:6" x14ac:dyDescent="0.35">
      <c r="A49" s="1">
        <v>7</v>
      </c>
      <c r="B49" s="1">
        <v>7</v>
      </c>
      <c r="C49" s="1">
        <v>1</v>
      </c>
      <c r="D49" s="1">
        <v>1</v>
      </c>
      <c r="E49" s="1">
        <v>1</v>
      </c>
      <c r="F49" s="1">
        <v>1</v>
      </c>
    </row>
    <row r="50" spans="1:6" x14ac:dyDescent="0.35">
      <c r="A50" s="1">
        <v>0.14285714285714299</v>
      </c>
      <c r="B50" s="1">
        <v>7</v>
      </c>
      <c r="C50" s="1">
        <v>1</v>
      </c>
      <c r="D50" s="1">
        <v>5</v>
      </c>
      <c r="E50" s="1">
        <v>1</v>
      </c>
      <c r="F50" s="1">
        <v>3</v>
      </c>
    </row>
    <row r="51" spans="1:6" x14ac:dyDescent="0.35">
      <c r="A51" s="1">
        <v>7</v>
      </c>
      <c r="B51" s="1">
        <v>3</v>
      </c>
      <c r="C51" s="1">
        <v>1</v>
      </c>
      <c r="D51" s="1">
        <v>5</v>
      </c>
      <c r="E51" s="1">
        <v>1</v>
      </c>
      <c r="F51" s="1">
        <v>1</v>
      </c>
    </row>
    <row r="52" spans="1:6" x14ac:dyDescent="0.35">
      <c r="A52" s="1">
        <v>5</v>
      </c>
      <c r="B52" s="1">
        <v>5</v>
      </c>
      <c r="C52" s="1">
        <v>5</v>
      </c>
      <c r="D52" s="1">
        <v>1</v>
      </c>
      <c r="E52" s="1">
        <v>1</v>
      </c>
      <c r="F52" s="1">
        <v>1</v>
      </c>
    </row>
    <row r="53" spans="1:6" x14ac:dyDescent="0.35">
      <c r="A53" s="1">
        <v>1</v>
      </c>
      <c r="B53" s="1">
        <v>1</v>
      </c>
      <c r="C53" s="1">
        <v>1</v>
      </c>
      <c r="D53" s="1">
        <v>1</v>
      </c>
      <c r="E53" s="1">
        <v>1</v>
      </c>
      <c r="F53" s="1">
        <v>1</v>
      </c>
    </row>
    <row r="54" spans="1:6" x14ac:dyDescent="0.35">
      <c r="A54" s="1">
        <v>7</v>
      </c>
      <c r="B54" s="1">
        <v>1</v>
      </c>
      <c r="C54" s="1">
        <v>1</v>
      </c>
      <c r="D54" s="1">
        <v>1</v>
      </c>
      <c r="E54" s="1">
        <v>1</v>
      </c>
      <c r="F54" s="1">
        <v>1</v>
      </c>
    </row>
    <row r="55" spans="1:6" x14ac:dyDescent="0.35">
      <c r="A55" s="1">
        <v>1</v>
      </c>
      <c r="B55" s="1">
        <v>1</v>
      </c>
      <c r="C55" s="1">
        <v>1</v>
      </c>
      <c r="D55" s="1">
        <v>1</v>
      </c>
      <c r="E55" s="1">
        <v>1</v>
      </c>
      <c r="F55" s="1">
        <v>1</v>
      </c>
    </row>
    <row r="56" spans="1:6" x14ac:dyDescent="0.35">
      <c r="A56" s="1">
        <v>1</v>
      </c>
      <c r="B56" s="1">
        <v>1</v>
      </c>
      <c r="C56" s="1">
        <v>1</v>
      </c>
      <c r="D56" s="1">
        <v>1</v>
      </c>
      <c r="E56" s="1">
        <v>1</v>
      </c>
      <c r="F56" s="1">
        <v>1</v>
      </c>
    </row>
    <row r="57" spans="1:6" x14ac:dyDescent="0.35">
      <c r="A57" s="1">
        <v>0.14285714285714299</v>
      </c>
      <c r="B57" s="1">
        <v>7</v>
      </c>
      <c r="C57" s="1">
        <v>1</v>
      </c>
      <c r="D57" s="1">
        <v>1</v>
      </c>
      <c r="E57" s="1">
        <v>1</v>
      </c>
      <c r="F57" s="1">
        <v>0.2</v>
      </c>
    </row>
    <row r="58" spans="1:6" x14ac:dyDescent="0.35">
      <c r="A58" s="1">
        <v>9</v>
      </c>
      <c r="B58" s="1">
        <v>9</v>
      </c>
      <c r="C58" s="1">
        <v>9</v>
      </c>
      <c r="D58" s="1">
        <v>9</v>
      </c>
      <c r="E58" s="1">
        <v>9</v>
      </c>
      <c r="F58" s="1">
        <v>0.11111111111111099</v>
      </c>
    </row>
    <row r="59" spans="1:6" x14ac:dyDescent="0.35">
      <c r="A59" s="1">
        <v>1</v>
      </c>
      <c r="B59" s="1">
        <v>1</v>
      </c>
      <c r="C59" s="1">
        <v>5</v>
      </c>
      <c r="D59" s="1">
        <v>0.14285714285714299</v>
      </c>
      <c r="E59" s="1">
        <v>1</v>
      </c>
      <c r="F59" s="1">
        <v>7</v>
      </c>
    </row>
    <row r="60" spans="1:6" x14ac:dyDescent="0.35">
      <c r="A60" s="1">
        <v>0.2</v>
      </c>
      <c r="B60" s="1">
        <v>1</v>
      </c>
      <c r="C60" s="1">
        <v>1</v>
      </c>
      <c r="D60" s="1">
        <v>1</v>
      </c>
      <c r="E60" s="1">
        <v>0.33333333333333298</v>
      </c>
      <c r="F60" s="1">
        <v>0.33333333333333298</v>
      </c>
    </row>
    <row r="61" spans="1:6" x14ac:dyDescent="0.35">
      <c r="A61" s="1">
        <v>1</v>
      </c>
      <c r="B61" s="1">
        <v>5</v>
      </c>
      <c r="C61" s="1">
        <v>0.14285714285714299</v>
      </c>
      <c r="D61" s="1">
        <v>9</v>
      </c>
      <c r="E61" s="1">
        <v>1</v>
      </c>
      <c r="F61" s="1">
        <v>0.2</v>
      </c>
    </row>
    <row r="62" spans="1:6" x14ac:dyDescent="0.35">
      <c r="A62" s="1">
        <v>1</v>
      </c>
      <c r="B62" s="1">
        <v>9</v>
      </c>
      <c r="C62" s="1">
        <v>1</v>
      </c>
      <c r="D62" s="1">
        <v>7</v>
      </c>
      <c r="E62" s="1">
        <v>1</v>
      </c>
      <c r="F62" s="1">
        <v>0.2</v>
      </c>
    </row>
    <row r="63" spans="1:6" x14ac:dyDescent="0.35">
      <c r="A63" s="1">
        <v>1</v>
      </c>
      <c r="B63" s="1">
        <v>9</v>
      </c>
      <c r="C63" s="1">
        <v>1</v>
      </c>
      <c r="D63" s="1">
        <v>9</v>
      </c>
      <c r="E63" s="1">
        <v>1</v>
      </c>
      <c r="F63" s="1">
        <v>0.2</v>
      </c>
    </row>
    <row r="64" spans="1:6" x14ac:dyDescent="0.35">
      <c r="A64" s="1">
        <v>1</v>
      </c>
      <c r="B64" s="1">
        <v>1</v>
      </c>
      <c r="C64" s="1">
        <v>1</v>
      </c>
      <c r="D64" s="1">
        <v>1</v>
      </c>
      <c r="E64" s="1">
        <v>9</v>
      </c>
      <c r="F64" s="1">
        <v>1</v>
      </c>
    </row>
    <row r="65" spans="1:6" x14ac:dyDescent="0.35">
      <c r="A65" s="1">
        <v>1</v>
      </c>
      <c r="B65" s="1">
        <v>1</v>
      </c>
      <c r="C65" s="1">
        <v>1</v>
      </c>
      <c r="D65" s="1">
        <v>1</v>
      </c>
      <c r="E65" s="1">
        <v>1</v>
      </c>
      <c r="F65" s="1">
        <v>1</v>
      </c>
    </row>
    <row r="66" spans="1:6" x14ac:dyDescent="0.35">
      <c r="A66" s="1">
        <v>1</v>
      </c>
      <c r="B66" s="1">
        <v>7</v>
      </c>
      <c r="C66" s="1">
        <v>0.11111111111111099</v>
      </c>
      <c r="D66" s="1">
        <v>9</v>
      </c>
      <c r="E66" s="1">
        <v>1</v>
      </c>
      <c r="F66" s="1">
        <v>0.2</v>
      </c>
    </row>
    <row r="67" spans="1:6" x14ac:dyDescent="0.35">
      <c r="A67" s="1">
        <v>1</v>
      </c>
      <c r="B67" s="1">
        <v>9</v>
      </c>
      <c r="C67" s="1">
        <v>1</v>
      </c>
      <c r="D67" s="1">
        <v>7</v>
      </c>
      <c r="E67" s="1">
        <v>1</v>
      </c>
      <c r="F67" s="1">
        <v>0.14285714285714299</v>
      </c>
    </row>
    <row r="68" spans="1:6" x14ac:dyDescent="0.35">
      <c r="A68" s="1">
        <v>5</v>
      </c>
      <c r="B68" s="1">
        <v>9</v>
      </c>
      <c r="C68" s="1">
        <v>0.2</v>
      </c>
      <c r="D68" s="1">
        <v>9</v>
      </c>
      <c r="E68" s="1">
        <v>1</v>
      </c>
      <c r="F68" s="1">
        <v>0.14285714285714299</v>
      </c>
    </row>
    <row r="69" spans="1:6" x14ac:dyDescent="0.35">
      <c r="A69" s="1">
        <v>1</v>
      </c>
      <c r="B69" s="1">
        <v>9</v>
      </c>
      <c r="C69" s="1">
        <v>0.2</v>
      </c>
      <c r="D69" s="1">
        <v>9</v>
      </c>
      <c r="E69" s="1">
        <v>3</v>
      </c>
      <c r="F69" s="1">
        <v>0.2</v>
      </c>
    </row>
    <row r="70" spans="1:6" x14ac:dyDescent="0.35">
      <c r="A70" s="1">
        <v>1</v>
      </c>
      <c r="B70" s="1">
        <v>7</v>
      </c>
      <c r="C70" s="1">
        <v>1</v>
      </c>
      <c r="D70" s="1">
        <v>7</v>
      </c>
      <c r="E70" s="1">
        <v>0.33333333333333298</v>
      </c>
      <c r="F70" s="1">
        <v>0.2</v>
      </c>
    </row>
    <row r="71" spans="1:6" x14ac:dyDescent="0.35">
      <c r="A71" s="1">
        <v>1</v>
      </c>
      <c r="B71" s="1">
        <v>5</v>
      </c>
      <c r="C71" s="1">
        <v>1</v>
      </c>
      <c r="D71" s="1">
        <v>0.33333333333333298</v>
      </c>
      <c r="E71" s="1">
        <v>5</v>
      </c>
      <c r="F71" s="1">
        <v>0.14285714285714299</v>
      </c>
    </row>
    <row r="72" spans="1:6" x14ac:dyDescent="0.35">
      <c r="A72" s="1">
        <v>1</v>
      </c>
      <c r="B72" s="1">
        <v>5</v>
      </c>
      <c r="C72" s="1">
        <v>0.2</v>
      </c>
      <c r="D72" s="1">
        <v>9</v>
      </c>
      <c r="E72" s="1">
        <v>1</v>
      </c>
      <c r="F72" s="1">
        <v>0.14285714285714299</v>
      </c>
    </row>
    <row r="73" spans="1:6" x14ac:dyDescent="0.35">
      <c r="A73" s="1">
        <v>1</v>
      </c>
      <c r="B73" s="1">
        <v>7</v>
      </c>
      <c r="C73" s="1">
        <v>1</v>
      </c>
      <c r="D73" s="1">
        <v>5</v>
      </c>
      <c r="E73" s="1">
        <v>5</v>
      </c>
      <c r="F73" s="1">
        <v>0.2</v>
      </c>
    </row>
    <row r="74" spans="1:6" x14ac:dyDescent="0.35">
      <c r="A74" s="1">
        <v>1</v>
      </c>
      <c r="B74" s="1">
        <v>5</v>
      </c>
      <c r="C74" s="1">
        <v>1</v>
      </c>
      <c r="D74" s="1">
        <v>5</v>
      </c>
      <c r="E74" s="1">
        <v>1</v>
      </c>
      <c r="F74" s="1">
        <v>0.2</v>
      </c>
    </row>
    <row r="75" spans="1:6" x14ac:dyDescent="0.35">
      <c r="A75" s="1">
        <v>1</v>
      </c>
      <c r="B75" s="1">
        <v>1</v>
      </c>
      <c r="C75" s="1">
        <v>1</v>
      </c>
      <c r="D75" s="1">
        <v>1</v>
      </c>
      <c r="E75" s="1">
        <v>1</v>
      </c>
      <c r="F75" s="1">
        <v>1</v>
      </c>
    </row>
    <row r="76" spans="1:6" x14ac:dyDescent="0.35">
      <c r="A76" s="1">
        <v>1</v>
      </c>
      <c r="B76" s="1">
        <v>1</v>
      </c>
      <c r="C76" s="1">
        <v>1</v>
      </c>
      <c r="D76" s="1">
        <v>1</v>
      </c>
      <c r="E76" s="1">
        <v>1</v>
      </c>
      <c r="F76" s="1">
        <v>1</v>
      </c>
    </row>
    <row r="77" spans="1:6" x14ac:dyDescent="0.35">
      <c r="A77" s="1">
        <v>1</v>
      </c>
      <c r="B77" s="1">
        <v>1</v>
      </c>
      <c r="C77" s="1">
        <v>1</v>
      </c>
      <c r="D77" s="1">
        <v>1</v>
      </c>
      <c r="E77" s="1">
        <v>1</v>
      </c>
      <c r="F77" s="1">
        <v>0.33333333333333298</v>
      </c>
    </row>
    <row r="78" spans="1:6" x14ac:dyDescent="0.35">
      <c r="A78" s="1">
        <v>1</v>
      </c>
      <c r="B78" s="1">
        <v>1</v>
      </c>
      <c r="C78" s="1">
        <v>1</v>
      </c>
      <c r="D78" s="1">
        <v>1</v>
      </c>
      <c r="E78" s="1">
        <v>1</v>
      </c>
      <c r="F78" s="1">
        <v>1</v>
      </c>
    </row>
    <row r="79" spans="1:6" x14ac:dyDescent="0.35">
      <c r="A79" s="1">
        <v>1</v>
      </c>
      <c r="B79" s="1">
        <v>7</v>
      </c>
      <c r="C79" s="1">
        <v>3</v>
      </c>
      <c r="D79" s="1">
        <v>1</v>
      </c>
      <c r="E79" s="1">
        <v>0.14285714285714299</v>
      </c>
      <c r="F79" s="1">
        <v>0.33333333333333298</v>
      </c>
    </row>
    <row r="80" spans="1:6" x14ac:dyDescent="0.35">
      <c r="A80" s="1">
        <v>1</v>
      </c>
      <c r="B80" s="1">
        <v>3</v>
      </c>
      <c r="C80" s="1">
        <v>0.2</v>
      </c>
      <c r="D80" s="1">
        <v>3</v>
      </c>
      <c r="E80" s="1">
        <v>1</v>
      </c>
      <c r="F80" s="1">
        <v>1</v>
      </c>
    </row>
    <row r="81" spans="1:6" x14ac:dyDescent="0.35">
      <c r="A81" s="1">
        <v>1</v>
      </c>
      <c r="B81" s="1">
        <v>0.33333333333333298</v>
      </c>
      <c r="C81" s="1">
        <v>1</v>
      </c>
      <c r="D81" s="1">
        <v>1</v>
      </c>
      <c r="E81" s="1">
        <v>0.2</v>
      </c>
      <c r="F81" s="1">
        <v>1</v>
      </c>
    </row>
    <row r="82" spans="1:6" x14ac:dyDescent="0.35">
      <c r="A82" s="1">
        <v>1</v>
      </c>
      <c r="B82" s="1">
        <v>1</v>
      </c>
      <c r="C82" s="1">
        <v>0.33333333333333298</v>
      </c>
      <c r="D82" s="1">
        <v>0.33333333333333298</v>
      </c>
      <c r="E82" s="1">
        <v>1</v>
      </c>
      <c r="F82" s="1">
        <v>1</v>
      </c>
    </row>
    <row r="83" spans="1:6" x14ac:dyDescent="0.35">
      <c r="A83" s="1">
        <v>1</v>
      </c>
      <c r="B83" s="1">
        <v>1</v>
      </c>
      <c r="C83" s="1">
        <v>1</v>
      </c>
      <c r="D83" s="1">
        <v>1</v>
      </c>
      <c r="E83" s="1">
        <v>5</v>
      </c>
      <c r="F83" s="1">
        <v>1</v>
      </c>
    </row>
    <row r="84" spans="1:6" x14ac:dyDescent="0.35">
      <c r="A84" s="1">
        <v>1</v>
      </c>
      <c r="B84" s="1">
        <v>1</v>
      </c>
      <c r="C84" s="1">
        <v>1</v>
      </c>
      <c r="D84" s="1">
        <v>0.33333333333333298</v>
      </c>
      <c r="E84" s="1">
        <v>0.33333333333333298</v>
      </c>
      <c r="F84" s="1">
        <v>3</v>
      </c>
    </row>
    <row r="85" spans="1:6" x14ac:dyDescent="0.35">
      <c r="A85" s="1">
        <v>1</v>
      </c>
      <c r="B85" s="1">
        <v>3</v>
      </c>
      <c r="C85" s="1">
        <v>0.2</v>
      </c>
      <c r="D85" s="1">
        <v>1</v>
      </c>
      <c r="E85" s="1">
        <v>1</v>
      </c>
      <c r="F85" s="1">
        <v>5</v>
      </c>
    </row>
    <row r="86" spans="1:6" x14ac:dyDescent="0.35">
      <c r="A86" s="1">
        <v>1</v>
      </c>
      <c r="B86" s="1">
        <v>5</v>
      </c>
      <c r="C86" s="1">
        <v>0.33333333333333298</v>
      </c>
      <c r="D86" s="1">
        <v>5</v>
      </c>
      <c r="E86" s="1">
        <v>0.33333333333333298</v>
      </c>
      <c r="F86" s="1">
        <v>5</v>
      </c>
    </row>
    <row r="87" spans="1:6" x14ac:dyDescent="0.35">
      <c r="A87" s="1">
        <v>1</v>
      </c>
      <c r="B87" s="1">
        <v>1</v>
      </c>
      <c r="C87" s="1">
        <v>0.33333333333333298</v>
      </c>
      <c r="D87" s="1">
        <v>0.2</v>
      </c>
      <c r="E87" s="1">
        <v>5</v>
      </c>
      <c r="F87" s="1">
        <v>9</v>
      </c>
    </row>
    <row r="88" spans="1:6" x14ac:dyDescent="0.35">
      <c r="A88" s="1">
        <v>1</v>
      </c>
      <c r="B88" s="1">
        <v>5</v>
      </c>
      <c r="C88" s="1">
        <v>7</v>
      </c>
      <c r="D88" s="1">
        <v>0.33333333333333298</v>
      </c>
      <c r="E88" s="1">
        <v>0.33333333333333298</v>
      </c>
      <c r="F88" s="1">
        <v>1</v>
      </c>
    </row>
    <row r="89" spans="1:6" x14ac:dyDescent="0.35">
      <c r="A89" s="1">
        <v>1</v>
      </c>
      <c r="B89" s="1">
        <v>1</v>
      </c>
      <c r="C89" s="1">
        <v>5</v>
      </c>
      <c r="D89" s="1">
        <v>7</v>
      </c>
      <c r="E89" s="1">
        <v>7</v>
      </c>
      <c r="F89" s="1">
        <v>7</v>
      </c>
    </row>
    <row r="90" spans="1:6" x14ac:dyDescent="0.35">
      <c r="A90" s="1">
        <v>7</v>
      </c>
      <c r="B90" s="1">
        <v>5</v>
      </c>
      <c r="C90" s="1">
        <v>9</v>
      </c>
      <c r="D90" s="1">
        <v>9</v>
      </c>
      <c r="E90" s="1">
        <v>1</v>
      </c>
      <c r="F90" s="1">
        <v>0.33333333333333298</v>
      </c>
    </row>
    <row r="91" spans="1:6" x14ac:dyDescent="0.35">
      <c r="A91" s="1">
        <v>7</v>
      </c>
      <c r="B91" s="1">
        <v>5</v>
      </c>
      <c r="C91" s="1">
        <v>9</v>
      </c>
      <c r="D91" s="1">
        <v>9</v>
      </c>
      <c r="E91" s="1">
        <v>1</v>
      </c>
      <c r="F91" s="1">
        <v>1</v>
      </c>
    </row>
    <row r="92" spans="1:6" x14ac:dyDescent="0.35">
      <c r="A92" s="1">
        <v>1</v>
      </c>
      <c r="B92" s="1">
        <v>1</v>
      </c>
      <c r="C92" s="1">
        <v>1</v>
      </c>
      <c r="D92" s="1">
        <v>1</v>
      </c>
      <c r="E92" s="1">
        <v>3</v>
      </c>
      <c r="F92" s="1">
        <v>1</v>
      </c>
    </row>
    <row r="93" spans="1:6" x14ac:dyDescent="0.35">
      <c r="A93" s="1">
        <v>1</v>
      </c>
      <c r="B93" s="1">
        <v>3</v>
      </c>
      <c r="C93" s="1">
        <v>3</v>
      </c>
      <c r="D93" s="1">
        <v>5</v>
      </c>
      <c r="E93" s="1">
        <v>7</v>
      </c>
      <c r="F93" s="1">
        <v>7</v>
      </c>
    </row>
    <row r="94" spans="1:6" x14ac:dyDescent="0.35">
      <c r="A94" s="1">
        <v>0.14285714285714299</v>
      </c>
      <c r="B94" s="1">
        <v>7</v>
      </c>
      <c r="C94" s="1">
        <v>7</v>
      </c>
      <c r="D94" s="1">
        <v>7</v>
      </c>
      <c r="E94" s="1">
        <v>7</v>
      </c>
      <c r="F94" s="1">
        <v>0.14285714285714299</v>
      </c>
    </row>
    <row r="95" spans="1:6" x14ac:dyDescent="0.35">
      <c r="A95" s="1">
        <v>1</v>
      </c>
      <c r="B95" s="1">
        <v>7</v>
      </c>
      <c r="C95" s="1">
        <v>9</v>
      </c>
      <c r="D95" s="1">
        <v>7</v>
      </c>
      <c r="E95" s="1">
        <v>0.14285714285714299</v>
      </c>
      <c r="F95" s="1">
        <v>0.14285714285714299</v>
      </c>
    </row>
    <row r="96" spans="1:6" x14ac:dyDescent="0.35">
      <c r="A96" s="1">
        <v>0.11111111111111099</v>
      </c>
      <c r="B96" s="1">
        <v>9</v>
      </c>
      <c r="C96" s="1">
        <v>9</v>
      </c>
      <c r="D96" s="1">
        <v>9</v>
      </c>
      <c r="E96" s="1">
        <v>9</v>
      </c>
      <c r="F96" s="1">
        <v>0.11111111111111099</v>
      </c>
    </row>
    <row r="97" spans="1:6" x14ac:dyDescent="0.35">
      <c r="A97" s="1">
        <v>7</v>
      </c>
      <c r="B97" s="1">
        <v>7</v>
      </c>
      <c r="C97" s="1">
        <v>7</v>
      </c>
      <c r="D97" s="1">
        <v>7</v>
      </c>
      <c r="E97" s="1">
        <v>7</v>
      </c>
      <c r="F97" s="1">
        <v>0.14285714285714299</v>
      </c>
    </row>
    <row r="98" spans="1:6" x14ac:dyDescent="0.35">
      <c r="A98" s="1">
        <v>0.14285714285714299</v>
      </c>
      <c r="B98" s="1">
        <v>7</v>
      </c>
      <c r="C98" s="1">
        <v>0.14285714285714299</v>
      </c>
      <c r="D98" s="1">
        <v>7</v>
      </c>
      <c r="E98" s="1">
        <v>5</v>
      </c>
      <c r="F98" s="1">
        <v>0.14285714285714299</v>
      </c>
    </row>
    <row r="99" spans="1:6" x14ac:dyDescent="0.35">
      <c r="A99" s="1">
        <v>0.14285714285714299</v>
      </c>
      <c r="B99" s="1">
        <v>7</v>
      </c>
      <c r="C99" s="1">
        <v>7</v>
      </c>
      <c r="D99" s="1">
        <v>7</v>
      </c>
      <c r="E99" s="1">
        <v>7</v>
      </c>
      <c r="F99" s="1">
        <v>0.14285714285714299</v>
      </c>
    </row>
    <row r="100" spans="1:6" x14ac:dyDescent="0.35">
      <c r="A100" s="1">
        <v>0.14285714285714299</v>
      </c>
      <c r="B100" s="1">
        <v>0.14285714285714299</v>
      </c>
      <c r="C100" s="1">
        <v>0.14285714285714299</v>
      </c>
      <c r="D100" s="1">
        <v>9</v>
      </c>
      <c r="E100" s="1">
        <v>9</v>
      </c>
      <c r="F100" s="1">
        <v>0.14285714285714299</v>
      </c>
    </row>
    <row r="101" spans="1:6" x14ac:dyDescent="0.35">
      <c r="A101" s="1">
        <v>7</v>
      </c>
      <c r="B101" s="1">
        <v>7</v>
      </c>
      <c r="C101" s="1">
        <v>7</v>
      </c>
      <c r="D101" s="1">
        <v>7</v>
      </c>
      <c r="E101" s="1">
        <v>7</v>
      </c>
      <c r="F101" s="1">
        <v>0.14285714285714299</v>
      </c>
    </row>
    <row r="102" spans="1:6" x14ac:dyDescent="0.35">
      <c r="A102" s="1">
        <v>0.11111111111111099</v>
      </c>
      <c r="B102" s="1">
        <v>9</v>
      </c>
      <c r="C102" s="1">
        <v>9</v>
      </c>
      <c r="D102" s="1">
        <v>9</v>
      </c>
      <c r="E102" s="1">
        <v>9</v>
      </c>
      <c r="F102" s="1">
        <v>0.11111111111111099</v>
      </c>
    </row>
    <row r="103" spans="1:6" x14ac:dyDescent="0.35">
      <c r="A103" s="1">
        <v>1</v>
      </c>
      <c r="B103" s="1">
        <v>1</v>
      </c>
      <c r="C103" s="1">
        <v>1</v>
      </c>
      <c r="D103" s="1">
        <v>1</v>
      </c>
      <c r="E103" s="1">
        <v>1</v>
      </c>
      <c r="F103" s="1">
        <v>1</v>
      </c>
    </row>
    <row r="104" spans="1:6" x14ac:dyDescent="0.35">
      <c r="A104" s="1">
        <v>0.11111111111111099</v>
      </c>
      <c r="B104" s="1">
        <v>9</v>
      </c>
      <c r="C104" s="1">
        <v>9</v>
      </c>
      <c r="D104" s="1">
        <v>9</v>
      </c>
      <c r="E104" s="1">
        <v>9</v>
      </c>
      <c r="F104" s="1">
        <v>0.11111111111111099</v>
      </c>
    </row>
    <row r="105" spans="1:6" x14ac:dyDescent="0.35">
      <c r="A105" s="1">
        <v>1</v>
      </c>
      <c r="B105" s="1">
        <v>1</v>
      </c>
      <c r="C105" s="1">
        <v>1</v>
      </c>
      <c r="D105" s="1">
        <v>1</v>
      </c>
      <c r="E105" s="1">
        <v>1</v>
      </c>
      <c r="F105" s="1">
        <v>1</v>
      </c>
    </row>
    <row r="106" spans="1:6" x14ac:dyDescent="0.35">
      <c r="A106" s="1">
        <v>7</v>
      </c>
      <c r="B106" s="1">
        <v>7</v>
      </c>
      <c r="C106" s="1">
        <v>7</v>
      </c>
      <c r="D106" s="1">
        <v>7</v>
      </c>
      <c r="E106" s="1">
        <v>7</v>
      </c>
      <c r="F106" s="1">
        <v>0.14285714285714299</v>
      </c>
    </row>
    <row r="107" spans="1:6" x14ac:dyDescent="0.35">
      <c r="A107" s="1">
        <v>0.14285714285714299</v>
      </c>
      <c r="B107" s="1">
        <v>0.14285714285714299</v>
      </c>
      <c r="C107" s="1">
        <v>0.14285714285714299</v>
      </c>
      <c r="D107" s="1">
        <v>7</v>
      </c>
      <c r="E107" s="1">
        <v>7</v>
      </c>
      <c r="F107" s="1">
        <v>0.14285714285714299</v>
      </c>
    </row>
    <row r="108" spans="1:6" x14ac:dyDescent="0.35">
      <c r="A108" s="1">
        <v>0.11111111111111099</v>
      </c>
      <c r="B108" s="1">
        <v>9</v>
      </c>
      <c r="C108" s="1">
        <v>9</v>
      </c>
      <c r="D108" s="1">
        <v>9</v>
      </c>
      <c r="E108" s="1">
        <v>9</v>
      </c>
      <c r="F108" s="1">
        <v>0.11111111111111099</v>
      </c>
    </row>
    <row r="109" spans="1:6" x14ac:dyDescent="0.35">
      <c r="A109" s="1">
        <v>7</v>
      </c>
      <c r="B109" s="1">
        <v>7</v>
      </c>
      <c r="C109" s="1">
        <v>7</v>
      </c>
      <c r="D109" s="1">
        <v>7</v>
      </c>
      <c r="E109" s="1">
        <v>7</v>
      </c>
      <c r="F109" s="1">
        <v>0.14285714285714299</v>
      </c>
    </row>
    <row r="110" spans="1:6" x14ac:dyDescent="0.35">
      <c r="A110" s="1">
        <v>0.11111111111111099</v>
      </c>
      <c r="B110" s="1">
        <v>9</v>
      </c>
      <c r="C110" s="1">
        <v>9</v>
      </c>
      <c r="D110" s="1">
        <v>9</v>
      </c>
      <c r="E110" s="1">
        <v>9</v>
      </c>
      <c r="F110" s="1">
        <v>0.11111111111111099</v>
      </c>
    </row>
    <row r="111" spans="1:6" x14ac:dyDescent="0.35">
      <c r="A111" s="1">
        <v>7</v>
      </c>
      <c r="B111" s="1">
        <v>7</v>
      </c>
      <c r="C111" s="1">
        <v>7</v>
      </c>
      <c r="D111" s="1">
        <v>7</v>
      </c>
      <c r="E111" s="1">
        <v>7</v>
      </c>
      <c r="F111" s="1">
        <v>0.14285714285714299</v>
      </c>
    </row>
    <row r="112" spans="1:6" x14ac:dyDescent="0.35">
      <c r="A112" s="1">
        <v>0.14285714285714299</v>
      </c>
      <c r="B112" s="1">
        <v>9</v>
      </c>
      <c r="C112" s="1">
        <v>7</v>
      </c>
      <c r="D112" s="1">
        <v>9</v>
      </c>
      <c r="E112" s="1">
        <v>9</v>
      </c>
      <c r="F112" s="1">
        <v>0.11111111111111099</v>
      </c>
    </row>
    <row r="113" spans="1:6" x14ac:dyDescent="0.35">
      <c r="A113" s="1">
        <v>9</v>
      </c>
      <c r="B113" s="1">
        <v>9</v>
      </c>
      <c r="C113" s="1">
        <v>9</v>
      </c>
      <c r="D113" s="1">
        <v>9</v>
      </c>
      <c r="E113" s="1">
        <v>9</v>
      </c>
      <c r="F113" s="1">
        <v>9</v>
      </c>
    </row>
    <row r="114" spans="1:6" x14ac:dyDescent="0.35">
      <c r="A114" s="1">
        <v>7</v>
      </c>
      <c r="B114" s="1">
        <v>7</v>
      </c>
      <c r="C114" s="1">
        <v>7</v>
      </c>
      <c r="D114" s="1">
        <v>7</v>
      </c>
      <c r="E114" s="1">
        <v>7</v>
      </c>
      <c r="F114" s="1">
        <v>7</v>
      </c>
    </row>
    <row r="115" spans="1:6" x14ac:dyDescent="0.35">
      <c r="A115" s="1">
        <v>7</v>
      </c>
      <c r="B115" s="1">
        <v>7</v>
      </c>
      <c r="C115" s="1">
        <v>7</v>
      </c>
      <c r="D115" s="1">
        <v>7</v>
      </c>
      <c r="E115" s="1">
        <v>7</v>
      </c>
      <c r="F115" s="1">
        <v>7</v>
      </c>
    </row>
    <row r="116" spans="1:6" x14ac:dyDescent="0.35">
      <c r="A116" s="1">
        <v>1</v>
      </c>
      <c r="B116" s="1">
        <v>5</v>
      </c>
      <c r="C116" s="1">
        <v>0.2</v>
      </c>
      <c r="D116" s="1">
        <v>0.2</v>
      </c>
      <c r="E116" s="1">
        <v>5</v>
      </c>
      <c r="F116" s="1">
        <v>0.2</v>
      </c>
    </row>
    <row r="117" spans="1:6" x14ac:dyDescent="0.35">
      <c r="A117" s="1">
        <v>1</v>
      </c>
      <c r="B117" s="1">
        <v>5</v>
      </c>
      <c r="C117" s="1">
        <v>1</v>
      </c>
      <c r="D117" s="1">
        <v>7</v>
      </c>
      <c r="E117" s="1">
        <v>1</v>
      </c>
      <c r="F117" s="1">
        <v>0.14285714285714299</v>
      </c>
    </row>
    <row r="118" spans="1:6" x14ac:dyDescent="0.35">
      <c r="A118" s="1">
        <v>1</v>
      </c>
      <c r="B118" s="1">
        <v>5</v>
      </c>
      <c r="C118" s="1">
        <v>5</v>
      </c>
      <c r="D118" s="1">
        <v>9</v>
      </c>
      <c r="E118" s="1">
        <v>7</v>
      </c>
      <c r="F118" s="1">
        <v>0.33333333333333298</v>
      </c>
    </row>
    <row r="119" spans="1:6" x14ac:dyDescent="0.35">
      <c r="A119" s="1">
        <v>1</v>
      </c>
      <c r="B119" s="1">
        <v>7</v>
      </c>
      <c r="C119" s="1">
        <v>7</v>
      </c>
      <c r="D119" s="1">
        <v>9</v>
      </c>
      <c r="E119" s="1">
        <v>5</v>
      </c>
      <c r="F119" s="1">
        <v>0.33333333333333298</v>
      </c>
    </row>
    <row r="120" spans="1:6" x14ac:dyDescent="0.35">
      <c r="A120" s="1">
        <v>0.2</v>
      </c>
      <c r="B120" s="1">
        <v>7</v>
      </c>
      <c r="C120" s="1">
        <v>3</v>
      </c>
      <c r="D120" s="1">
        <v>5</v>
      </c>
      <c r="E120" s="1">
        <v>9</v>
      </c>
      <c r="F120" s="1">
        <v>1</v>
      </c>
    </row>
    <row r="121" spans="1:6" x14ac:dyDescent="0.35">
      <c r="A121" s="1">
        <v>5</v>
      </c>
      <c r="B121" s="1">
        <v>0.33333333333333298</v>
      </c>
      <c r="C121" s="1">
        <v>7</v>
      </c>
      <c r="D121" s="1">
        <v>9</v>
      </c>
      <c r="E121" s="1">
        <v>3</v>
      </c>
      <c r="F121" s="1">
        <v>3</v>
      </c>
    </row>
    <row r="122" spans="1:6" x14ac:dyDescent="0.35">
      <c r="A122" s="1">
        <v>7</v>
      </c>
      <c r="B122" s="1">
        <v>7</v>
      </c>
      <c r="C122" s="1">
        <v>7</v>
      </c>
      <c r="D122" s="1">
        <v>9</v>
      </c>
      <c r="E122" s="1">
        <v>9</v>
      </c>
      <c r="F122" s="1">
        <v>0.33333333333333298</v>
      </c>
    </row>
    <row r="123" spans="1:6" x14ac:dyDescent="0.35">
      <c r="A123" s="1">
        <v>0.2</v>
      </c>
      <c r="B123" s="1">
        <v>3</v>
      </c>
      <c r="C123" s="1">
        <v>7</v>
      </c>
      <c r="D123" s="1">
        <v>3</v>
      </c>
      <c r="E123" s="1">
        <v>7</v>
      </c>
      <c r="F123" s="1">
        <v>3</v>
      </c>
    </row>
    <row r="124" spans="1:6" x14ac:dyDescent="0.35">
      <c r="A124" s="1">
        <v>1</v>
      </c>
      <c r="B124" s="1">
        <v>7</v>
      </c>
      <c r="C124" s="1">
        <v>7</v>
      </c>
      <c r="D124" s="1">
        <v>7</v>
      </c>
      <c r="E124" s="1">
        <v>5</v>
      </c>
      <c r="F124" s="1">
        <v>1</v>
      </c>
    </row>
    <row r="125" spans="1:6" x14ac:dyDescent="0.35">
      <c r="A125" s="1">
        <v>1</v>
      </c>
      <c r="B125" s="1">
        <v>5</v>
      </c>
      <c r="C125" s="1">
        <v>5</v>
      </c>
      <c r="D125" s="1">
        <v>7</v>
      </c>
      <c r="E125" s="1">
        <v>9</v>
      </c>
      <c r="F125" s="1">
        <v>7</v>
      </c>
    </row>
    <row r="126" spans="1:6" x14ac:dyDescent="0.35">
      <c r="A126" s="1">
        <v>1</v>
      </c>
      <c r="B126" s="1">
        <v>9</v>
      </c>
      <c r="C126" s="1">
        <v>9</v>
      </c>
      <c r="D126" s="1">
        <v>9</v>
      </c>
      <c r="E126" s="1">
        <v>9</v>
      </c>
      <c r="F126" s="1">
        <v>0.33333333333333298</v>
      </c>
    </row>
    <row r="127" spans="1:6" x14ac:dyDescent="0.35">
      <c r="A127" s="1">
        <v>1</v>
      </c>
      <c r="B127" s="1">
        <v>7</v>
      </c>
      <c r="C127" s="1">
        <v>7</v>
      </c>
      <c r="D127" s="1">
        <v>7</v>
      </c>
      <c r="E127" s="1">
        <v>7</v>
      </c>
      <c r="F127" s="1">
        <v>3</v>
      </c>
    </row>
    <row r="128" spans="1:6" x14ac:dyDescent="0.35">
      <c r="A128" s="1">
        <v>5</v>
      </c>
      <c r="B128" s="1">
        <v>7</v>
      </c>
      <c r="C128" s="1">
        <v>7</v>
      </c>
      <c r="D128" s="1">
        <v>5</v>
      </c>
      <c r="E128" s="1">
        <v>5</v>
      </c>
      <c r="F128" s="1">
        <v>0.33333333333333298</v>
      </c>
    </row>
    <row r="129" spans="1:6" x14ac:dyDescent="0.35">
      <c r="A129" s="1">
        <v>1</v>
      </c>
      <c r="B129" s="1">
        <v>5</v>
      </c>
      <c r="C129" s="1">
        <v>5</v>
      </c>
      <c r="D129" s="1">
        <v>5</v>
      </c>
      <c r="E129" s="1">
        <v>5</v>
      </c>
      <c r="F129" s="1">
        <v>1</v>
      </c>
    </row>
    <row r="130" spans="1:6" x14ac:dyDescent="0.35">
      <c r="A130" s="1">
        <v>0.14285714285714299</v>
      </c>
      <c r="B130" s="1">
        <v>7</v>
      </c>
      <c r="C130" s="1">
        <v>5</v>
      </c>
      <c r="D130" s="1">
        <v>9</v>
      </c>
      <c r="E130" s="1">
        <v>9</v>
      </c>
      <c r="F130" s="1">
        <v>1</v>
      </c>
    </row>
    <row r="131" spans="1:6" x14ac:dyDescent="0.35">
      <c r="A131" s="1">
        <v>0.14285714285714299</v>
      </c>
      <c r="B131" s="1">
        <v>3</v>
      </c>
      <c r="C131" s="1">
        <v>3</v>
      </c>
      <c r="D131" s="1">
        <v>7</v>
      </c>
      <c r="E131" s="1">
        <v>7</v>
      </c>
      <c r="F131" s="1">
        <v>5</v>
      </c>
    </row>
    <row r="132" spans="1:6" x14ac:dyDescent="0.35">
      <c r="A132" s="1">
        <v>1</v>
      </c>
      <c r="B132" s="1">
        <v>3</v>
      </c>
      <c r="C132" s="1">
        <v>7</v>
      </c>
      <c r="D132" s="1">
        <v>7</v>
      </c>
      <c r="E132" s="1">
        <v>7</v>
      </c>
      <c r="F132" s="1">
        <v>3</v>
      </c>
    </row>
    <row r="133" spans="1:6" x14ac:dyDescent="0.35">
      <c r="A133" s="1">
        <v>1</v>
      </c>
      <c r="B133" s="1">
        <v>5</v>
      </c>
      <c r="C133" s="1">
        <v>5</v>
      </c>
      <c r="D133" s="1">
        <v>5</v>
      </c>
      <c r="E133" s="1">
        <v>5</v>
      </c>
      <c r="F133" s="1">
        <v>1</v>
      </c>
    </row>
    <row r="134" spans="1:6" x14ac:dyDescent="0.35">
      <c r="A134" s="1">
        <v>1</v>
      </c>
      <c r="B134" s="1">
        <v>7</v>
      </c>
      <c r="C134" s="1">
        <v>7</v>
      </c>
      <c r="D134" s="1">
        <v>9</v>
      </c>
      <c r="E134" s="1">
        <v>7</v>
      </c>
      <c r="F134" s="1">
        <v>0.33333333333333298</v>
      </c>
    </row>
    <row r="135" spans="1:6" x14ac:dyDescent="0.35">
      <c r="A135" s="1">
        <v>1</v>
      </c>
      <c r="B135" s="1">
        <v>9</v>
      </c>
      <c r="C135" s="1">
        <v>9</v>
      </c>
      <c r="D135" s="1">
        <v>9</v>
      </c>
      <c r="E135" s="1">
        <v>9</v>
      </c>
      <c r="F135" s="1">
        <v>0.33333333333333298</v>
      </c>
    </row>
    <row r="136" spans="1:6" x14ac:dyDescent="0.35">
      <c r="A136" s="1">
        <v>1</v>
      </c>
      <c r="B136" s="1">
        <v>7</v>
      </c>
      <c r="C136" s="1">
        <v>9</v>
      </c>
      <c r="D136" s="1">
        <v>9</v>
      </c>
      <c r="E136" s="1">
        <v>7</v>
      </c>
      <c r="F136" s="1">
        <v>0.33333333333333298</v>
      </c>
    </row>
    <row r="137" spans="1:6" x14ac:dyDescent="0.35">
      <c r="A137" s="1">
        <v>1</v>
      </c>
      <c r="B137" s="1">
        <v>5</v>
      </c>
      <c r="C137" s="1">
        <v>1</v>
      </c>
      <c r="D137" s="1">
        <v>5</v>
      </c>
      <c r="E137" s="1">
        <v>1</v>
      </c>
      <c r="F137" s="1">
        <v>0.2</v>
      </c>
    </row>
    <row r="138" spans="1:6" x14ac:dyDescent="0.35">
      <c r="A138" s="1">
        <v>7</v>
      </c>
      <c r="B138" s="1">
        <v>7</v>
      </c>
      <c r="C138" s="1">
        <v>7</v>
      </c>
      <c r="D138" s="1">
        <v>7</v>
      </c>
      <c r="E138" s="1">
        <v>7</v>
      </c>
      <c r="F138" s="1">
        <v>0.14285714285714299</v>
      </c>
    </row>
    <row r="139" spans="1:6" x14ac:dyDescent="0.35">
      <c r="A139" s="1">
        <v>0.11111111111111099</v>
      </c>
      <c r="B139" s="1">
        <v>9</v>
      </c>
      <c r="C139" s="1">
        <v>9</v>
      </c>
      <c r="D139" s="1">
        <v>9</v>
      </c>
      <c r="E139" s="1">
        <v>9</v>
      </c>
      <c r="F139" s="1">
        <v>0.14285714285714299</v>
      </c>
    </row>
    <row r="140" spans="1:6" x14ac:dyDescent="0.35">
      <c r="A140" s="1">
        <v>0.14285714285714299</v>
      </c>
      <c r="B140" s="1">
        <v>7</v>
      </c>
      <c r="C140" s="1">
        <v>7</v>
      </c>
      <c r="D140" s="1">
        <v>7</v>
      </c>
      <c r="E140" s="1">
        <v>7</v>
      </c>
      <c r="F140" s="1">
        <v>0.14285714285714299</v>
      </c>
    </row>
    <row r="141" spans="1:6" x14ac:dyDescent="0.35">
      <c r="A141" s="1">
        <v>7</v>
      </c>
      <c r="B141" s="1">
        <v>7</v>
      </c>
      <c r="C141" s="1">
        <v>7</v>
      </c>
      <c r="D141" s="1">
        <v>7</v>
      </c>
      <c r="E141" s="1">
        <v>7</v>
      </c>
      <c r="F141" s="1">
        <v>7</v>
      </c>
    </row>
    <row r="142" spans="1:6" x14ac:dyDescent="0.35">
      <c r="A142" s="1">
        <v>9</v>
      </c>
      <c r="B142" s="1">
        <v>9</v>
      </c>
      <c r="C142" s="1">
        <v>9</v>
      </c>
      <c r="D142" s="1">
        <v>9</v>
      </c>
      <c r="E142" s="1">
        <v>9</v>
      </c>
      <c r="F142" s="1">
        <v>0.11111111111111099</v>
      </c>
    </row>
    <row r="143" spans="1:6" x14ac:dyDescent="0.35">
      <c r="A143" s="1">
        <v>9</v>
      </c>
      <c r="B143" s="1">
        <v>9</v>
      </c>
      <c r="C143" s="1">
        <v>9</v>
      </c>
      <c r="D143" s="1">
        <v>9</v>
      </c>
      <c r="E143" s="1">
        <v>9</v>
      </c>
      <c r="F143" s="1">
        <v>0.11111111111111099</v>
      </c>
    </row>
    <row r="144" spans="1:6" x14ac:dyDescent="0.35">
      <c r="A144" s="1">
        <v>9</v>
      </c>
      <c r="B144" s="1">
        <v>1</v>
      </c>
      <c r="C144" s="1">
        <v>7</v>
      </c>
      <c r="D144" s="1">
        <v>7</v>
      </c>
      <c r="E144" s="1">
        <v>3</v>
      </c>
      <c r="F144" s="1">
        <v>9</v>
      </c>
    </row>
    <row r="145" spans="1:6" x14ac:dyDescent="0.35">
      <c r="A145" s="1">
        <v>7</v>
      </c>
      <c r="B145" s="1">
        <v>7</v>
      </c>
      <c r="C145" s="1">
        <v>7</v>
      </c>
      <c r="D145" s="1">
        <v>7</v>
      </c>
      <c r="E145" s="1">
        <v>7</v>
      </c>
      <c r="F145" s="1">
        <v>0.14285714285714299</v>
      </c>
    </row>
    <row r="146" spans="1:6" x14ac:dyDescent="0.35">
      <c r="A146" s="1">
        <v>9</v>
      </c>
      <c r="B146" s="1">
        <v>9</v>
      </c>
      <c r="C146" s="1">
        <v>9</v>
      </c>
      <c r="D146" s="1">
        <v>9</v>
      </c>
      <c r="E146" s="1">
        <v>9</v>
      </c>
      <c r="F146" s="1">
        <v>9</v>
      </c>
    </row>
    <row r="147" spans="1:6" x14ac:dyDescent="0.35">
      <c r="A147" s="1">
        <v>7</v>
      </c>
      <c r="B147" s="1">
        <v>7</v>
      </c>
      <c r="C147" s="1">
        <v>7</v>
      </c>
      <c r="D147" s="1">
        <v>7</v>
      </c>
      <c r="E147" s="1">
        <v>7</v>
      </c>
      <c r="F147" s="1">
        <v>0.14285714285714299</v>
      </c>
    </row>
    <row r="148" spans="1:6" x14ac:dyDescent="0.35">
      <c r="A148" s="1">
        <v>0.11111111111111099</v>
      </c>
      <c r="B148" s="1">
        <v>9</v>
      </c>
      <c r="C148" s="1">
        <v>0.2</v>
      </c>
      <c r="D148" s="1">
        <v>9</v>
      </c>
      <c r="E148" s="1">
        <v>9</v>
      </c>
      <c r="F148" s="1">
        <v>9</v>
      </c>
    </row>
    <row r="149" spans="1:6" x14ac:dyDescent="0.35">
      <c r="A149" s="1">
        <v>9</v>
      </c>
      <c r="B149" s="1">
        <v>9</v>
      </c>
      <c r="C149" s="1">
        <v>9</v>
      </c>
      <c r="D149" s="1">
        <v>7</v>
      </c>
      <c r="E149" s="1">
        <v>7</v>
      </c>
      <c r="F149" s="1">
        <v>7</v>
      </c>
    </row>
    <row r="150" spans="1:6" x14ac:dyDescent="0.35">
      <c r="A150" s="1">
        <v>9</v>
      </c>
      <c r="B150" s="1">
        <v>9</v>
      </c>
      <c r="C150" s="1">
        <v>9</v>
      </c>
      <c r="D150" s="1">
        <v>9</v>
      </c>
      <c r="E150" s="1">
        <v>9</v>
      </c>
      <c r="F150" s="1">
        <v>9</v>
      </c>
    </row>
    <row r="151" spans="1:6" x14ac:dyDescent="0.35">
      <c r="A151" s="1">
        <v>7</v>
      </c>
      <c r="B151" s="1">
        <v>7</v>
      </c>
      <c r="C151" s="1">
        <v>7</v>
      </c>
      <c r="D151" s="1">
        <v>7</v>
      </c>
      <c r="E151" s="1">
        <v>7</v>
      </c>
      <c r="F151" s="1">
        <v>0.14285714285714299</v>
      </c>
    </row>
    <row r="152" spans="1:6" x14ac:dyDescent="0.35">
      <c r="A152" s="1">
        <v>9</v>
      </c>
      <c r="B152" s="1">
        <v>9</v>
      </c>
      <c r="C152" s="1">
        <v>9</v>
      </c>
      <c r="D152" s="1">
        <v>9</v>
      </c>
      <c r="E152" s="1">
        <v>9</v>
      </c>
      <c r="F152" s="1">
        <v>0.11111111111111099</v>
      </c>
    </row>
    <row r="153" spans="1:6" x14ac:dyDescent="0.35">
      <c r="A153" s="1">
        <v>7</v>
      </c>
      <c r="B153" s="1">
        <v>7</v>
      </c>
      <c r="C153" s="1">
        <v>7</v>
      </c>
      <c r="D153" s="1">
        <v>7</v>
      </c>
      <c r="E153" s="1">
        <v>7</v>
      </c>
      <c r="F153" s="1">
        <v>7</v>
      </c>
    </row>
    <row r="154" spans="1:6" x14ac:dyDescent="0.35">
      <c r="A154" s="1">
        <v>7</v>
      </c>
      <c r="B154" s="1">
        <v>7</v>
      </c>
      <c r="C154" s="1">
        <v>7</v>
      </c>
      <c r="D154" s="1">
        <v>7</v>
      </c>
      <c r="E154" s="1">
        <v>7</v>
      </c>
      <c r="F154" s="1">
        <v>7</v>
      </c>
    </row>
    <row r="155" spans="1:6" x14ac:dyDescent="0.35">
      <c r="A155" s="1">
        <v>9</v>
      </c>
      <c r="B155" s="1">
        <v>9</v>
      </c>
      <c r="C155" s="1">
        <v>9</v>
      </c>
      <c r="D155" s="1">
        <v>9</v>
      </c>
      <c r="E155" s="1">
        <v>9</v>
      </c>
      <c r="F155" s="1">
        <v>9</v>
      </c>
    </row>
    <row r="156" spans="1:6" x14ac:dyDescent="0.35">
      <c r="A156" s="1">
        <v>9</v>
      </c>
      <c r="B156" s="1">
        <v>9</v>
      </c>
      <c r="C156" s="1">
        <v>9</v>
      </c>
      <c r="D156" s="1">
        <v>9</v>
      </c>
      <c r="E156" s="1">
        <v>9</v>
      </c>
      <c r="F156" s="1">
        <v>0.11111111111111099</v>
      </c>
    </row>
    <row r="157" spans="1:6" x14ac:dyDescent="0.35">
      <c r="A157" s="1">
        <v>7</v>
      </c>
      <c r="B157" s="1">
        <v>7</v>
      </c>
      <c r="C157" s="1">
        <v>7</v>
      </c>
      <c r="D157" s="1">
        <v>7</v>
      </c>
      <c r="E157" s="1">
        <v>7</v>
      </c>
      <c r="F157" s="1">
        <v>0.14285714285714299</v>
      </c>
    </row>
    <row r="158" spans="1:6" x14ac:dyDescent="0.35">
      <c r="A158" s="1">
        <v>7</v>
      </c>
      <c r="B158" s="1">
        <v>7</v>
      </c>
      <c r="C158" s="1">
        <v>7</v>
      </c>
      <c r="D158" s="1">
        <v>7</v>
      </c>
      <c r="E158" s="1">
        <v>7</v>
      </c>
      <c r="F158" s="1">
        <v>7</v>
      </c>
    </row>
    <row r="159" spans="1:6" x14ac:dyDescent="0.35">
      <c r="A159" s="1">
        <v>9</v>
      </c>
      <c r="B159" s="1">
        <v>9</v>
      </c>
      <c r="C159" s="1">
        <v>9</v>
      </c>
      <c r="D159" s="1">
        <v>9</v>
      </c>
      <c r="E159" s="1">
        <v>9</v>
      </c>
      <c r="F159" s="1">
        <v>9</v>
      </c>
    </row>
    <row r="160" spans="1:6" x14ac:dyDescent="0.35">
      <c r="A160" s="1">
        <v>7</v>
      </c>
      <c r="B160" s="1">
        <v>7</v>
      </c>
      <c r="C160" s="1">
        <v>7</v>
      </c>
      <c r="D160" s="1">
        <v>7</v>
      </c>
      <c r="E160" s="1">
        <v>7</v>
      </c>
      <c r="F160" s="1">
        <v>7</v>
      </c>
    </row>
    <row r="161" spans="1:6" x14ac:dyDescent="0.35">
      <c r="A161" s="1">
        <v>9</v>
      </c>
      <c r="B161" s="1">
        <v>9</v>
      </c>
      <c r="C161" s="1">
        <v>9</v>
      </c>
      <c r="D161" s="1">
        <v>9</v>
      </c>
      <c r="E161" s="1">
        <v>9</v>
      </c>
      <c r="F161" s="1">
        <v>9</v>
      </c>
    </row>
    <row r="162" spans="1:6" x14ac:dyDescent="0.35">
      <c r="A162" s="1">
        <v>7</v>
      </c>
      <c r="B162" s="1">
        <v>7</v>
      </c>
      <c r="C162" s="1">
        <v>7</v>
      </c>
      <c r="D162" s="1">
        <v>7</v>
      </c>
      <c r="E162" s="1">
        <v>7</v>
      </c>
      <c r="F162" s="1">
        <v>7</v>
      </c>
    </row>
    <row r="163" spans="1:6" x14ac:dyDescent="0.35">
      <c r="A163" s="1">
        <v>3</v>
      </c>
      <c r="B163" s="1">
        <v>5</v>
      </c>
      <c r="C163" s="1">
        <v>3</v>
      </c>
      <c r="D163" s="1">
        <v>7</v>
      </c>
      <c r="E163" s="1">
        <v>3</v>
      </c>
      <c r="F163" s="1">
        <v>1</v>
      </c>
    </row>
    <row r="164" spans="1:6" x14ac:dyDescent="0.35">
      <c r="A164" s="1">
        <v>1</v>
      </c>
      <c r="B164" s="1">
        <v>3</v>
      </c>
      <c r="C164" s="1">
        <v>7</v>
      </c>
      <c r="D164" s="1">
        <v>7</v>
      </c>
      <c r="E164" s="1">
        <v>9</v>
      </c>
      <c r="F164" s="1">
        <v>3</v>
      </c>
    </row>
    <row r="165" spans="1:6" x14ac:dyDescent="0.35">
      <c r="A165" s="1">
        <v>7</v>
      </c>
      <c r="B165" s="1">
        <v>7</v>
      </c>
      <c r="C165" s="1">
        <v>7</v>
      </c>
      <c r="D165" s="1">
        <v>7</v>
      </c>
      <c r="E165" s="1">
        <v>7</v>
      </c>
      <c r="F165" s="1">
        <v>7</v>
      </c>
    </row>
    <row r="166" spans="1:6" x14ac:dyDescent="0.35">
      <c r="A166" s="1">
        <v>3</v>
      </c>
      <c r="B166" s="1">
        <v>5</v>
      </c>
      <c r="C166" s="1">
        <v>5</v>
      </c>
      <c r="D166" s="1">
        <v>7</v>
      </c>
      <c r="E166" s="1">
        <v>5</v>
      </c>
      <c r="F166" s="1">
        <v>5</v>
      </c>
    </row>
    <row r="167" spans="1:6" x14ac:dyDescent="0.35">
      <c r="A167" s="1">
        <v>1</v>
      </c>
      <c r="B167" s="1">
        <v>5</v>
      </c>
      <c r="C167" s="1">
        <v>5</v>
      </c>
      <c r="D167" s="1">
        <v>9</v>
      </c>
      <c r="E167" s="1">
        <v>9</v>
      </c>
      <c r="F167" s="1">
        <v>1</v>
      </c>
    </row>
    <row r="168" spans="1:6" x14ac:dyDescent="0.35">
      <c r="A168" s="1">
        <v>9</v>
      </c>
      <c r="B168" s="1">
        <v>9</v>
      </c>
      <c r="C168" s="1">
        <v>9</v>
      </c>
      <c r="D168" s="1">
        <v>9</v>
      </c>
      <c r="E168" s="1">
        <v>9</v>
      </c>
      <c r="F168" s="1">
        <v>9</v>
      </c>
    </row>
    <row r="169" spans="1:6" x14ac:dyDescent="0.35">
      <c r="A169" s="1">
        <v>0.14285714285714299</v>
      </c>
      <c r="B169" s="1">
        <v>1</v>
      </c>
      <c r="C169" s="1">
        <v>5</v>
      </c>
      <c r="D169" s="1">
        <v>7</v>
      </c>
      <c r="E169" s="1">
        <v>9</v>
      </c>
      <c r="F169" s="1">
        <v>0.33333333333333298</v>
      </c>
    </row>
    <row r="170" spans="1:6" x14ac:dyDescent="0.35">
      <c r="A170" s="1">
        <v>0.14285714285714299</v>
      </c>
      <c r="B170" s="1">
        <v>0.14285714285714299</v>
      </c>
      <c r="C170" s="1">
        <v>0.14285714285714299</v>
      </c>
      <c r="D170" s="1">
        <v>7</v>
      </c>
      <c r="E170" s="1">
        <v>0.14285714285714299</v>
      </c>
      <c r="F170" s="1">
        <v>0.14285714285714299</v>
      </c>
    </row>
    <row r="171" spans="1:6" x14ac:dyDescent="0.35">
      <c r="A171" s="1">
        <v>0.14285714285714299</v>
      </c>
      <c r="B171" s="1">
        <v>7</v>
      </c>
      <c r="C171" s="1">
        <v>7</v>
      </c>
      <c r="D171" s="1">
        <v>7</v>
      </c>
      <c r="E171" s="1">
        <v>7</v>
      </c>
      <c r="F171" s="1">
        <v>0.14285714285714299</v>
      </c>
    </row>
    <row r="172" spans="1:6" x14ac:dyDescent="0.35">
      <c r="A172" s="1">
        <v>5</v>
      </c>
      <c r="B172" s="1">
        <v>5</v>
      </c>
      <c r="C172" s="1">
        <v>5</v>
      </c>
      <c r="D172" s="1">
        <v>5</v>
      </c>
      <c r="E172" s="1">
        <v>5</v>
      </c>
      <c r="F172" s="1">
        <v>0.2</v>
      </c>
    </row>
    <row r="173" spans="1:6" x14ac:dyDescent="0.35">
      <c r="A173" s="1">
        <v>0.11111111111111099</v>
      </c>
      <c r="B173" s="1">
        <v>9</v>
      </c>
      <c r="C173" s="1">
        <v>0.11111111111111099</v>
      </c>
      <c r="D173" s="1">
        <v>9</v>
      </c>
      <c r="E173" s="1">
        <v>9</v>
      </c>
      <c r="F173" s="1">
        <v>0.11111111111111099</v>
      </c>
    </row>
    <row r="174" spans="1:6" x14ac:dyDescent="0.35">
      <c r="A174" s="1">
        <v>1</v>
      </c>
      <c r="B174" s="1">
        <v>1</v>
      </c>
      <c r="C174" s="1">
        <v>1</v>
      </c>
      <c r="D174" s="1">
        <v>1</v>
      </c>
      <c r="E174" s="1">
        <v>1</v>
      </c>
      <c r="F174" s="1">
        <v>1</v>
      </c>
    </row>
    <row r="175" spans="1:6" x14ac:dyDescent="0.35">
      <c r="A175" s="1">
        <v>0.11111111111111099</v>
      </c>
      <c r="B175" s="1">
        <v>9</v>
      </c>
      <c r="C175" s="1">
        <v>0.11111111111111099</v>
      </c>
      <c r="D175" s="1">
        <v>9</v>
      </c>
      <c r="E175" s="1">
        <v>9</v>
      </c>
      <c r="F175" s="1">
        <v>0.14285714285714299</v>
      </c>
    </row>
    <row r="176" spans="1:6" x14ac:dyDescent="0.35">
      <c r="A176" s="1">
        <v>1</v>
      </c>
      <c r="B176" s="1">
        <v>1</v>
      </c>
      <c r="C176" s="1">
        <v>1</v>
      </c>
      <c r="D176" s="1">
        <v>1</v>
      </c>
      <c r="E176" s="1">
        <v>1</v>
      </c>
      <c r="F176" s="1">
        <v>1</v>
      </c>
    </row>
    <row r="177" spans="1:6" x14ac:dyDescent="0.35">
      <c r="A177" s="1">
        <v>1</v>
      </c>
      <c r="B177" s="1">
        <v>1</v>
      </c>
      <c r="C177" s="1">
        <v>1</v>
      </c>
      <c r="D177" s="1">
        <v>1</v>
      </c>
      <c r="E177" s="1">
        <v>1</v>
      </c>
      <c r="F177" s="1">
        <v>1</v>
      </c>
    </row>
    <row r="178" spans="1:6" x14ac:dyDescent="0.35">
      <c r="A178" s="1">
        <v>0.11111111111111099</v>
      </c>
      <c r="B178" s="1">
        <v>0.11111111111111099</v>
      </c>
      <c r="C178" s="1">
        <v>9</v>
      </c>
      <c r="D178" s="1">
        <v>9</v>
      </c>
      <c r="E178" s="1">
        <v>9</v>
      </c>
      <c r="F178" s="1">
        <v>9</v>
      </c>
    </row>
    <row r="179" spans="1:6" x14ac:dyDescent="0.35">
      <c r="A179" s="1">
        <v>1</v>
      </c>
      <c r="B179" s="1">
        <v>1</v>
      </c>
      <c r="C179" s="1">
        <v>1</v>
      </c>
      <c r="D179" s="1">
        <v>1</v>
      </c>
      <c r="E179" s="1">
        <v>1</v>
      </c>
      <c r="F179" s="1">
        <v>1</v>
      </c>
    </row>
    <row r="180" spans="1:6" x14ac:dyDescent="0.35">
      <c r="A180" s="1">
        <v>7</v>
      </c>
      <c r="B180" s="1">
        <v>7</v>
      </c>
      <c r="C180" s="1">
        <v>7</v>
      </c>
      <c r="D180" s="1">
        <v>7</v>
      </c>
      <c r="E180" s="1">
        <v>7</v>
      </c>
      <c r="F180" s="1">
        <v>7</v>
      </c>
    </row>
    <row r="181" spans="1:6" x14ac:dyDescent="0.35">
      <c r="A181" s="1">
        <v>1</v>
      </c>
      <c r="B181" s="1">
        <v>1</v>
      </c>
      <c r="C181" s="1">
        <v>1</v>
      </c>
      <c r="D181" s="1">
        <v>1</v>
      </c>
      <c r="E181" s="1">
        <v>1</v>
      </c>
      <c r="F181" s="1">
        <v>1</v>
      </c>
    </row>
    <row r="182" spans="1:6" x14ac:dyDescent="0.35">
      <c r="A182" s="1">
        <v>1</v>
      </c>
      <c r="B182" s="1">
        <v>1</v>
      </c>
      <c r="C182" s="1">
        <v>1</v>
      </c>
      <c r="D182" s="1">
        <v>1</v>
      </c>
      <c r="E182" s="1">
        <v>1</v>
      </c>
      <c r="F182" s="1">
        <v>1</v>
      </c>
    </row>
    <row r="183" spans="1:6" x14ac:dyDescent="0.35">
      <c r="A183" s="1">
        <v>0.11111111111111099</v>
      </c>
      <c r="B183" s="1">
        <v>9</v>
      </c>
      <c r="C183" s="1">
        <v>9</v>
      </c>
      <c r="D183" s="1">
        <v>9</v>
      </c>
      <c r="E183" s="1">
        <v>9</v>
      </c>
      <c r="F183" s="1">
        <v>0.11111111111111099</v>
      </c>
    </row>
    <row r="184" spans="1:6" x14ac:dyDescent="0.35">
      <c r="A184" s="1">
        <v>7</v>
      </c>
      <c r="B184" s="1">
        <v>7</v>
      </c>
      <c r="C184" s="1">
        <v>7</v>
      </c>
      <c r="D184" s="1">
        <v>7</v>
      </c>
      <c r="E184" s="1">
        <v>7</v>
      </c>
      <c r="F184" s="1">
        <v>7</v>
      </c>
    </row>
    <row r="185" spans="1:6" x14ac:dyDescent="0.35">
      <c r="A185" s="1">
        <v>1</v>
      </c>
      <c r="B185" s="1">
        <v>1</v>
      </c>
      <c r="C185" s="1">
        <v>1</v>
      </c>
      <c r="D185" s="1">
        <v>1</v>
      </c>
      <c r="E185" s="1">
        <v>1</v>
      </c>
      <c r="F185" s="1">
        <v>1</v>
      </c>
    </row>
    <row r="186" spans="1:6" x14ac:dyDescent="0.35">
      <c r="A186" s="1">
        <v>1</v>
      </c>
      <c r="B186" s="1">
        <v>1</v>
      </c>
      <c r="C186" s="1">
        <v>0.33333333333333298</v>
      </c>
      <c r="D186" s="1">
        <v>3</v>
      </c>
      <c r="E186" s="1">
        <v>1</v>
      </c>
      <c r="F186" s="1">
        <v>0.33333333333333298</v>
      </c>
    </row>
    <row r="187" spans="1:6" x14ac:dyDescent="0.35">
      <c r="A187" s="1">
        <v>0.11111111111111099</v>
      </c>
      <c r="B187" s="1">
        <v>0.14285714285714299</v>
      </c>
      <c r="C187" s="1">
        <v>1</v>
      </c>
      <c r="D187" s="1">
        <v>0.33333333333333298</v>
      </c>
      <c r="E187" s="1">
        <v>1</v>
      </c>
      <c r="F187" s="1">
        <v>1</v>
      </c>
    </row>
    <row r="188" spans="1:6" x14ac:dyDescent="0.35">
      <c r="A188" s="1">
        <v>1</v>
      </c>
      <c r="B188" s="1">
        <v>5</v>
      </c>
      <c r="C188" s="1">
        <v>0.14285714285714299</v>
      </c>
      <c r="D188" s="1">
        <v>5</v>
      </c>
      <c r="E188" s="1">
        <v>5</v>
      </c>
      <c r="F188" s="1">
        <v>1</v>
      </c>
    </row>
    <row r="189" spans="1:6" x14ac:dyDescent="0.35">
      <c r="A189" s="1">
        <v>1</v>
      </c>
      <c r="B189" s="1">
        <v>5</v>
      </c>
      <c r="C189" s="1">
        <v>7</v>
      </c>
      <c r="D189" s="1">
        <v>5</v>
      </c>
      <c r="E189" s="1">
        <v>5</v>
      </c>
      <c r="F189" s="1">
        <v>1</v>
      </c>
    </row>
    <row r="190" spans="1:6" x14ac:dyDescent="0.35">
      <c r="A190" s="1">
        <v>1</v>
      </c>
      <c r="B190" s="1">
        <v>5</v>
      </c>
      <c r="C190" s="1">
        <v>1</v>
      </c>
      <c r="D190" s="1">
        <v>3</v>
      </c>
      <c r="E190" s="1">
        <v>1</v>
      </c>
      <c r="F190" s="1">
        <v>1</v>
      </c>
    </row>
    <row r="191" spans="1:6" x14ac:dyDescent="0.35">
      <c r="A191" s="1">
        <v>0.14285714285714299</v>
      </c>
      <c r="B191" s="1">
        <v>1</v>
      </c>
      <c r="C191" s="1">
        <v>0.33333333333333298</v>
      </c>
      <c r="D191" s="1">
        <v>1</v>
      </c>
      <c r="E191" s="1">
        <v>1</v>
      </c>
      <c r="F191" s="1">
        <v>1</v>
      </c>
    </row>
    <row r="192" spans="1:6" x14ac:dyDescent="0.35">
      <c r="A192" s="1">
        <v>1</v>
      </c>
      <c r="B192" s="1">
        <v>5</v>
      </c>
      <c r="C192" s="1">
        <v>1</v>
      </c>
      <c r="D192" s="1">
        <v>5</v>
      </c>
      <c r="E192" s="1">
        <v>1</v>
      </c>
      <c r="F192" s="1">
        <v>0.2</v>
      </c>
    </row>
    <row r="193" spans="1:6" x14ac:dyDescent="0.35">
      <c r="A193" s="1">
        <v>0.14285714285714299</v>
      </c>
      <c r="B193" s="1">
        <v>7</v>
      </c>
      <c r="C193" s="1">
        <v>5</v>
      </c>
      <c r="D193" s="1">
        <v>9</v>
      </c>
      <c r="E193" s="1">
        <v>9</v>
      </c>
      <c r="F193" s="1">
        <v>3</v>
      </c>
    </row>
    <row r="194" spans="1:6" x14ac:dyDescent="0.35">
      <c r="A194" s="1">
        <v>1</v>
      </c>
      <c r="B194" s="1">
        <v>5</v>
      </c>
      <c r="C194" s="1">
        <v>1</v>
      </c>
      <c r="D194" s="1">
        <v>5</v>
      </c>
      <c r="E194" s="1">
        <v>1</v>
      </c>
      <c r="F194" s="1">
        <v>0.2</v>
      </c>
    </row>
    <row r="195" spans="1:6" x14ac:dyDescent="0.35">
      <c r="A195" s="1">
        <v>1</v>
      </c>
      <c r="B195" s="1">
        <v>5</v>
      </c>
      <c r="C195" s="1">
        <v>1</v>
      </c>
      <c r="D195" s="1">
        <v>7</v>
      </c>
      <c r="E195" s="1">
        <v>1</v>
      </c>
      <c r="F195" s="1">
        <v>0.2</v>
      </c>
    </row>
    <row r="196" spans="1:6" x14ac:dyDescent="0.35">
      <c r="A196" s="1">
        <v>1</v>
      </c>
      <c r="B196" s="1">
        <v>5</v>
      </c>
      <c r="C196" s="1">
        <v>1</v>
      </c>
      <c r="D196" s="1">
        <v>7</v>
      </c>
      <c r="E196" s="1">
        <v>9</v>
      </c>
      <c r="F196" s="1">
        <v>0.33333333333333298</v>
      </c>
    </row>
    <row r="197" spans="1:6" x14ac:dyDescent="0.35">
      <c r="A197" s="1">
        <v>1</v>
      </c>
      <c r="B197" s="1">
        <v>5</v>
      </c>
      <c r="C197" s="1">
        <v>1</v>
      </c>
      <c r="D197" s="1">
        <v>1</v>
      </c>
      <c r="E197" s="1">
        <v>1</v>
      </c>
      <c r="F197" s="1">
        <v>1</v>
      </c>
    </row>
    <row r="198" spans="1:6" x14ac:dyDescent="0.35">
      <c r="A198" s="1">
        <v>0.2</v>
      </c>
      <c r="B198" s="1">
        <v>5</v>
      </c>
      <c r="C198" s="1">
        <v>3</v>
      </c>
      <c r="D198" s="1">
        <v>5</v>
      </c>
      <c r="E198" s="1">
        <v>5</v>
      </c>
      <c r="F198" s="1">
        <v>0.14285714285714299</v>
      </c>
    </row>
    <row r="199" spans="1:6" x14ac:dyDescent="0.35">
      <c r="A199" s="1">
        <v>1</v>
      </c>
      <c r="B199" s="1">
        <v>7</v>
      </c>
      <c r="C199" s="1">
        <v>5</v>
      </c>
      <c r="D199" s="1">
        <v>7</v>
      </c>
      <c r="E199" s="1">
        <v>7</v>
      </c>
      <c r="F199" s="1">
        <v>0.33333333333333298</v>
      </c>
    </row>
    <row r="200" spans="1:6" x14ac:dyDescent="0.35">
      <c r="A200" s="1">
        <v>1</v>
      </c>
      <c r="B200" s="1">
        <v>3</v>
      </c>
      <c r="C200" s="1">
        <v>1</v>
      </c>
      <c r="D200" s="1">
        <v>5</v>
      </c>
      <c r="E200" s="1">
        <v>3</v>
      </c>
      <c r="F200" s="1">
        <v>0.2</v>
      </c>
    </row>
    <row r="201" spans="1:6" x14ac:dyDescent="0.35">
      <c r="A201" s="1">
        <v>0.2</v>
      </c>
      <c r="B201" s="1">
        <v>5</v>
      </c>
      <c r="C201" s="1">
        <v>5</v>
      </c>
      <c r="D201" s="1">
        <v>7</v>
      </c>
      <c r="E201" s="1">
        <v>5</v>
      </c>
      <c r="F201" s="1">
        <v>0.33333333333333298</v>
      </c>
    </row>
    <row r="202" spans="1:6" x14ac:dyDescent="0.35">
      <c r="A202" s="1">
        <v>1</v>
      </c>
      <c r="B202" s="1">
        <v>3</v>
      </c>
      <c r="C202" s="1">
        <v>0.2</v>
      </c>
      <c r="D202" s="1">
        <v>5</v>
      </c>
      <c r="E202" s="1">
        <v>1</v>
      </c>
      <c r="F202" s="1">
        <v>0.2</v>
      </c>
    </row>
    <row r="203" spans="1:6" x14ac:dyDescent="0.35">
      <c r="A203" s="1">
        <v>0.2</v>
      </c>
      <c r="B203" s="1">
        <v>0.33333333333333298</v>
      </c>
      <c r="C203" s="1">
        <v>1</v>
      </c>
      <c r="D203" s="1">
        <v>1</v>
      </c>
      <c r="E203" s="1">
        <v>1</v>
      </c>
      <c r="F203" s="1">
        <v>1</v>
      </c>
    </row>
    <row r="204" spans="1:6" x14ac:dyDescent="0.35">
      <c r="A204" s="1">
        <v>3</v>
      </c>
      <c r="B204" s="1">
        <v>5</v>
      </c>
      <c r="C204" s="1">
        <v>5</v>
      </c>
      <c r="D204" s="1">
        <v>5</v>
      </c>
      <c r="E204" s="1">
        <v>5</v>
      </c>
      <c r="F204" s="1">
        <v>0.33333333333333298</v>
      </c>
    </row>
    <row r="205" spans="1:6" x14ac:dyDescent="0.35">
      <c r="A205" s="1">
        <v>1</v>
      </c>
      <c r="B205" s="1">
        <v>1</v>
      </c>
      <c r="C205" s="1">
        <v>0.2</v>
      </c>
      <c r="D205" s="1">
        <v>1</v>
      </c>
      <c r="E205" s="1">
        <v>0.33333333333333298</v>
      </c>
      <c r="F205" s="1">
        <v>0.2</v>
      </c>
    </row>
    <row r="206" spans="1:6" x14ac:dyDescent="0.35">
      <c r="A206" s="1">
        <v>1</v>
      </c>
      <c r="B206" s="1">
        <v>5</v>
      </c>
      <c r="C206" s="1">
        <v>1</v>
      </c>
      <c r="D206" s="1">
        <v>9</v>
      </c>
      <c r="E206" s="1">
        <v>7</v>
      </c>
      <c r="F206" s="1">
        <v>1</v>
      </c>
    </row>
    <row r="207" spans="1:6" x14ac:dyDescent="0.35">
      <c r="A207" s="1">
        <v>1</v>
      </c>
      <c r="B207" s="1">
        <v>0.2</v>
      </c>
      <c r="C207" s="1">
        <v>1</v>
      </c>
      <c r="D207" s="1">
        <v>0.2</v>
      </c>
      <c r="E207" s="1">
        <v>1</v>
      </c>
      <c r="F207" s="1">
        <v>0.2</v>
      </c>
    </row>
    <row r="208" spans="1:6" x14ac:dyDescent="0.35">
      <c r="A208" s="1">
        <v>0.33333333333333298</v>
      </c>
      <c r="B208" s="1">
        <v>3</v>
      </c>
      <c r="C208" s="1">
        <v>5</v>
      </c>
      <c r="D208" s="1">
        <v>7</v>
      </c>
      <c r="E208" s="1">
        <v>3</v>
      </c>
      <c r="F208" s="1">
        <v>1</v>
      </c>
    </row>
    <row r="209" spans="1:6" x14ac:dyDescent="0.35">
      <c r="A209" s="1">
        <v>1</v>
      </c>
      <c r="B209" s="1">
        <v>0.2</v>
      </c>
      <c r="C209" s="1">
        <v>1</v>
      </c>
      <c r="D209" s="1">
        <v>0.33333333333333298</v>
      </c>
      <c r="E209" s="1">
        <v>1</v>
      </c>
      <c r="F209" s="1">
        <v>5</v>
      </c>
    </row>
    <row r="210" spans="1:6" x14ac:dyDescent="0.35">
      <c r="A210" s="1">
        <v>1</v>
      </c>
      <c r="B210" s="1">
        <v>5</v>
      </c>
      <c r="C210" s="1">
        <v>0.2</v>
      </c>
      <c r="D210" s="1">
        <v>7</v>
      </c>
      <c r="E210" s="1">
        <v>1</v>
      </c>
      <c r="F210" s="1">
        <v>0.14285714285714299</v>
      </c>
    </row>
    <row r="211" spans="1:6" x14ac:dyDescent="0.35">
      <c r="A211" s="1">
        <v>0.2</v>
      </c>
      <c r="B211" s="1">
        <v>0.2</v>
      </c>
      <c r="C211" s="1">
        <v>7</v>
      </c>
      <c r="D211" s="1">
        <v>7</v>
      </c>
      <c r="E211" s="1">
        <v>7</v>
      </c>
      <c r="F211" s="1">
        <v>7</v>
      </c>
    </row>
    <row r="212" spans="1:6" x14ac:dyDescent="0.35">
      <c r="A212" s="1">
        <v>1</v>
      </c>
      <c r="B212" s="1">
        <v>5</v>
      </c>
      <c r="C212" s="1">
        <v>0.2</v>
      </c>
      <c r="D212" s="1">
        <v>7</v>
      </c>
      <c r="E212" s="1">
        <v>0.2</v>
      </c>
      <c r="F212" s="1">
        <v>0.14285714285714299</v>
      </c>
    </row>
    <row r="213" spans="1:6" x14ac:dyDescent="0.35">
      <c r="A213" s="1">
        <v>1</v>
      </c>
      <c r="B213" s="1">
        <v>5</v>
      </c>
      <c r="C213" s="1">
        <v>1</v>
      </c>
      <c r="D213" s="1">
        <v>5</v>
      </c>
      <c r="E213" s="1">
        <v>1</v>
      </c>
      <c r="F213" s="1">
        <v>0.14285714285714299</v>
      </c>
    </row>
    <row r="214" spans="1:6" x14ac:dyDescent="0.35">
      <c r="A214" s="1">
        <v>1</v>
      </c>
      <c r="B214" s="1">
        <v>5</v>
      </c>
      <c r="C214" s="1">
        <v>0.33333333333333298</v>
      </c>
      <c r="D214" s="1">
        <v>1</v>
      </c>
      <c r="E214" s="1">
        <v>5</v>
      </c>
      <c r="F214" s="1">
        <v>5</v>
      </c>
    </row>
    <row r="215" spans="1:6" x14ac:dyDescent="0.35">
      <c r="A215" s="1">
        <v>1</v>
      </c>
      <c r="B215" s="1">
        <v>5</v>
      </c>
      <c r="C215" s="1">
        <v>7</v>
      </c>
      <c r="D215" s="1">
        <v>7</v>
      </c>
      <c r="E215" s="1">
        <v>7</v>
      </c>
      <c r="F215" s="1">
        <v>1</v>
      </c>
    </row>
    <row r="216" spans="1:6" x14ac:dyDescent="0.35">
      <c r="A216" s="1">
        <v>1</v>
      </c>
      <c r="B216" s="1">
        <v>7</v>
      </c>
      <c r="C216" s="1">
        <v>7</v>
      </c>
      <c r="D216" s="1">
        <v>9</v>
      </c>
      <c r="E216" s="1">
        <v>9</v>
      </c>
      <c r="F216" s="1">
        <v>0.2</v>
      </c>
    </row>
    <row r="217" spans="1:6" x14ac:dyDescent="0.35">
      <c r="A217" s="1">
        <v>1</v>
      </c>
      <c r="B217" s="1">
        <v>1</v>
      </c>
      <c r="C217" s="1">
        <v>0.33333333333333298</v>
      </c>
      <c r="D217" s="1">
        <v>0.33333333333333298</v>
      </c>
      <c r="E217" s="1">
        <v>1</v>
      </c>
      <c r="F217" s="1">
        <v>1</v>
      </c>
    </row>
    <row r="218" spans="1:6" x14ac:dyDescent="0.35">
      <c r="A218" s="1">
        <v>0.14285714285714299</v>
      </c>
      <c r="B218" s="1">
        <v>7</v>
      </c>
      <c r="C218" s="1">
        <v>0.14285714285714299</v>
      </c>
      <c r="D218" s="1">
        <v>7</v>
      </c>
      <c r="E218" s="1">
        <v>3</v>
      </c>
      <c r="F218" s="1">
        <v>0.14285714285714299</v>
      </c>
    </row>
    <row r="219" spans="1:6" x14ac:dyDescent="0.35">
      <c r="A219" s="1">
        <v>1</v>
      </c>
      <c r="B219" s="1">
        <v>5</v>
      </c>
      <c r="C219" s="1">
        <v>0.2</v>
      </c>
      <c r="D219" s="1">
        <v>3</v>
      </c>
      <c r="E219" s="1">
        <v>1</v>
      </c>
      <c r="F219" s="1">
        <v>5</v>
      </c>
    </row>
    <row r="220" spans="1:6" x14ac:dyDescent="0.35">
      <c r="A220" s="1">
        <v>1</v>
      </c>
      <c r="B220" s="1">
        <v>0.14285714285714299</v>
      </c>
      <c r="C220" s="1">
        <v>0.33333333333333298</v>
      </c>
      <c r="D220" s="1">
        <v>0.2</v>
      </c>
      <c r="E220" s="1">
        <v>5</v>
      </c>
      <c r="F220" s="1">
        <v>0.11111111111111099</v>
      </c>
    </row>
    <row r="221" spans="1:6" x14ac:dyDescent="0.35">
      <c r="A221" s="1">
        <v>0.11111111111111099</v>
      </c>
      <c r="B221" s="1">
        <v>1</v>
      </c>
      <c r="C221" s="1">
        <v>0.33333333333333298</v>
      </c>
      <c r="D221" s="1">
        <v>3</v>
      </c>
      <c r="E221" s="1">
        <v>0.33333333333333298</v>
      </c>
      <c r="F221" s="1">
        <v>1</v>
      </c>
    </row>
    <row r="222" spans="1:6" x14ac:dyDescent="0.35">
      <c r="A222" s="1">
        <v>0.2</v>
      </c>
      <c r="B222" s="1">
        <v>1</v>
      </c>
      <c r="C222" s="1">
        <v>7</v>
      </c>
      <c r="D222" s="1">
        <v>3</v>
      </c>
      <c r="E222" s="1">
        <v>5</v>
      </c>
      <c r="F222" s="1">
        <v>7</v>
      </c>
    </row>
    <row r="223" spans="1:6" x14ac:dyDescent="0.35">
      <c r="A223" s="1">
        <v>1</v>
      </c>
      <c r="B223" s="1">
        <v>1</v>
      </c>
      <c r="C223" s="1">
        <v>1</v>
      </c>
      <c r="D223" s="1">
        <v>1</v>
      </c>
      <c r="E223" s="1">
        <v>1</v>
      </c>
      <c r="F223" s="1">
        <v>1</v>
      </c>
    </row>
    <row r="224" spans="1:6" x14ac:dyDescent="0.35">
      <c r="A224" s="1">
        <v>1</v>
      </c>
      <c r="B224" s="1">
        <v>1</v>
      </c>
      <c r="C224" s="1">
        <v>1</v>
      </c>
      <c r="D224" s="1">
        <v>1</v>
      </c>
      <c r="E224" s="1">
        <v>1</v>
      </c>
      <c r="F224" s="1">
        <v>1</v>
      </c>
    </row>
    <row r="225" spans="1:6" x14ac:dyDescent="0.35">
      <c r="A225" s="1">
        <v>0.2</v>
      </c>
      <c r="B225" s="1">
        <v>3</v>
      </c>
      <c r="C225" s="1">
        <v>0.2</v>
      </c>
      <c r="D225" s="1">
        <v>5</v>
      </c>
      <c r="E225" s="1">
        <v>1</v>
      </c>
      <c r="F225" s="1">
        <v>0.14285714285714299</v>
      </c>
    </row>
    <row r="226" spans="1:6" x14ac:dyDescent="0.35">
      <c r="A226" s="1">
        <v>1</v>
      </c>
      <c r="B226" s="1">
        <v>1</v>
      </c>
      <c r="C226" s="1">
        <v>1</v>
      </c>
      <c r="D226" s="1">
        <v>1</v>
      </c>
      <c r="E226" s="1">
        <v>1</v>
      </c>
      <c r="F226" s="1">
        <v>1</v>
      </c>
    </row>
    <row r="227" spans="1:6" x14ac:dyDescent="0.35">
      <c r="A227" s="1">
        <v>1</v>
      </c>
      <c r="B227" s="1">
        <v>0.14285714285714299</v>
      </c>
      <c r="C227" s="1">
        <v>0.14285714285714299</v>
      </c>
      <c r="D227" s="1">
        <v>0.2</v>
      </c>
      <c r="E227" s="1">
        <v>3</v>
      </c>
      <c r="F227" s="1">
        <v>0.14285714285714299</v>
      </c>
    </row>
    <row r="228" spans="1:6" x14ac:dyDescent="0.35">
      <c r="A228" s="1">
        <v>1</v>
      </c>
      <c r="B228" s="1">
        <v>1</v>
      </c>
      <c r="C228" s="1">
        <v>1</v>
      </c>
      <c r="D228" s="1">
        <v>1</v>
      </c>
      <c r="E228" s="1">
        <v>1</v>
      </c>
      <c r="F228" s="1">
        <v>1</v>
      </c>
    </row>
    <row r="229" spans="1:6" x14ac:dyDescent="0.35">
      <c r="A229" s="1">
        <v>5</v>
      </c>
      <c r="B229" s="1">
        <v>9</v>
      </c>
      <c r="C229" s="1">
        <v>9</v>
      </c>
      <c r="D229" s="1">
        <v>5</v>
      </c>
      <c r="E229" s="1">
        <v>5</v>
      </c>
      <c r="F229" s="1">
        <v>1</v>
      </c>
    </row>
    <row r="230" spans="1:6" x14ac:dyDescent="0.35">
      <c r="A230" s="1">
        <v>1</v>
      </c>
      <c r="B230" s="1">
        <v>1</v>
      </c>
      <c r="C230" s="1">
        <v>1</v>
      </c>
      <c r="D230" s="1">
        <v>1</v>
      </c>
      <c r="E230" s="1">
        <v>1</v>
      </c>
      <c r="F230" s="1">
        <v>1</v>
      </c>
    </row>
    <row r="231" spans="1:6" x14ac:dyDescent="0.35">
      <c r="A231" s="1">
        <v>0.2</v>
      </c>
      <c r="B231" s="1">
        <v>5</v>
      </c>
      <c r="C231" s="1">
        <v>5</v>
      </c>
      <c r="D231" s="1">
        <v>9</v>
      </c>
      <c r="E231" s="1">
        <v>9</v>
      </c>
      <c r="F231" s="1">
        <v>1</v>
      </c>
    </row>
    <row r="232" spans="1:6" x14ac:dyDescent="0.35">
      <c r="A232" s="1">
        <v>1</v>
      </c>
      <c r="B232" s="1">
        <v>1</v>
      </c>
      <c r="C232" s="1">
        <v>1</v>
      </c>
      <c r="D232" s="1">
        <v>3</v>
      </c>
      <c r="E232" s="1">
        <v>0.33333333333333298</v>
      </c>
      <c r="F232" s="1">
        <v>0.33333333333333298</v>
      </c>
    </row>
    <row r="233" spans="1:6" x14ac:dyDescent="0.35">
      <c r="A233" s="1">
        <v>1</v>
      </c>
      <c r="B233" s="1">
        <v>3</v>
      </c>
      <c r="C233" s="1">
        <v>0.2</v>
      </c>
      <c r="D233" s="1">
        <v>5</v>
      </c>
      <c r="E233" s="1">
        <v>0.33333333333333298</v>
      </c>
      <c r="F233" s="1">
        <v>0.11111111111111099</v>
      </c>
    </row>
    <row r="234" spans="1:6" x14ac:dyDescent="0.35">
      <c r="A234" s="1">
        <v>1</v>
      </c>
      <c r="B234" s="1">
        <v>1</v>
      </c>
      <c r="C234" s="1">
        <v>1</v>
      </c>
      <c r="D234" s="1">
        <v>1</v>
      </c>
      <c r="E234" s="1">
        <v>1</v>
      </c>
      <c r="F234" s="1">
        <v>1</v>
      </c>
    </row>
    <row r="235" spans="1:6" x14ac:dyDescent="0.35">
      <c r="A235" s="1">
        <v>0.11111111111111099</v>
      </c>
      <c r="B235" s="1">
        <v>1</v>
      </c>
      <c r="C235" s="1">
        <v>0.14285714285714299</v>
      </c>
      <c r="D235" s="1">
        <v>7</v>
      </c>
      <c r="E235" s="1">
        <v>1</v>
      </c>
      <c r="F235" s="1">
        <v>1</v>
      </c>
    </row>
    <row r="236" spans="1:6" x14ac:dyDescent="0.35">
      <c r="A236" s="1">
        <v>0.33333333333333298</v>
      </c>
      <c r="B236" s="1">
        <v>3</v>
      </c>
      <c r="C236" s="1">
        <v>0.14285714285714299</v>
      </c>
      <c r="D236" s="1">
        <v>5</v>
      </c>
      <c r="E236" s="1">
        <v>0.14285714285714299</v>
      </c>
      <c r="F236" s="1">
        <v>0.11111111111111099</v>
      </c>
    </row>
    <row r="237" spans="1:6" x14ac:dyDescent="0.35">
      <c r="A237" s="1">
        <v>7</v>
      </c>
      <c r="B237" s="1">
        <v>9</v>
      </c>
      <c r="C237" s="1">
        <v>7</v>
      </c>
      <c r="D237" s="1">
        <v>7</v>
      </c>
      <c r="E237" s="1">
        <v>7</v>
      </c>
      <c r="F237" s="1">
        <v>0.33333333333333298</v>
      </c>
    </row>
    <row r="238" spans="1:6" x14ac:dyDescent="0.35">
      <c r="A238" s="1">
        <v>3</v>
      </c>
      <c r="B238" s="1">
        <v>1</v>
      </c>
      <c r="C238" s="1">
        <v>1</v>
      </c>
      <c r="D238" s="1">
        <v>1</v>
      </c>
      <c r="E238" s="1">
        <v>1</v>
      </c>
      <c r="F238" s="1">
        <v>3</v>
      </c>
    </row>
    <row r="239" spans="1:6" x14ac:dyDescent="0.35">
      <c r="A239" s="1">
        <v>7</v>
      </c>
      <c r="B239" s="1">
        <v>7</v>
      </c>
      <c r="C239" s="1">
        <v>7</v>
      </c>
      <c r="D239" s="1">
        <v>3</v>
      </c>
      <c r="E239" s="1">
        <v>3</v>
      </c>
      <c r="F239" s="1">
        <v>0.33333333333333298</v>
      </c>
    </row>
    <row r="240" spans="1:6" x14ac:dyDescent="0.35">
      <c r="A240" s="1">
        <v>1</v>
      </c>
      <c r="B240" s="1">
        <v>1</v>
      </c>
      <c r="C240" s="1">
        <v>1</v>
      </c>
      <c r="D240" s="1">
        <v>1</v>
      </c>
      <c r="E240" s="1">
        <v>1</v>
      </c>
      <c r="F240" s="1">
        <v>1</v>
      </c>
    </row>
    <row r="241" spans="1:6" x14ac:dyDescent="0.35">
      <c r="A241" s="1">
        <v>1</v>
      </c>
      <c r="B241" s="1">
        <v>1</v>
      </c>
      <c r="C241" s="1">
        <v>1</v>
      </c>
      <c r="D241" s="1">
        <v>1</v>
      </c>
      <c r="E241" s="1">
        <v>1</v>
      </c>
      <c r="F241" s="1">
        <v>1</v>
      </c>
    </row>
    <row r="242" spans="1:6" x14ac:dyDescent="0.35">
      <c r="A242" s="1">
        <v>0.11111111111111099</v>
      </c>
      <c r="B242" s="1">
        <v>1</v>
      </c>
      <c r="C242" s="1">
        <v>1</v>
      </c>
      <c r="D242" s="1">
        <v>1</v>
      </c>
      <c r="E242" s="1">
        <v>1</v>
      </c>
      <c r="F242" s="1">
        <v>1</v>
      </c>
    </row>
    <row r="243" spans="1:6" x14ac:dyDescent="0.35">
      <c r="A243" s="1">
        <v>1</v>
      </c>
      <c r="B243" s="1">
        <v>1</v>
      </c>
      <c r="C243" s="1">
        <v>1</v>
      </c>
      <c r="D243" s="1">
        <v>1</v>
      </c>
      <c r="E243" s="1">
        <v>1</v>
      </c>
      <c r="F243" s="1">
        <v>1</v>
      </c>
    </row>
    <row r="244" spans="1:6" x14ac:dyDescent="0.35">
      <c r="A244" s="1">
        <v>1</v>
      </c>
      <c r="B244" s="1">
        <v>1</v>
      </c>
      <c r="C244" s="1">
        <v>1</v>
      </c>
      <c r="D244" s="1">
        <v>1</v>
      </c>
      <c r="E244" s="1">
        <v>1</v>
      </c>
      <c r="F244" s="1">
        <v>1</v>
      </c>
    </row>
    <row r="245" spans="1:6" x14ac:dyDescent="0.35">
      <c r="A245" s="1">
        <v>1</v>
      </c>
      <c r="B245" s="1">
        <v>1</v>
      </c>
      <c r="C245" s="1">
        <v>1</v>
      </c>
      <c r="D245" s="1">
        <v>1</v>
      </c>
      <c r="E245" s="1">
        <v>1</v>
      </c>
      <c r="F245" s="1">
        <v>1</v>
      </c>
    </row>
    <row r="246" spans="1:6" x14ac:dyDescent="0.35">
      <c r="A246" s="1">
        <v>1</v>
      </c>
      <c r="B246" s="1">
        <v>1</v>
      </c>
      <c r="C246" s="1">
        <v>1</v>
      </c>
      <c r="D246" s="1">
        <v>1</v>
      </c>
      <c r="E246" s="1">
        <v>1</v>
      </c>
      <c r="F246" s="1">
        <v>1</v>
      </c>
    </row>
    <row r="247" spans="1:6" x14ac:dyDescent="0.35">
      <c r="A247" s="1">
        <v>1</v>
      </c>
      <c r="B247" s="1">
        <v>1</v>
      </c>
      <c r="C247" s="1">
        <v>1</v>
      </c>
      <c r="D247" s="1">
        <v>1</v>
      </c>
      <c r="E247" s="1">
        <v>1</v>
      </c>
      <c r="F247" s="1">
        <v>1</v>
      </c>
    </row>
    <row r="248" spans="1:6" x14ac:dyDescent="0.35">
      <c r="A248" s="1">
        <v>1</v>
      </c>
      <c r="B248" s="1">
        <v>1</v>
      </c>
      <c r="C248" s="1">
        <v>1</v>
      </c>
      <c r="D248" s="1">
        <v>1</v>
      </c>
      <c r="E248" s="1">
        <v>1</v>
      </c>
      <c r="F248" s="1">
        <v>1</v>
      </c>
    </row>
    <row r="249" spans="1:6" x14ac:dyDescent="0.35">
      <c r="A249" s="1">
        <v>1</v>
      </c>
      <c r="B249" s="1">
        <v>1</v>
      </c>
      <c r="C249" s="1">
        <v>1</v>
      </c>
      <c r="D249" s="1">
        <v>1</v>
      </c>
      <c r="E249" s="1">
        <v>1</v>
      </c>
      <c r="F249" s="1">
        <v>1</v>
      </c>
    </row>
    <row r="250" spans="1:6" x14ac:dyDescent="0.35">
      <c r="A250" s="1">
        <v>1</v>
      </c>
      <c r="B250" s="1">
        <v>7</v>
      </c>
      <c r="C250" s="1">
        <v>5</v>
      </c>
      <c r="D250" s="1">
        <v>9</v>
      </c>
      <c r="E250" s="1">
        <v>5</v>
      </c>
      <c r="F250" s="1">
        <v>1</v>
      </c>
    </row>
    <row r="251" spans="1:6" x14ac:dyDescent="0.35">
      <c r="A251" s="1">
        <v>9</v>
      </c>
      <c r="B251" s="1">
        <v>1</v>
      </c>
      <c r="C251" s="1">
        <v>5</v>
      </c>
      <c r="D251" s="1">
        <v>9</v>
      </c>
      <c r="E251" s="1">
        <v>0.14285714285714299</v>
      </c>
      <c r="F251" s="1">
        <v>1</v>
      </c>
    </row>
    <row r="252" spans="1:6" x14ac:dyDescent="0.35">
      <c r="A252" s="1">
        <v>1</v>
      </c>
      <c r="B252" s="1">
        <v>9</v>
      </c>
      <c r="C252" s="1">
        <v>5</v>
      </c>
      <c r="D252" s="1">
        <v>0.14285714285714299</v>
      </c>
      <c r="E252" s="1">
        <v>7</v>
      </c>
      <c r="F252" s="1">
        <v>1</v>
      </c>
    </row>
    <row r="253" spans="1:6" x14ac:dyDescent="0.35">
      <c r="A253" s="1">
        <v>1</v>
      </c>
      <c r="B253" s="1">
        <v>1</v>
      </c>
      <c r="C253" s="1">
        <v>1</v>
      </c>
      <c r="D253" s="1">
        <v>3</v>
      </c>
      <c r="E253" s="1">
        <v>0.33333333333333298</v>
      </c>
      <c r="F253" s="1">
        <v>3</v>
      </c>
    </row>
    <row r="254" spans="1:6" x14ac:dyDescent="0.35">
      <c r="A254" s="1">
        <v>9</v>
      </c>
      <c r="B254" s="1">
        <v>0.14285714285714299</v>
      </c>
      <c r="C254" s="1">
        <v>0.14285714285714299</v>
      </c>
      <c r="D254" s="1">
        <v>1</v>
      </c>
      <c r="E254" s="1">
        <v>7</v>
      </c>
      <c r="F254" s="1">
        <v>5</v>
      </c>
    </row>
    <row r="255" spans="1:6" x14ac:dyDescent="0.35">
      <c r="A255" s="1">
        <v>0.14285714285714299</v>
      </c>
      <c r="B255" s="1">
        <v>1</v>
      </c>
      <c r="C255" s="1">
        <v>7</v>
      </c>
      <c r="D255" s="1">
        <v>7</v>
      </c>
      <c r="E255" s="1">
        <v>1</v>
      </c>
      <c r="F255" s="1">
        <v>0.14285714285714299</v>
      </c>
    </row>
    <row r="256" spans="1:6" x14ac:dyDescent="0.35">
      <c r="A256" s="1">
        <v>0.14285714285714299</v>
      </c>
      <c r="B256" s="1">
        <v>1</v>
      </c>
      <c r="C256" s="1">
        <v>7</v>
      </c>
      <c r="D256" s="1">
        <v>7</v>
      </c>
      <c r="E256" s="1">
        <v>5</v>
      </c>
      <c r="F256" s="1">
        <v>0.14285714285714299</v>
      </c>
    </row>
    <row r="257" spans="1:6" x14ac:dyDescent="0.35">
      <c r="A257" s="1">
        <v>1</v>
      </c>
      <c r="B257" s="1">
        <v>5</v>
      </c>
      <c r="C257" s="1">
        <v>0.11111111111111099</v>
      </c>
      <c r="D257" s="1">
        <v>5</v>
      </c>
      <c r="E257" s="1">
        <v>0.2</v>
      </c>
      <c r="F257" s="1">
        <v>0.14285714285714299</v>
      </c>
    </row>
    <row r="258" spans="1:6" x14ac:dyDescent="0.35">
      <c r="A258" s="1">
        <v>1</v>
      </c>
      <c r="B258" s="1">
        <v>9</v>
      </c>
      <c r="C258" s="1">
        <v>7</v>
      </c>
      <c r="D258" s="1">
        <v>7</v>
      </c>
      <c r="E258" s="1">
        <v>7</v>
      </c>
      <c r="F258" s="1">
        <v>0.33333333333333298</v>
      </c>
    </row>
    <row r="259" spans="1:6" x14ac:dyDescent="0.35">
      <c r="A259" s="1">
        <v>1</v>
      </c>
      <c r="B259" s="1">
        <v>0.33333333333333298</v>
      </c>
      <c r="C259" s="1">
        <v>5</v>
      </c>
      <c r="D259" s="1">
        <v>0.33333333333333298</v>
      </c>
      <c r="E259" s="1">
        <v>5</v>
      </c>
      <c r="F259" s="1">
        <v>5</v>
      </c>
    </row>
    <row r="260" spans="1:6" x14ac:dyDescent="0.35">
      <c r="A260" s="1">
        <v>1</v>
      </c>
      <c r="B260" s="1">
        <v>0.2</v>
      </c>
      <c r="C260" s="1">
        <v>5</v>
      </c>
      <c r="D260" s="1">
        <v>0.2</v>
      </c>
      <c r="E260" s="1">
        <v>1</v>
      </c>
      <c r="F260" s="1">
        <v>5</v>
      </c>
    </row>
    <row r="261" spans="1:6" x14ac:dyDescent="0.35">
      <c r="A261" s="1">
        <v>1</v>
      </c>
      <c r="B261" s="1">
        <v>5</v>
      </c>
      <c r="C261" s="1">
        <v>0.14285714285714299</v>
      </c>
      <c r="D261" s="1">
        <v>5</v>
      </c>
      <c r="E261" s="1">
        <v>0.33333333333333298</v>
      </c>
      <c r="F261" s="1">
        <v>0.11111111111111099</v>
      </c>
    </row>
    <row r="262" spans="1:6" x14ac:dyDescent="0.35">
      <c r="A262" s="1">
        <v>0.2</v>
      </c>
      <c r="B262" s="1">
        <v>5</v>
      </c>
      <c r="C262" s="1">
        <v>5</v>
      </c>
      <c r="D262" s="1">
        <v>9</v>
      </c>
      <c r="E262" s="1">
        <v>7</v>
      </c>
      <c r="F262" s="1">
        <v>0.33333333333333298</v>
      </c>
    </row>
    <row r="263" spans="1:6" x14ac:dyDescent="0.35">
      <c r="A263" s="1">
        <v>1</v>
      </c>
      <c r="B263" s="1">
        <v>0.14285714285714299</v>
      </c>
      <c r="C263" s="1">
        <v>5</v>
      </c>
      <c r="D263" s="1">
        <v>0.14285714285714299</v>
      </c>
      <c r="E263" s="1">
        <v>5</v>
      </c>
      <c r="F263" s="1">
        <v>5</v>
      </c>
    </row>
    <row r="264" spans="1:6" x14ac:dyDescent="0.35">
      <c r="A264" s="1">
        <v>1</v>
      </c>
      <c r="B264" s="1">
        <v>0.11111111111111099</v>
      </c>
      <c r="C264" s="1">
        <v>1</v>
      </c>
      <c r="D264" s="1">
        <v>0.14285714285714299</v>
      </c>
      <c r="E264" s="1">
        <v>1</v>
      </c>
      <c r="F264" s="1">
        <v>7</v>
      </c>
    </row>
    <row r="265" spans="1:6" x14ac:dyDescent="0.35">
      <c r="A265" s="1">
        <v>3</v>
      </c>
      <c r="B265" s="1">
        <v>5</v>
      </c>
      <c r="C265" s="1">
        <v>0.14285714285714299</v>
      </c>
      <c r="D265" s="1">
        <v>1</v>
      </c>
      <c r="E265" s="1">
        <v>0.2</v>
      </c>
      <c r="F265" s="1">
        <v>0.11111111111111099</v>
      </c>
    </row>
    <row r="266" spans="1:6" x14ac:dyDescent="0.35">
      <c r="A266" s="1">
        <v>5</v>
      </c>
      <c r="B266" s="1">
        <v>9</v>
      </c>
      <c r="C266" s="1">
        <v>9</v>
      </c>
      <c r="D266" s="1">
        <v>5</v>
      </c>
      <c r="E266" s="1">
        <v>7</v>
      </c>
      <c r="F266" s="1">
        <v>1</v>
      </c>
    </row>
    <row r="267" spans="1:6" x14ac:dyDescent="0.35">
      <c r="A267" s="1">
        <v>1</v>
      </c>
      <c r="B267" s="1">
        <v>5</v>
      </c>
      <c r="C267" s="1">
        <v>0.14285714285714299</v>
      </c>
      <c r="D267" s="1">
        <v>5</v>
      </c>
      <c r="E267" s="1">
        <v>0.14285714285714299</v>
      </c>
      <c r="F267" s="1">
        <v>0.11111111111111099</v>
      </c>
    </row>
    <row r="268" spans="1:6" x14ac:dyDescent="0.35">
      <c r="A268" s="1">
        <v>1</v>
      </c>
      <c r="B268" s="1">
        <v>0.2</v>
      </c>
      <c r="C268" s="1">
        <v>3</v>
      </c>
      <c r="D268" s="1">
        <v>0.2</v>
      </c>
      <c r="E268" s="1">
        <v>3</v>
      </c>
      <c r="F268" s="1">
        <v>7</v>
      </c>
    </row>
    <row r="269" spans="1:6" x14ac:dyDescent="0.35">
      <c r="A269" s="1">
        <v>0.2</v>
      </c>
      <c r="B269" s="1">
        <v>5</v>
      </c>
      <c r="C269" s="1">
        <v>0.14285714285714299</v>
      </c>
      <c r="D269" s="1">
        <v>7</v>
      </c>
      <c r="E269" s="1">
        <v>0.14285714285714299</v>
      </c>
      <c r="F269" s="1">
        <v>0.11111111111111099</v>
      </c>
    </row>
    <row r="270" spans="1:6" x14ac:dyDescent="0.35">
      <c r="A270" s="1">
        <v>7</v>
      </c>
      <c r="B270" s="1">
        <v>9</v>
      </c>
      <c r="C270" s="1">
        <v>9</v>
      </c>
      <c r="D270" s="1">
        <v>5</v>
      </c>
      <c r="E270" s="1">
        <v>5</v>
      </c>
      <c r="F270" s="1">
        <v>1</v>
      </c>
    </row>
    <row r="271" spans="1:6" x14ac:dyDescent="0.35">
      <c r="A271" s="1">
        <v>5</v>
      </c>
      <c r="B271" s="1">
        <v>1</v>
      </c>
      <c r="C271" s="1">
        <v>5</v>
      </c>
      <c r="D271" s="1">
        <v>0.2</v>
      </c>
      <c r="E271" s="1">
        <v>5</v>
      </c>
      <c r="F271" s="1">
        <v>7</v>
      </c>
    </row>
    <row r="272" spans="1:6" x14ac:dyDescent="0.35">
      <c r="A272" s="1">
        <v>0.2</v>
      </c>
      <c r="B272" s="1">
        <v>7</v>
      </c>
      <c r="C272" s="1">
        <v>0.14285714285714299</v>
      </c>
      <c r="D272" s="1">
        <v>7</v>
      </c>
      <c r="E272" s="1">
        <v>0.2</v>
      </c>
      <c r="F272" s="1">
        <v>0.11111111111111099</v>
      </c>
    </row>
    <row r="273" spans="1:6" x14ac:dyDescent="0.35">
      <c r="A273" s="1">
        <v>7</v>
      </c>
      <c r="B273" s="1">
        <v>9</v>
      </c>
      <c r="C273" s="1">
        <v>9</v>
      </c>
      <c r="D273" s="1">
        <v>5</v>
      </c>
      <c r="E273" s="1">
        <v>7</v>
      </c>
      <c r="F273" s="1">
        <v>5</v>
      </c>
    </row>
    <row r="274" spans="1:6" x14ac:dyDescent="0.35">
      <c r="A274" s="1">
        <v>0.33333333333333298</v>
      </c>
      <c r="B274" s="1">
        <v>3</v>
      </c>
      <c r="C274" s="1">
        <v>0.14285714285714299</v>
      </c>
      <c r="D274" s="1">
        <v>5</v>
      </c>
      <c r="E274" s="1">
        <v>0.14285714285714299</v>
      </c>
      <c r="F274" s="1">
        <v>0.11111111111111099</v>
      </c>
    </row>
    <row r="275" spans="1:6" x14ac:dyDescent="0.35">
      <c r="A275" s="1">
        <v>0.2</v>
      </c>
      <c r="B275" s="1">
        <v>5</v>
      </c>
      <c r="C275" s="1">
        <v>0.14285714285714299</v>
      </c>
      <c r="D275" s="1">
        <v>5</v>
      </c>
      <c r="E275" s="1">
        <v>0.14285714285714299</v>
      </c>
      <c r="F275" s="1">
        <v>0.11111111111111099</v>
      </c>
    </row>
    <row r="276" spans="1:6" x14ac:dyDescent="0.35">
      <c r="A276" s="1">
        <v>7</v>
      </c>
      <c r="B276" s="1">
        <v>9</v>
      </c>
      <c r="C276" s="1">
        <v>9</v>
      </c>
      <c r="D276" s="1">
        <v>5</v>
      </c>
      <c r="E276" s="1">
        <v>5</v>
      </c>
      <c r="F276" s="1">
        <v>1</v>
      </c>
    </row>
    <row r="277" spans="1:6" x14ac:dyDescent="0.35">
      <c r="A277" s="1">
        <v>0.33333333333333298</v>
      </c>
      <c r="B277" s="1">
        <v>3</v>
      </c>
      <c r="C277" s="1">
        <v>0.2</v>
      </c>
      <c r="D277" s="1">
        <v>3</v>
      </c>
      <c r="E277" s="1">
        <v>0.2</v>
      </c>
      <c r="F277" s="1">
        <v>0.14285714285714299</v>
      </c>
    </row>
    <row r="278" spans="1:6" x14ac:dyDescent="0.35">
      <c r="A278" s="1">
        <v>3</v>
      </c>
      <c r="B278" s="1">
        <v>0.2</v>
      </c>
      <c r="C278" s="1">
        <v>5</v>
      </c>
      <c r="D278" s="1">
        <v>0.2</v>
      </c>
      <c r="E278" s="1">
        <v>5</v>
      </c>
      <c r="F278" s="1">
        <v>9</v>
      </c>
    </row>
    <row r="279" spans="1:6" x14ac:dyDescent="0.35">
      <c r="A279" s="1">
        <v>1</v>
      </c>
      <c r="B279" s="1">
        <v>5</v>
      </c>
      <c r="C279" s="1">
        <v>0.2</v>
      </c>
      <c r="D279" s="1">
        <v>5</v>
      </c>
      <c r="E279" s="1">
        <v>0.2</v>
      </c>
      <c r="F279" s="1">
        <v>0.14285714285714299</v>
      </c>
    </row>
    <row r="280" spans="1:6" x14ac:dyDescent="0.35">
      <c r="A280" s="1">
        <v>5</v>
      </c>
      <c r="B280" s="1">
        <v>5</v>
      </c>
      <c r="C280" s="1">
        <v>5</v>
      </c>
      <c r="D280" s="1">
        <v>3</v>
      </c>
      <c r="E280" s="1">
        <v>3</v>
      </c>
      <c r="F280" s="1">
        <v>1</v>
      </c>
    </row>
    <row r="281" spans="1:6" x14ac:dyDescent="0.35">
      <c r="A281" s="1">
        <v>5</v>
      </c>
      <c r="B281" s="1">
        <v>1</v>
      </c>
      <c r="C281" s="1">
        <v>7</v>
      </c>
      <c r="D281" s="1">
        <v>0.2</v>
      </c>
      <c r="E281" s="1">
        <v>5</v>
      </c>
      <c r="F281" s="1">
        <v>5</v>
      </c>
    </row>
    <row r="282" spans="1:6" x14ac:dyDescent="0.35">
      <c r="A282" s="1">
        <v>5</v>
      </c>
      <c r="B282" s="1">
        <v>7</v>
      </c>
      <c r="C282" s="1">
        <v>7</v>
      </c>
      <c r="D282" s="1">
        <v>5</v>
      </c>
      <c r="E282" s="1">
        <v>5</v>
      </c>
      <c r="F282" s="1">
        <v>1</v>
      </c>
    </row>
    <row r="283" spans="1:6" x14ac:dyDescent="0.35">
      <c r="A283" s="1">
        <v>0.2</v>
      </c>
      <c r="B283" s="1">
        <v>5</v>
      </c>
      <c r="C283" s="1">
        <v>0.2</v>
      </c>
      <c r="D283" s="1">
        <v>5</v>
      </c>
      <c r="E283" s="1">
        <v>0.2</v>
      </c>
      <c r="F283" s="1">
        <v>0.11111111111111099</v>
      </c>
    </row>
    <row r="284" spans="1:6" x14ac:dyDescent="0.35">
      <c r="A284" s="1">
        <v>3</v>
      </c>
      <c r="B284" s="1">
        <v>5</v>
      </c>
      <c r="C284" s="1">
        <v>5</v>
      </c>
      <c r="D284" s="1">
        <v>3</v>
      </c>
      <c r="E284" s="1">
        <v>5</v>
      </c>
      <c r="F284" s="1">
        <v>1</v>
      </c>
    </row>
    <row r="285" spans="1:6" x14ac:dyDescent="0.35">
      <c r="A285" s="1">
        <v>1</v>
      </c>
      <c r="B285" s="1">
        <v>5</v>
      </c>
      <c r="C285" s="1">
        <v>0.2</v>
      </c>
      <c r="D285" s="1">
        <v>7</v>
      </c>
      <c r="E285" s="1">
        <v>0.2</v>
      </c>
      <c r="F285" s="1">
        <v>0.11111111111111099</v>
      </c>
    </row>
    <row r="286" spans="1:6" x14ac:dyDescent="0.35">
      <c r="A286" s="1">
        <v>1</v>
      </c>
      <c r="B286" s="1">
        <v>7</v>
      </c>
      <c r="C286" s="1">
        <v>1</v>
      </c>
      <c r="D286" s="1">
        <v>5</v>
      </c>
      <c r="E286" s="1">
        <v>1</v>
      </c>
      <c r="F286" s="1">
        <v>0.14285714285714299</v>
      </c>
    </row>
    <row r="287" spans="1:6" x14ac:dyDescent="0.35">
      <c r="A287" s="1">
        <v>3</v>
      </c>
      <c r="B287" s="1">
        <v>9</v>
      </c>
      <c r="C287" s="1">
        <v>7</v>
      </c>
      <c r="D287" s="1">
        <v>5</v>
      </c>
      <c r="E287" s="1">
        <v>7</v>
      </c>
      <c r="F287" s="1">
        <v>0.33333333333333298</v>
      </c>
    </row>
    <row r="288" spans="1:6" x14ac:dyDescent="0.35">
      <c r="A288" s="1">
        <v>1</v>
      </c>
      <c r="B288" s="1">
        <v>5</v>
      </c>
      <c r="C288" s="1">
        <v>0.14285714285714299</v>
      </c>
      <c r="D288" s="1">
        <v>7</v>
      </c>
      <c r="E288" s="1">
        <v>0.11111111111111099</v>
      </c>
      <c r="F288" s="1">
        <v>0.11111111111111099</v>
      </c>
    </row>
    <row r="289" spans="1:6" x14ac:dyDescent="0.35">
      <c r="A289" s="1">
        <v>1</v>
      </c>
      <c r="B289" s="1">
        <v>0.2</v>
      </c>
      <c r="C289" s="1">
        <v>1</v>
      </c>
      <c r="D289" s="1">
        <v>0.2</v>
      </c>
      <c r="E289" s="1">
        <v>1</v>
      </c>
      <c r="F289" s="1">
        <v>7</v>
      </c>
    </row>
    <row r="290" spans="1:6" x14ac:dyDescent="0.35">
      <c r="A290" s="1">
        <v>3</v>
      </c>
      <c r="B290" s="1">
        <v>9</v>
      </c>
      <c r="C290" s="1">
        <v>7</v>
      </c>
      <c r="D290" s="1">
        <v>7</v>
      </c>
      <c r="E290" s="1">
        <v>7</v>
      </c>
      <c r="F290" s="1">
        <v>0.33333333333333298</v>
      </c>
    </row>
    <row r="291" spans="1:6" x14ac:dyDescent="0.35">
      <c r="A291" s="1">
        <v>1</v>
      </c>
      <c r="B291" s="1">
        <v>3</v>
      </c>
      <c r="C291" s="1">
        <v>0.2</v>
      </c>
      <c r="D291" s="1">
        <v>5</v>
      </c>
      <c r="E291" s="1">
        <v>0.2</v>
      </c>
      <c r="F291" s="1">
        <v>0.14285714285714299</v>
      </c>
    </row>
    <row r="292" spans="1:6" x14ac:dyDescent="0.35">
      <c r="A292" s="1">
        <v>0.2</v>
      </c>
      <c r="B292" s="1">
        <v>3</v>
      </c>
      <c r="C292" s="1">
        <v>5</v>
      </c>
      <c r="D292" s="1">
        <v>9</v>
      </c>
      <c r="E292" s="1">
        <v>9</v>
      </c>
      <c r="F292" s="1">
        <v>0.33333333333333298</v>
      </c>
    </row>
    <row r="293" spans="1:6" x14ac:dyDescent="0.35">
      <c r="A293" s="1">
        <v>1</v>
      </c>
      <c r="B293" s="1">
        <v>5</v>
      </c>
      <c r="C293" s="1">
        <v>0.2</v>
      </c>
      <c r="D293" s="1">
        <v>5</v>
      </c>
      <c r="E293" s="1">
        <v>0.14285714285714299</v>
      </c>
      <c r="F293" s="1">
        <v>0.11111111111111099</v>
      </c>
    </row>
    <row r="294" spans="1:6" x14ac:dyDescent="0.35">
      <c r="A294" s="1">
        <v>1</v>
      </c>
      <c r="B294" s="1">
        <v>0.2</v>
      </c>
      <c r="C294" s="1">
        <v>5</v>
      </c>
      <c r="D294" s="1">
        <v>0.2</v>
      </c>
      <c r="E294" s="1">
        <v>1</v>
      </c>
      <c r="F294" s="1">
        <v>7</v>
      </c>
    </row>
    <row r="295" spans="1:6" x14ac:dyDescent="0.35">
      <c r="A295" s="1">
        <v>1</v>
      </c>
      <c r="B295" s="1">
        <v>7</v>
      </c>
      <c r="C295" s="1">
        <v>0.14285714285714299</v>
      </c>
      <c r="D295" s="1">
        <v>5</v>
      </c>
      <c r="E295" s="1">
        <v>0.2</v>
      </c>
      <c r="F295" s="1">
        <v>0.14285714285714299</v>
      </c>
    </row>
    <row r="296" spans="1:6" x14ac:dyDescent="0.35">
      <c r="A296" s="1">
        <v>1</v>
      </c>
      <c r="B296" s="1">
        <v>7</v>
      </c>
      <c r="C296" s="1">
        <v>0.33333333333333298</v>
      </c>
      <c r="D296" s="1">
        <v>5</v>
      </c>
      <c r="E296" s="1">
        <v>0.14285714285714299</v>
      </c>
      <c r="F296" s="1">
        <v>0.11111111111111099</v>
      </c>
    </row>
    <row r="297" spans="1:6" x14ac:dyDescent="0.35">
      <c r="A297" s="1">
        <v>1</v>
      </c>
      <c r="B297" s="1">
        <v>1</v>
      </c>
      <c r="C297" s="1">
        <v>1</v>
      </c>
      <c r="D297" s="1">
        <v>3</v>
      </c>
      <c r="E297" s="1">
        <v>1</v>
      </c>
      <c r="F297" s="1">
        <v>1</v>
      </c>
    </row>
    <row r="298" spans="1:6" x14ac:dyDescent="0.35">
      <c r="A298" s="1">
        <v>1</v>
      </c>
      <c r="B298" s="1">
        <v>3</v>
      </c>
      <c r="C298" s="1">
        <v>1</v>
      </c>
      <c r="D298" s="1">
        <v>1</v>
      </c>
      <c r="E298" s="1">
        <v>1</v>
      </c>
      <c r="F298" s="1">
        <v>0.33333333333333298</v>
      </c>
    </row>
    <row r="299" spans="1:6" x14ac:dyDescent="0.35">
      <c r="A299" s="1">
        <v>3</v>
      </c>
      <c r="B299" s="1">
        <v>0.33333333333333298</v>
      </c>
      <c r="C299" s="1">
        <v>7</v>
      </c>
      <c r="D299" s="1">
        <v>5</v>
      </c>
      <c r="E299" s="1">
        <v>0.14285714285714299</v>
      </c>
      <c r="F299" s="1">
        <v>0.2</v>
      </c>
    </row>
    <row r="300" spans="1:6" x14ac:dyDescent="0.35">
      <c r="A300" s="1">
        <v>1</v>
      </c>
      <c r="B300" s="1">
        <v>1</v>
      </c>
      <c r="C300" s="1">
        <v>3</v>
      </c>
      <c r="D300" s="1">
        <v>5</v>
      </c>
      <c r="E300" s="1">
        <v>9</v>
      </c>
      <c r="F300" s="1">
        <v>0.14285714285714299</v>
      </c>
    </row>
    <row r="301" spans="1:6" x14ac:dyDescent="0.35">
      <c r="A301" s="1">
        <v>1</v>
      </c>
      <c r="B301" s="1">
        <v>0.33333333333333298</v>
      </c>
      <c r="C301" s="1">
        <v>0.14285714285714299</v>
      </c>
      <c r="D301" s="1">
        <v>0.33333333333333298</v>
      </c>
      <c r="E301" s="1">
        <v>7</v>
      </c>
      <c r="F301" s="1">
        <v>0.33333333333333298</v>
      </c>
    </row>
    <row r="302" spans="1:6" x14ac:dyDescent="0.35">
      <c r="A302" s="1">
        <v>5</v>
      </c>
      <c r="B302" s="1">
        <v>3</v>
      </c>
      <c r="C302" s="1">
        <v>7</v>
      </c>
      <c r="D302" s="1">
        <v>5</v>
      </c>
      <c r="E302" s="1">
        <v>0.33333333333333298</v>
      </c>
      <c r="F302" s="1">
        <v>3</v>
      </c>
    </row>
    <row r="303" spans="1:6" x14ac:dyDescent="0.35">
      <c r="A303" s="1">
        <v>1</v>
      </c>
      <c r="B303" s="1">
        <v>1</v>
      </c>
      <c r="C303" s="1">
        <v>0.14285714285714299</v>
      </c>
      <c r="D303" s="1">
        <v>5</v>
      </c>
      <c r="E303" s="1">
        <v>0.2</v>
      </c>
      <c r="F303" s="1">
        <v>0.11111111111111099</v>
      </c>
    </row>
    <row r="304" spans="1:6" x14ac:dyDescent="0.35">
      <c r="A304" s="1">
        <v>3</v>
      </c>
      <c r="B304" s="1">
        <v>9</v>
      </c>
      <c r="C304" s="1">
        <v>5</v>
      </c>
      <c r="D304" s="1">
        <v>5</v>
      </c>
      <c r="E304" s="1">
        <v>5</v>
      </c>
      <c r="F304" s="1">
        <v>1</v>
      </c>
    </row>
    <row r="305" spans="1:6" x14ac:dyDescent="0.35">
      <c r="A305" s="1">
        <v>3</v>
      </c>
      <c r="B305" s="1">
        <v>7</v>
      </c>
      <c r="C305" s="1">
        <v>7</v>
      </c>
      <c r="D305" s="1">
        <v>7</v>
      </c>
      <c r="E305" s="1">
        <v>5</v>
      </c>
      <c r="F305" s="1">
        <v>0.33333333333333298</v>
      </c>
    </row>
    <row r="306" spans="1:6" x14ac:dyDescent="0.35">
      <c r="A306" s="1">
        <v>1</v>
      </c>
      <c r="B306" s="1">
        <v>0.33333333333333298</v>
      </c>
      <c r="C306" s="1">
        <v>1</v>
      </c>
      <c r="D306" s="1">
        <v>0.2</v>
      </c>
      <c r="E306" s="1">
        <v>1</v>
      </c>
      <c r="F306" s="1">
        <v>5</v>
      </c>
    </row>
    <row r="307" spans="1:6" x14ac:dyDescent="0.35">
      <c r="A307" s="1">
        <v>1</v>
      </c>
      <c r="B307" s="1">
        <v>3</v>
      </c>
      <c r="C307" s="1">
        <v>0.14285714285714299</v>
      </c>
      <c r="D307" s="1">
        <v>5</v>
      </c>
      <c r="E307" s="1">
        <v>0.2</v>
      </c>
      <c r="F307" s="1">
        <v>0.14285714285714299</v>
      </c>
    </row>
    <row r="308" spans="1:6" x14ac:dyDescent="0.35">
      <c r="A308" s="1">
        <v>1</v>
      </c>
      <c r="B308" s="1">
        <v>0.33333333333333298</v>
      </c>
      <c r="C308" s="1">
        <v>3</v>
      </c>
      <c r="D308" s="1">
        <v>0.14285714285714299</v>
      </c>
      <c r="E308" s="1">
        <v>1</v>
      </c>
      <c r="F308" s="1">
        <v>9</v>
      </c>
    </row>
    <row r="309" spans="1:6" x14ac:dyDescent="0.35">
      <c r="A309" s="1">
        <v>1</v>
      </c>
      <c r="B309" s="1">
        <v>5</v>
      </c>
      <c r="C309" s="1">
        <v>0.14285714285714299</v>
      </c>
      <c r="D309" s="1">
        <v>5</v>
      </c>
      <c r="E309" s="1">
        <v>0.14285714285714299</v>
      </c>
      <c r="F309" s="1">
        <v>0.11111111111111099</v>
      </c>
    </row>
    <row r="310" spans="1:6" x14ac:dyDescent="0.35">
      <c r="A310" s="1">
        <v>0.14285714285714299</v>
      </c>
      <c r="B310" s="1">
        <v>5</v>
      </c>
      <c r="C310" s="1">
        <v>5</v>
      </c>
      <c r="D310" s="1">
        <v>9</v>
      </c>
      <c r="E310" s="1">
        <v>7</v>
      </c>
      <c r="F310" s="1">
        <v>1</v>
      </c>
    </row>
    <row r="311" spans="1:6" x14ac:dyDescent="0.35">
      <c r="A311" s="1">
        <v>7</v>
      </c>
      <c r="B311" s="1">
        <v>9</v>
      </c>
      <c r="C311" s="1">
        <v>5</v>
      </c>
      <c r="D311" s="1">
        <v>3</v>
      </c>
      <c r="E311" s="1">
        <v>5</v>
      </c>
      <c r="F311" s="1">
        <v>0.33333333333333298</v>
      </c>
    </row>
    <row r="312" spans="1:6" x14ac:dyDescent="0.35">
      <c r="A312" s="1">
        <v>1</v>
      </c>
      <c r="B312" s="1">
        <v>3</v>
      </c>
      <c r="C312" s="1">
        <v>0.14285714285714299</v>
      </c>
      <c r="D312" s="1">
        <v>1</v>
      </c>
      <c r="E312" s="1">
        <v>0.2</v>
      </c>
      <c r="F312" s="1">
        <v>0.11111111111111099</v>
      </c>
    </row>
    <row r="313" spans="1:6" x14ac:dyDescent="0.35">
      <c r="A313" s="1">
        <v>1</v>
      </c>
      <c r="B313" s="1">
        <v>5</v>
      </c>
      <c r="C313" s="1">
        <v>0.11111111111111099</v>
      </c>
      <c r="D313" s="1">
        <v>3</v>
      </c>
      <c r="E313" s="1">
        <v>0.14285714285714299</v>
      </c>
      <c r="F313" s="1">
        <v>0.14285714285714299</v>
      </c>
    </row>
    <row r="314" spans="1:6" x14ac:dyDescent="0.35">
      <c r="A314" s="1">
        <v>1</v>
      </c>
      <c r="B314" s="1">
        <v>0.2</v>
      </c>
      <c r="C314" s="1">
        <v>1</v>
      </c>
      <c r="D314" s="1">
        <v>0.2</v>
      </c>
      <c r="E314" s="1">
        <v>3</v>
      </c>
      <c r="F314" s="1">
        <v>7</v>
      </c>
    </row>
    <row r="315" spans="1:6" x14ac:dyDescent="0.35">
      <c r="A315" s="1">
        <v>1</v>
      </c>
      <c r="B315" s="1">
        <v>3</v>
      </c>
      <c r="C315" s="1">
        <v>0.2</v>
      </c>
      <c r="D315" s="1">
        <v>5</v>
      </c>
      <c r="E315" s="1">
        <v>0.2</v>
      </c>
      <c r="F315" s="1">
        <v>0.11111111111111099</v>
      </c>
    </row>
    <row r="316" spans="1:6" x14ac:dyDescent="0.35">
      <c r="A316" s="1">
        <v>1</v>
      </c>
      <c r="B316" s="1">
        <v>5</v>
      </c>
      <c r="C316" s="1">
        <v>0.2</v>
      </c>
      <c r="D316" s="1">
        <v>5</v>
      </c>
      <c r="E316" s="1">
        <v>0.2</v>
      </c>
      <c r="F316" s="1">
        <v>0.11111111111111099</v>
      </c>
    </row>
    <row r="317" spans="1:6" x14ac:dyDescent="0.35">
      <c r="A317" s="1">
        <v>1</v>
      </c>
      <c r="B317" s="1">
        <v>5</v>
      </c>
      <c r="C317" s="1">
        <v>0.2</v>
      </c>
      <c r="D317" s="1">
        <v>5</v>
      </c>
      <c r="E317" s="1">
        <v>0.2</v>
      </c>
      <c r="F317" s="1">
        <v>0.14285714285714299</v>
      </c>
    </row>
    <row r="318" spans="1:6" x14ac:dyDescent="0.35">
      <c r="A318" s="1">
        <v>0.33333333333333298</v>
      </c>
      <c r="B318" s="1">
        <v>0.14285714285714299</v>
      </c>
      <c r="C318" s="1">
        <v>0.33333333333333298</v>
      </c>
      <c r="D318" s="1">
        <v>0.14285714285714299</v>
      </c>
      <c r="E318" s="1">
        <v>5</v>
      </c>
      <c r="F318" s="1">
        <v>7</v>
      </c>
    </row>
    <row r="319" spans="1:6" x14ac:dyDescent="0.35">
      <c r="A319" s="1">
        <v>5</v>
      </c>
      <c r="B319" s="1">
        <v>7</v>
      </c>
      <c r="C319" s="1">
        <v>7</v>
      </c>
      <c r="D319" s="1">
        <v>5</v>
      </c>
      <c r="E319" s="1">
        <v>5</v>
      </c>
      <c r="F319" s="1">
        <v>3</v>
      </c>
    </row>
    <row r="320" spans="1:6" x14ac:dyDescent="0.35">
      <c r="A320" s="1">
        <v>1</v>
      </c>
      <c r="B320" s="1">
        <v>3</v>
      </c>
      <c r="C320" s="1">
        <v>0.2</v>
      </c>
      <c r="D320" s="1">
        <v>3</v>
      </c>
      <c r="E320" s="1">
        <v>0.2</v>
      </c>
      <c r="F320" s="1">
        <v>0.14285714285714299</v>
      </c>
    </row>
    <row r="321" spans="1:6" x14ac:dyDescent="0.35">
      <c r="A321" s="1">
        <v>0.14285714285714299</v>
      </c>
      <c r="B321" s="1">
        <v>0.2</v>
      </c>
      <c r="C321" s="1">
        <v>5</v>
      </c>
      <c r="D321" s="1">
        <v>7</v>
      </c>
      <c r="E321" s="1">
        <v>9</v>
      </c>
      <c r="F321" s="1">
        <v>5</v>
      </c>
    </row>
    <row r="322" spans="1:6" x14ac:dyDescent="0.35">
      <c r="A322" s="1">
        <v>0.2</v>
      </c>
      <c r="B322" s="1">
        <v>0.14285714285714299</v>
      </c>
      <c r="C322" s="1">
        <v>3</v>
      </c>
      <c r="D322" s="1">
        <v>0.14285714285714299</v>
      </c>
      <c r="E322" s="1">
        <v>7</v>
      </c>
      <c r="F322" s="1">
        <v>9</v>
      </c>
    </row>
    <row r="323" spans="1:6" x14ac:dyDescent="0.35">
      <c r="A323" s="1">
        <v>7</v>
      </c>
      <c r="B323" s="1">
        <v>0.2</v>
      </c>
      <c r="C323" s="1">
        <v>9</v>
      </c>
      <c r="D323" s="1">
        <v>0.14285714285714299</v>
      </c>
      <c r="E323" s="1">
        <v>5</v>
      </c>
      <c r="F323" s="1">
        <v>7</v>
      </c>
    </row>
    <row r="324" spans="1:6" x14ac:dyDescent="0.35">
      <c r="A324" s="1">
        <v>1</v>
      </c>
      <c r="B324" s="1">
        <v>0.14285714285714299</v>
      </c>
      <c r="C324" s="1">
        <v>1</v>
      </c>
      <c r="D324" s="1">
        <v>0.14285714285714299</v>
      </c>
      <c r="E324" s="1">
        <v>1</v>
      </c>
      <c r="F324" s="1">
        <v>7</v>
      </c>
    </row>
    <row r="325" spans="1:6" x14ac:dyDescent="0.35">
      <c r="A325" s="1">
        <v>0.2</v>
      </c>
      <c r="B325" s="1">
        <v>0.2</v>
      </c>
      <c r="C325" s="1">
        <v>5</v>
      </c>
      <c r="D325" s="1">
        <v>0.14285714285714299</v>
      </c>
      <c r="E325" s="1">
        <v>7</v>
      </c>
      <c r="F325" s="1">
        <v>7</v>
      </c>
    </row>
    <row r="326" spans="1:6" x14ac:dyDescent="0.35">
      <c r="A326" s="1">
        <v>0.14285714285714299</v>
      </c>
      <c r="B326" s="1">
        <v>0.2</v>
      </c>
      <c r="C326" s="1">
        <v>3</v>
      </c>
      <c r="D326" s="1">
        <v>1</v>
      </c>
      <c r="E326" s="1">
        <v>7</v>
      </c>
      <c r="F326" s="1">
        <v>7</v>
      </c>
    </row>
    <row r="327" spans="1:6" x14ac:dyDescent="0.35">
      <c r="A327" s="1">
        <v>0.14285714285714299</v>
      </c>
      <c r="B327" s="1">
        <v>1</v>
      </c>
      <c r="C327" s="1">
        <v>1</v>
      </c>
      <c r="D327" s="1">
        <v>3</v>
      </c>
      <c r="E327" s="1">
        <v>5</v>
      </c>
      <c r="F327" s="1">
        <v>5</v>
      </c>
    </row>
    <row r="328" spans="1:6" x14ac:dyDescent="0.35">
      <c r="A328" s="1">
        <v>5</v>
      </c>
      <c r="B328" s="1">
        <v>7</v>
      </c>
      <c r="C328" s="1">
        <v>7</v>
      </c>
      <c r="D328" s="1">
        <v>3</v>
      </c>
      <c r="E328" s="1">
        <v>3</v>
      </c>
      <c r="F328" s="1">
        <v>1</v>
      </c>
    </row>
    <row r="329" spans="1:6" x14ac:dyDescent="0.35">
      <c r="A329" s="1">
        <v>7</v>
      </c>
      <c r="B329" s="1">
        <v>7</v>
      </c>
      <c r="C329" s="1">
        <v>7</v>
      </c>
      <c r="D329" s="1">
        <v>5</v>
      </c>
      <c r="E329" s="1">
        <v>5</v>
      </c>
      <c r="F329" s="1">
        <v>3</v>
      </c>
    </row>
    <row r="330" spans="1:6" x14ac:dyDescent="0.35">
      <c r="A330" s="1">
        <v>1</v>
      </c>
      <c r="B330" s="1">
        <v>5</v>
      </c>
      <c r="C330" s="1">
        <v>0.2</v>
      </c>
      <c r="D330" s="1">
        <v>5</v>
      </c>
      <c r="E330" s="1">
        <v>0.2</v>
      </c>
      <c r="F330" s="1">
        <v>0.2</v>
      </c>
    </row>
    <row r="331" spans="1:6" x14ac:dyDescent="0.35">
      <c r="A331" s="1">
        <v>0.2</v>
      </c>
      <c r="B331" s="1">
        <v>3</v>
      </c>
      <c r="C331" s="1">
        <v>0.14285714285714299</v>
      </c>
      <c r="D331" s="1">
        <v>7</v>
      </c>
      <c r="E331" s="1">
        <v>0.2</v>
      </c>
      <c r="F331" s="1">
        <v>0.14285714285714299</v>
      </c>
    </row>
    <row r="332" spans="1:6" x14ac:dyDescent="0.35">
      <c r="A332" s="1">
        <v>3</v>
      </c>
      <c r="B332" s="1">
        <v>0.2</v>
      </c>
      <c r="C332" s="1">
        <v>3</v>
      </c>
      <c r="D332" s="1">
        <v>0.2</v>
      </c>
      <c r="E332" s="1">
        <v>5</v>
      </c>
      <c r="F332" s="1">
        <v>5</v>
      </c>
    </row>
    <row r="333" spans="1:6" x14ac:dyDescent="0.35">
      <c r="A333" s="1">
        <v>1</v>
      </c>
      <c r="B333" s="1">
        <v>3</v>
      </c>
      <c r="C333" s="1">
        <v>0.2</v>
      </c>
      <c r="D333" s="1">
        <v>3</v>
      </c>
      <c r="E333" s="1">
        <v>0.2</v>
      </c>
      <c r="F333" s="1">
        <v>0.14285714285714299</v>
      </c>
    </row>
    <row r="334" spans="1:6" x14ac:dyDescent="0.35">
      <c r="A334" s="1">
        <v>0.2</v>
      </c>
      <c r="B334" s="1">
        <v>0.2</v>
      </c>
      <c r="C334" s="1">
        <v>5</v>
      </c>
      <c r="D334" s="1">
        <v>5</v>
      </c>
      <c r="E334" s="1">
        <v>7</v>
      </c>
      <c r="F334" s="1">
        <v>3</v>
      </c>
    </row>
    <row r="335" spans="1:6" x14ac:dyDescent="0.35">
      <c r="A335" s="1">
        <v>9</v>
      </c>
      <c r="B335" s="1">
        <v>1</v>
      </c>
      <c r="C335" s="1">
        <v>5</v>
      </c>
      <c r="D335" s="1">
        <v>7</v>
      </c>
      <c r="E335" s="1">
        <v>5</v>
      </c>
      <c r="F335" s="1">
        <v>1</v>
      </c>
    </row>
    <row r="336" spans="1:6" x14ac:dyDescent="0.35">
      <c r="A336" s="1">
        <v>1</v>
      </c>
      <c r="B336" s="1">
        <v>1</v>
      </c>
      <c r="C336" s="1">
        <v>3</v>
      </c>
      <c r="D336" s="1">
        <v>5</v>
      </c>
      <c r="E336" s="1">
        <v>3</v>
      </c>
      <c r="F336" s="1">
        <v>0.33333333333333298</v>
      </c>
    </row>
    <row r="337" spans="1:6" x14ac:dyDescent="0.35">
      <c r="A337" s="1">
        <v>5</v>
      </c>
      <c r="B337" s="1">
        <v>3</v>
      </c>
      <c r="C337" s="1">
        <v>1</v>
      </c>
      <c r="D337" s="1">
        <v>0.33333333333333298</v>
      </c>
      <c r="E337" s="1">
        <v>0.2</v>
      </c>
      <c r="F337" s="1">
        <v>0.2</v>
      </c>
    </row>
    <row r="338" spans="1:6" x14ac:dyDescent="0.35">
      <c r="A338" s="1">
        <v>0.33333333333333298</v>
      </c>
      <c r="B338" s="1">
        <v>1</v>
      </c>
      <c r="C338" s="1">
        <v>1</v>
      </c>
      <c r="D338" s="1">
        <v>1</v>
      </c>
      <c r="E338" s="1">
        <v>1</v>
      </c>
      <c r="F338" s="1">
        <v>1</v>
      </c>
    </row>
    <row r="339" spans="1:6" x14ac:dyDescent="0.35">
      <c r="A339" s="1">
        <v>1</v>
      </c>
      <c r="B339" s="1">
        <v>1</v>
      </c>
      <c r="C339" s="1">
        <v>1</v>
      </c>
      <c r="D339" s="1">
        <v>1</v>
      </c>
      <c r="E339" s="1">
        <v>1</v>
      </c>
      <c r="F339" s="1">
        <v>1</v>
      </c>
    </row>
    <row r="340" spans="1:6" x14ac:dyDescent="0.35">
      <c r="A340" s="1">
        <v>9</v>
      </c>
      <c r="B340" s="1">
        <v>5</v>
      </c>
      <c r="C340" s="1">
        <v>3</v>
      </c>
      <c r="D340" s="1">
        <v>5</v>
      </c>
      <c r="E340" s="1">
        <v>3</v>
      </c>
      <c r="F340" s="1">
        <v>0.33333333333333298</v>
      </c>
    </row>
    <row r="341" spans="1:6" x14ac:dyDescent="0.35">
      <c r="A341" s="1">
        <v>1</v>
      </c>
      <c r="B341" s="1">
        <v>1</v>
      </c>
      <c r="C341" s="1">
        <v>1</v>
      </c>
      <c r="D341" s="1">
        <v>1</v>
      </c>
      <c r="E341" s="1">
        <v>1</v>
      </c>
      <c r="F341" s="1">
        <v>1</v>
      </c>
    </row>
    <row r="342" spans="1:6" x14ac:dyDescent="0.35">
      <c r="A342" s="1">
        <v>5</v>
      </c>
      <c r="B342" s="1">
        <v>1</v>
      </c>
      <c r="C342" s="1">
        <v>5</v>
      </c>
      <c r="D342" s="1">
        <v>0.2</v>
      </c>
      <c r="E342" s="1">
        <v>5</v>
      </c>
      <c r="F342" s="1">
        <v>5</v>
      </c>
    </row>
    <row r="343" spans="1:6" x14ac:dyDescent="0.35">
      <c r="A343" s="1">
        <v>1</v>
      </c>
      <c r="B343" s="1">
        <v>7</v>
      </c>
      <c r="C343" s="1">
        <v>1</v>
      </c>
      <c r="D343" s="1">
        <v>0.2</v>
      </c>
      <c r="E343" s="1">
        <v>0.11111111111111099</v>
      </c>
      <c r="F343" s="1">
        <v>0.2</v>
      </c>
    </row>
    <row r="344" spans="1:6" x14ac:dyDescent="0.35">
      <c r="A344" s="1">
        <v>9</v>
      </c>
      <c r="B344" s="1">
        <v>1</v>
      </c>
      <c r="C344" s="1">
        <v>0.2</v>
      </c>
      <c r="D344" s="1">
        <v>5</v>
      </c>
      <c r="E344" s="1">
        <v>1</v>
      </c>
      <c r="F344" s="1">
        <v>3</v>
      </c>
    </row>
    <row r="345" spans="1:6" x14ac:dyDescent="0.35">
      <c r="A345" s="1">
        <v>3</v>
      </c>
      <c r="B345" s="1">
        <v>1</v>
      </c>
      <c r="C345" s="1">
        <v>1</v>
      </c>
      <c r="D345" s="1">
        <v>1</v>
      </c>
      <c r="E345" s="1">
        <v>1</v>
      </c>
      <c r="F345" s="1">
        <v>1</v>
      </c>
    </row>
    <row r="346" spans="1:6" x14ac:dyDescent="0.35">
      <c r="A346" s="1">
        <v>5</v>
      </c>
      <c r="B346" s="1">
        <v>1</v>
      </c>
      <c r="C346" s="1">
        <v>5</v>
      </c>
      <c r="D346" s="1">
        <v>0.2</v>
      </c>
      <c r="E346" s="1">
        <v>5</v>
      </c>
      <c r="F346" s="1">
        <v>5</v>
      </c>
    </row>
    <row r="347" spans="1:6" x14ac:dyDescent="0.35">
      <c r="A347" s="1">
        <v>1</v>
      </c>
      <c r="B347" s="1">
        <v>1</v>
      </c>
      <c r="C347" s="1">
        <v>1</v>
      </c>
      <c r="D347" s="1">
        <v>1</v>
      </c>
      <c r="E347" s="1">
        <v>1</v>
      </c>
      <c r="F347" s="1">
        <v>1</v>
      </c>
    </row>
    <row r="348" spans="1:6" x14ac:dyDescent="0.35">
      <c r="A348" s="1">
        <v>5</v>
      </c>
      <c r="B348" s="1">
        <v>7</v>
      </c>
      <c r="C348" s="1">
        <v>1</v>
      </c>
      <c r="D348" s="1">
        <v>5</v>
      </c>
      <c r="E348" s="1">
        <v>1</v>
      </c>
      <c r="F348" s="1">
        <v>0.33333333333333298</v>
      </c>
    </row>
    <row r="349" spans="1:6" x14ac:dyDescent="0.35">
      <c r="A349" s="1">
        <v>0.33333333333333298</v>
      </c>
      <c r="B349" s="1">
        <v>1</v>
      </c>
      <c r="C349" s="1">
        <v>1</v>
      </c>
      <c r="D349" s="1">
        <v>1</v>
      </c>
      <c r="E349" s="1">
        <v>1</v>
      </c>
      <c r="F349" s="1">
        <v>1</v>
      </c>
    </row>
    <row r="350" spans="1:6" x14ac:dyDescent="0.35">
      <c r="A350" s="1">
        <v>3</v>
      </c>
      <c r="B350" s="1">
        <v>1</v>
      </c>
      <c r="C350" s="1">
        <v>0.33333333333333298</v>
      </c>
      <c r="D350" s="1">
        <v>5</v>
      </c>
      <c r="E350" s="1">
        <v>3</v>
      </c>
      <c r="F350" s="1">
        <v>3</v>
      </c>
    </row>
    <row r="351" spans="1:6" x14ac:dyDescent="0.35">
      <c r="A351" s="1">
        <v>5</v>
      </c>
      <c r="B351" s="1">
        <v>1</v>
      </c>
      <c r="C351" s="1">
        <v>5</v>
      </c>
      <c r="D351" s="1">
        <v>1</v>
      </c>
      <c r="E351" s="1">
        <v>5</v>
      </c>
      <c r="F351" s="1">
        <v>5</v>
      </c>
    </row>
    <row r="352" spans="1:6" x14ac:dyDescent="0.35">
      <c r="A352" s="1">
        <v>0.33333333333333298</v>
      </c>
      <c r="B352" s="1">
        <v>5</v>
      </c>
      <c r="C352" s="1">
        <v>0.2</v>
      </c>
      <c r="D352" s="1">
        <v>3</v>
      </c>
      <c r="E352" s="1">
        <v>0.2</v>
      </c>
      <c r="F352" s="1">
        <v>5</v>
      </c>
    </row>
    <row r="353" spans="1:6" x14ac:dyDescent="0.35">
      <c r="A353" s="1">
        <v>3</v>
      </c>
      <c r="B353" s="1">
        <v>3</v>
      </c>
      <c r="C353" s="1">
        <v>5</v>
      </c>
      <c r="D353" s="1">
        <v>3</v>
      </c>
      <c r="E353" s="1">
        <v>3</v>
      </c>
      <c r="F353" s="1">
        <v>0.33333333333333298</v>
      </c>
    </row>
    <row r="354" spans="1:6" x14ac:dyDescent="0.35">
      <c r="A354" s="1">
        <v>5</v>
      </c>
      <c r="B354" s="1">
        <v>1</v>
      </c>
      <c r="C354" s="1">
        <v>5</v>
      </c>
      <c r="D354" s="1">
        <v>5</v>
      </c>
      <c r="E354" s="1">
        <v>1</v>
      </c>
      <c r="F354" s="1">
        <v>0.2</v>
      </c>
    </row>
    <row r="355" spans="1:6" x14ac:dyDescent="0.35">
      <c r="A355" s="1">
        <v>0.33333333333333298</v>
      </c>
      <c r="B355" s="1">
        <v>1</v>
      </c>
      <c r="C355" s="1">
        <v>3</v>
      </c>
      <c r="D355" s="1">
        <v>1</v>
      </c>
      <c r="E355" s="1">
        <v>1</v>
      </c>
      <c r="F355" s="1">
        <v>1</v>
      </c>
    </row>
    <row r="356" spans="1:6" x14ac:dyDescent="0.35">
      <c r="A356" s="1">
        <v>3</v>
      </c>
      <c r="B356" s="1">
        <v>0.2</v>
      </c>
      <c r="C356" s="1">
        <v>0.33333333333333298</v>
      </c>
      <c r="D356" s="1">
        <v>0.33333333333333298</v>
      </c>
      <c r="E356" s="1">
        <v>1</v>
      </c>
      <c r="F356" s="1">
        <v>0.33333333333333298</v>
      </c>
    </row>
    <row r="357" spans="1:6" x14ac:dyDescent="0.35">
      <c r="A357" s="1">
        <v>1</v>
      </c>
      <c r="B357" s="1">
        <v>3</v>
      </c>
      <c r="C357" s="1">
        <v>0.33333333333333298</v>
      </c>
      <c r="D357" s="1">
        <v>1</v>
      </c>
      <c r="E357" s="1">
        <v>5</v>
      </c>
      <c r="F357" s="1">
        <v>0.33333333333333298</v>
      </c>
    </row>
    <row r="358" spans="1:6" x14ac:dyDescent="0.35">
      <c r="A358" s="1">
        <v>5</v>
      </c>
      <c r="B358" s="1">
        <v>1</v>
      </c>
      <c r="C358" s="1">
        <v>5</v>
      </c>
      <c r="D358" s="1">
        <v>0.2</v>
      </c>
      <c r="E358" s="1">
        <v>1</v>
      </c>
      <c r="F358" s="1">
        <v>5</v>
      </c>
    </row>
    <row r="359" spans="1:6" x14ac:dyDescent="0.35">
      <c r="A359" s="1">
        <v>7</v>
      </c>
      <c r="B359" s="1">
        <v>7</v>
      </c>
      <c r="C359" s="1">
        <v>1</v>
      </c>
      <c r="D359" s="1">
        <v>5</v>
      </c>
      <c r="E359" s="1">
        <v>5</v>
      </c>
      <c r="F359" s="1">
        <v>5</v>
      </c>
    </row>
    <row r="360" spans="1:6" x14ac:dyDescent="0.35">
      <c r="A360" s="1">
        <v>1</v>
      </c>
      <c r="B360" s="1">
        <v>5</v>
      </c>
      <c r="C360" s="1">
        <v>5</v>
      </c>
      <c r="D360" s="1">
        <v>5</v>
      </c>
      <c r="E360" s="1">
        <v>3</v>
      </c>
      <c r="F360" s="1">
        <v>1</v>
      </c>
    </row>
    <row r="361" spans="1:6" x14ac:dyDescent="0.35">
      <c r="A361" s="1">
        <v>1</v>
      </c>
      <c r="B361" s="1">
        <v>1</v>
      </c>
      <c r="C361" s="1">
        <v>0.33333333333333298</v>
      </c>
      <c r="D361" s="1">
        <v>0.2</v>
      </c>
      <c r="E361" s="1">
        <v>0.14285714285714299</v>
      </c>
      <c r="F361" s="1">
        <v>0.2</v>
      </c>
    </row>
    <row r="362" spans="1:6" x14ac:dyDescent="0.35">
      <c r="A362" s="1">
        <v>1</v>
      </c>
      <c r="B362" s="1">
        <v>5</v>
      </c>
      <c r="C362" s="1">
        <v>0.2</v>
      </c>
      <c r="D362" s="1">
        <v>1</v>
      </c>
      <c r="E362" s="1">
        <v>0.2</v>
      </c>
      <c r="F362" s="1">
        <v>5</v>
      </c>
    </row>
    <row r="363" spans="1:6" x14ac:dyDescent="0.35">
      <c r="A363" s="1">
        <v>3</v>
      </c>
      <c r="B363" s="1">
        <v>3</v>
      </c>
      <c r="C363" s="1">
        <v>1</v>
      </c>
      <c r="D363" s="1">
        <v>1</v>
      </c>
      <c r="E363" s="1">
        <v>1</v>
      </c>
      <c r="F363" s="1">
        <v>1</v>
      </c>
    </row>
    <row r="364" spans="1:6" x14ac:dyDescent="0.35">
      <c r="A364" s="1">
        <v>1</v>
      </c>
      <c r="B364" s="1">
        <v>5</v>
      </c>
      <c r="C364" s="1">
        <v>0.2</v>
      </c>
      <c r="D364" s="1">
        <v>7</v>
      </c>
      <c r="E364" s="1">
        <v>0.33333333333333298</v>
      </c>
      <c r="F364" s="1">
        <v>7</v>
      </c>
    </row>
    <row r="365" spans="1:6" x14ac:dyDescent="0.35">
      <c r="A365" s="1">
        <v>5</v>
      </c>
      <c r="B365" s="1">
        <v>1</v>
      </c>
      <c r="C365" s="1">
        <v>0.2</v>
      </c>
      <c r="D365" s="1">
        <v>1</v>
      </c>
      <c r="E365" s="1">
        <v>0.33333333333333298</v>
      </c>
      <c r="F365" s="1">
        <v>5</v>
      </c>
    </row>
    <row r="366" spans="1:6" x14ac:dyDescent="0.35">
      <c r="A366" s="1">
        <v>9</v>
      </c>
      <c r="B366" s="1">
        <v>9</v>
      </c>
      <c r="C366" s="1">
        <v>9</v>
      </c>
      <c r="D366" s="1">
        <v>7</v>
      </c>
      <c r="E366" s="1">
        <v>0.33333333333333298</v>
      </c>
      <c r="F366" s="1">
        <v>9</v>
      </c>
    </row>
    <row r="367" spans="1:6" x14ac:dyDescent="0.35">
      <c r="A367" s="1">
        <v>7</v>
      </c>
      <c r="B367" s="1">
        <v>0.33333333333333298</v>
      </c>
      <c r="C367" s="1">
        <v>0.2</v>
      </c>
      <c r="D367" s="1">
        <v>0.33333333333333298</v>
      </c>
      <c r="E367" s="1">
        <v>1</v>
      </c>
      <c r="F367" s="1">
        <v>0.2</v>
      </c>
    </row>
    <row r="368" spans="1:6" x14ac:dyDescent="0.35">
      <c r="A368" s="1">
        <v>7</v>
      </c>
      <c r="B368" s="1">
        <v>5</v>
      </c>
      <c r="C368" s="1">
        <v>3</v>
      </c>
      <c r="D368" s="1">
        <v>5</v>
      </c>
      <c r="E368" s="1">
        <v>1</v>
      </c>
      <c r="F368" s="1">
        <v>0.2</v>
      </c>
    </row>
    <row r="369" spans="1:6" x14ac:dyDescent="0.35">
      <c r="A369" s="1">
        <v>1</v>
      </c>
      <c r="B369" s="1">
        <v>1</v>
      </c>
      <c r="C369" s="1">
        <v>1</v>
      </c>
      <c r="D369" s="1">
        <v>1</v>
      </c>
      <c r="E369" s="1">
        <v>1</v>
      </c>
      <c r="F369" s="1">
        <v>1</v>
      </c>
    </row>
    <row r="370" spans="1:6" x14ac:dyDescent="0.35">
      <c r="A370" s="1">
        <v>3</v>
      </c>
      <c r="B370" s="1">
        <v>0.33333333333333298</v>
      </c>
      <c r="C370" s="1">
        <v>0.2</v>
      </c>
      <c r="D370" s="1">
        <v>5</v>
      </c>
      <c r="E370" s="1">
        <v>3</v>
      </c>
      <c r="F370" s="1">
        <v>1</v>
      </c>
    </row>
    <row r="371" spans="1:6" x14ac:dyDescent="0.35">
      <c r="A371" s="1">
        <v>7</v>
      </c>
      <c r="B371" s="1">
        <v>5</v>
      </c>
      <c r="C371" s="1">
        <v>0.14285714285714299</v>
      </c>
      <c r="D371" s="1">
        <v>1</v>
      </c>
      <c r="E371" s="1">
        <v>5</v>
      </c>
      <c r="F371" s="1">
        <v>0.2</v>
      </c>
    </row>
    <row r="372" spans="1:6" x14ac:dyDescent="0.35">
      <c r="A372" s="1">
        <v>5</v>
      </c>
      <c r="B372" s="1">
        <v>1</v>
      </c>
      <c r="C372" s="1">
        <v>0.2</v>
      </c>
      <c r="D372" s="1">
        <v>3</v>
      </c>
      <c r="E372" s="1">
        <v>1</v>
      </c>
      <c r="F372" s="1">
        <v>1</v>
      </c>
    </row>
    <row r="373" spans="1:6" x14ac:dyDescent="0.35">
      <c r="A373" s="1">
        <v>7</v>
      </c>
      <c r="B373" s="1">
        <v>5</v>
      </c>
      <c r="C373" s="1">
        <v>0.14285714285714299</v>
      </c>
      <c r="D373" s="1">
        <v>1</v>
      </c>
      <c r="E373" s="1">
        <v>0.2</v>
      </c>
      <c r="F373" s="1">
        <v>5</v>
      </c>
    </row>
    <row r="374" spans="1:6" x14ac:dyDescent="0.35">
      <c r="A374" s="1">
        <v>7</v>
      </c>
      <c r="B374" s="1">
        <v>3</v>
      </c>
      <c r="C374" s="1">
        <v>5</v>
      </c>
      <c r="D374" s="1">
        <v>3</v>
      </c>
      <c r="E374" s="1">
        <v>1</v>
      </c>
      <c r="F374" s="1">
        <v>0.2</v>
      </c>
    </row>
    <row r="375" spans="1:6" x14ac:dyDescent="0.35">
      <c r="A375" s="1">
        <v>3</v>
      </c>
      <c r="B375" s="1">
        <v>1</v>
      </c>
      <c r="C375" s="1">
        <v>0.33333333333333298</v>
      </c>
      <c r="D375" s="1">
        <v>5</v>
      </c>
      <c r="E375" s="1">
        <v>0.33333333333333298</v>
      </c>
      <c r="F375" s="1">
        <v>0.2</v>
      </c>
    </row>
    <row r="376" spans="1:6" x14ac:dyDescent="0.35">
      <c r="A376" s="1">
        <v>5</v>
      </c>
      <c r="B376" s="1">
        <v>1</v>
      </c>
      <c r="C376" s="1">
        <v>1</v>
      </c>
      <c r="D376" s="1">
        <v>1</v>
      </c>
      <c r="E376" s="1">
        <v>1</v>
      </c>
      <c r="F376" s="1">
        <v>1</v>
      </c>
    </row>
    <row r="377" spans="1:6" x14ac:dyDescent="0.35">
      <c r="A377" s="1">
        <v>3</v>
      </c>
      <c r="B377" s="1">
        <v>5</v>
      </c>
      <c r="C377" s="1">
        <v>7</v>
      </c>
      <c r="D377" s="1">
        <v>3</v>
      </c>
      <c r="E377" s="1">
        <v>3</v>
      </c>
      <c r="F377" s="1">
        <v>0.33333333333333298</v>
      </c>
    </row>
    <row r="378" spans="1:6" x14ac:dyDescent="0.35">
      <c r="A378" s="1">
        <v>0.2</v>
      </c>
      <c r="B378" s="1">
        <v>1</v>
      </c>
      <c r="C378" s="1">
        <v>7</v>
      </c>
      <c r="D378" s="1">
        <v>1</v>
      </c>
      <c r="E378" s="1">
        <v>3</v>
      </c>
      <c r="F378" s="1">
        <v>1</v>
      </c>
    </row>
    <row r="379" spans="1:6" x14ac:dyDescent="0.35">
      <c r="A379" s="1">
        <v>0.14285714285714299</v>
      </c>
      <c r="B379" s="1">
        <v>1</v>
      </c>
      <c r="C379" s="1">
        <v>3</v>
      </c>
      <c r="D379" s="1">
        <v>0.33333333333333298</v>
      </c>
      <c r="E379" s="1">
        <v>5</v>
      </c>
      <c r="F379" s="1">
        <v>0.2</v>
      </c>
    </row>
    <row r="380" spans="1:6" x14ac:dyDescent="0.35">
      <c r="A380" s="1">
        <v>5</v>
      </c>
      <c r="B380" s="1">
        <v>3</v>
      </c>
      <c r="C380" s="1">
        <v>1</v>
      </c>
      <c r="D380" s="1">
        <v>5</v>
      </c>
      <c r="E380" s="1">
        <v>0.14285714285714299</v>
      </c>
      <c r="F380" s="1">
        <v>0.2</v>
      </c>
    </row>
    <row r="381" spans="1:6" x14ac:dyDescent="0.35">
      <c r="A381" s="1">
        <v>3</v>
      </c>
      <c r="B381" s="1">
        <v>1</v>
      </c>
      <c r="C381" s="1">
        <v>0.33333333333333298</v>
      </c>
      <c r="D381" s="1">
        <v>1</v>
      </c>
      <c r="E381" s="1">
        <v>3</v>
      </c>
      <c r="F381" s="1">
        <v>0.33333333333333298</v>
      </c>
    </row>
    <row r="382" spans="1:6" x14ac:dyDescent="0.35">
      <c r="A382" s="1">
        <v>0.33333333333333298</v>
      </c>
      <c r="B382" s="1">
        <v>5</v>
      </c>
      <c r="C382" s="1">
        <v>1</v>
      </c>
      <c r="D382" s="1">
        <v>0.2</v>
      </c>
      <c r="E382" s="1">
        <v>5</v>
      </c>
      <c r="F382" s="1">
        <v>0.33333333333333298</v>
      </c>
    </row>
    <row r="383" spans="1:6" x14ac:dyDescent="0.35">
      <c r="A383" s="1">
        <v>7</v>
      </c>
      <c r="B383" s="1">
        <v>5</v>
      </c>
      <c r="C383" s="1">
        <v>1</v>
      </c>
      <c r="D383" s="1">
        <v>0.33333333333333298</v>
      </c>
      <c r="E383" s="1">
        <v>0.14285714285714299</v>
      </c>
      <c r="F383" s="1">
        <v>1</v>
      </c>
    </row>
    <row r="384" spans="1:6" x14ac:dyDescent="0.35">
      <c r="A384" s="1">
        <v>7</v>
      </c>
      <c r="B384" s="1">
        <v>1</v>
      </c>
      <c r="C384" s="1">
        <v>9</v>
      </c>
      <c r="D384" s="1">
        <v>9</v>
      </c>
      <c r="E384" s="1">
        <v>9</v>
      </c>
      <c r="F384" s="1">
        <v>0.33333333333333298</v>
      </c>
    </row>
    <row r="385" spans="1:6" x14ac:dyDescent="0.35">
      <c r="A385" s="1">
        <v>9</v>
      </c>
      <c r="B385" s="1">
        <v>3</v>
      </c>
      <c r="C385" s="1">
        <v>1</v>
      </c>
      <c r="D385" s="1">
        <v>1</v>
      </c>
      <c r="E385" s="1">
        <v>3</v>
      </c>
      <c r="F385" s="1">
        <v>0.33333333333333298</v>
      </c>
    </row>
    <row r="386" spans="1:6" x14ac:dyDescent="0.35">
      <c r="A386" s="1">
        <v>3</v>
      </c>
      <c r="B386" s="1">
        <v>5</v>
      </c>
      <c r="C386" s="1">
        <v>5</v>
      </c>
      <c r="D386" s="1">
        <v>3</v>
      </c>
      <c r="E386" s="1">
        <v>1</v>
      </c>
      <c r="F386" s="1">
        <v>0.33333333333333298</v>
      </c>
    </row>
    <row r="387" spans="1:6" x14ac:dyDescent="0.35">
      <c r="A387" s="1">
        <v>9</v>
      </c>
      <c r="B387" s="1">
        <v>5</v>
      </c>
      <c r="C387" s="1">
        <v>9</v>
      </c>
      <c r="D387" s="1">
        <v>7</v>
      </c>
      <c r="E387" s="1">
        <v>9</v>
      </c>
      <c r="F387" s="1">
        <v>7</v>
      </c>
    </row>
    <row r="388" spans="1:6" x14ac:dyDescent="0.35">
      <c r="A388" s="1">
        <v>0.33333333333333298</v>
      </c>
      <c r="B388" s="1">
        <v>0.14285714285714299</v>
      </c>
      <c r="C388" s="1">
        <v>5</v>
      </c>
      <c r="D388" s="1">
        <v>5</v>
      </c>
      <c r="E388" s="1">
        <v>0.33333333333333298</v>
      </c>
      <c r="F388" s="1">
        <v>0.2</v>
      </c>
    </row>
    <row r="389" spans="1:6" x14ac:dyDescent="0.35">
      <c r="A389" s="1">
        <v>3</v>
      </c>
      <c r="B389" s="1">
        <v>0.2</v>
      </c>
      <c r="C389" s="1">
        <v>5</v>
      </c>
      <c r="D389" s="1">
        <v>0.2</v>
      </c>
      <c r="E389" s="1">
        <v>5</v>
      </c>
      <c r="F389" s="1">
        <v>0.33333333333333298</v>
      </c>
    </row>
    <row r="390" spans="1:6" x14ac:dyDescent="0.35">
      <c r="A390" s="1">
        <v>1</v>
      </c>
      <c r="B390" s="1">
        <v>1</v>
      </c>
      <c r="C390" s="1">
        <v>1</v>
      </c>
      <c r="D390" s="1">
        <v>1</v>
      </c>
      <c r="E390" s="1">
        <v>1</v>
      </c>
      <c r="F390" s="1">
        <v>1</v>
      </c>
    </row>
    <row r="391" spans="1:6" x14ac:dyDescent="0.35">
      <c r="A391" s="1">
        <v>1</v>
      </c>
      <c r="B391" s="1">
        <v>1</v>
      </c>
      <c r="C391" s="1">
        <v>5</v>
      </c>
      <c r="D391" s="1">
        <v>1</v>
      </c>
      <c r="E391" s="1">
        <v>0.33333333333333298</v>
      </c>
      <c r="F391" s="1">
        <v>1</v>
      </c>
    </row>
    <row r="392" spans="1:6" x14ac:dyDescent="0.35">
      <c r="A392" s="1">
        <v>1</v>
      </c>
      <c r="B392" s="1">
        <v>1</v>
      </c>
      <c r="C392" s="1">
        <v>1</v>
      </c>
      <c r="D392" s="1">
        <v>1</v>
      </c>
      <c r="E392" s="1">
        <v>1</v>
      </c>
      <c r="F392" s="1">
        <v>3</v>
      </c>
    </row>
    <row r="393" spans="1:6" x14ac:dyDescent="0.35">
      <c r="A393" s="1">
        <v>5</v>
      </c>
      <c r="B393" s="1">
        <v>0.2</v>
      </c>
      <c r="C393" s="1">
        <v>5</v>
      </c>
      <c r="D393" s="1">
        <v>0.2</v>
      </c>
      <c r="E393" s="1">
        <v>3</v>
      </c>
      <c r="F393" s="1">
        <v>0.33333333333333298</v>
      </c>
    </row>
    <row r="394" spans="1:6" x14ac:dyDescent="0.35">
      <c r="A394" s="1">
        <v>1</v>
      </c>
      <c r="B394" s="1">
        <v>1</v>
      </c>
      <c r="C394" s="1">
        <v>1</v>
      </c>
      <c r="D394" s="1">
        <v>1</v>
      </c>
      <c r="E394" s="1">
        <v>1</v>
      </c>
      <c r="F394" s="1">
        <v>1</v>
      </c>
    </row>
    <row r="395" spans="1:6" x14ac:dyDescent="0.35">
      <c r="A395" s="1">
        <v>0.2</v>
      </c>
      <c r="B395" s="1">
        <v>5</v>
      </c>
      <c r="C395" s="1">
        <v>0.14285714285714299</v>
      </c>
      <c r="D395" s="1">
        <v>7</v>
      </c>
      <c r="E395" s="1">
        <v>5</v>
      </c>
      <c r="F395" s="1">
        <v>0.2</v>
      </c>
    </row>
    <row r="396" spans="1:6" x14ac:dyDescent="0.35">
      <c r="A396" s="1">
        <v>9</v>
      </c>
      <c r="B396" s="1">
        <v>9</v>
      </c>
      <c r="C396" s="1">
        <v>1</v>
      </c>
      <c r="D396" s="1">
        <v>1</v>
      </c>
      <c r="E396" s="1">
        <v>1</v>
      </c>
      <c r="F396" s="1">
        <v>1</v>
      </c>
    </row>
    <row r="397" spans="1:6" x14ac:dyDescent="0.35">
      <c r="A397" s="1">
        <v>1</v>
      </c>
      <c r="B397" s="1">
        <v>1</v>
      </c>
      <c r="C397" s="1">
        <v>1</v>
      </c>
      <c r="D397" s="1">
        <v>1</v>
      </c>
      <c r="E397" s="1">
        <v>1</v>
      </c>
      <c r="F397" s="1">
        <v>1</v>
      </c>
    </row>
    <row r="398" spans="1:6" x14ac:dyDescent="0.35">
      <c r="A398" s="1">
        <v>1</v>
      </c>
      <c r="B398" s="1">
        <v>1</v>
      </c>
      <c r="C398" s="1">
        <v>1</v>
      </c>
      <c r="D398" s="1">
        <v>1</v>
      </c>
      <c r="E398" s="1">
        <v>1</v>
      </c>
      <c r="F398" s="1">
        <v>1</v>
      </c>
    </row>
    <row r="399" spans="1:6" x14ac:dyDescent="0.35">
      <c r="A399" s="1">
        <v>1</v>
      </c>
      <c r="B399" s="1">
        <v>1</v>
      </c>
      <c r="C399" s="1">
        <v>1</v>
      </c>
      <c r="D399" s="1">
        <v>1</v>
      </c>
      <c r="E399" s="1">
        <v>1</v>
      </c>
      <c r="F399" s="1">
        <v>1</v>
      </c>
    </row>
    <row r="400" spans="1:6" x14ac:dyDescent="0.35">
      <c r="A400" s="1">
        <v>1</v>
      </c>
      <c r="B400" s="1">
        <v>1</v>
      </c>
      <c r="C400" s="1">
        <v>1</v>
      </c>
      <c r="D400" s="1">
        <v>1</v>
      </c>
      <c r="E400" s="1">
        <v>1</v>
      </c>
      <c r="F400" s="1">
        <v>1</v>
      </c>
    </row>
    <row r="401" spans="1:6" x14ac:dyDescent="0.35">
      <c r="A401" s="1">
        <v>3</v>
      </c>
      <c r="B401" s="1">
        <v>1</v>
      </c>
      <c r="C401" s="1">
        <v>3</v>
      </c>
      <c r="D401" s="1">
        <v>0.33333333333333298</v>
      </c>
      <c r="E401" s="1">
        <v>1</v>
      </c>
      <c r="F401" s="1">
        <v>1</v>
      </c>
    </row>
    <row r="402" spans="1:6" x14ac:dyDescent="0.35">
      <c r="A402" s="1">
        <v>1</v>
      </c>
      <c r="B402" s="1">
        <v>1</v>
      </c>
      <c r="C402" s="1">
        <v>1</v>
      </c>
      <c r="D402" s="1">
        <v>1</v>
      </c>
      <c r="E402" s="1">
        <v>1</v>
      </c>
      <c r="F402" s="1">
        <v>3</v>
      </c>
    </row>
    <row r="403" spans="1:6" x14ac:dyDescent="0.35">
      <c r="A403" s="1">
        <v>1</v>
      </c>
      <c r="B403" s="1">
        <v>1</v>
      </c>
      <c r="C403" s="1">
        <v>1</v>
      </c>
      <c r="D403" s="1">
        <v>1</v>
      </c>
      <c r="E403" s="1">
        <v>1</v>
      </c>
      <c r="F403" s="1">
        <v>1</v>
      </c>
    </row>
    <row r="404" spans="1:6" x14ac:dyDescent="0.35">
      <c r="A404" s="1">
        <v>0.33333333333333298</v>
      </c>
      <c r="B404" s="1">
        <v>1</v>
      </c>
      <c r="C404" s="1">
        <v>7</v>
      </c>
      <c r="D404" s="1">
        <v>1</v>
      </c>
      <c r="E404" s="1">
        <v>1</v>
      </c>
      <c r="F404" s="1">
        <v>1</v>
      </c>
    </row>
    <row r="405" spans="1:6" x14ac:dyDescent="0.35">
      <c r="A405" s="1">
        <v>1</v>
      </c>
      <c r="B405" s="1">
        <v>1</v>
      </c>
      <c r="C405" s="1">
        <v>1</v>
      </c>
      <c r="D405" s="1">
        <v>1</v>
      </c>
      <c r="E405" s="1">
        <v>1</v>
      </c>
      <c r="F405" s="1">
        <v>1</v>
      </c>
    </row>
    <row r="406" spans="1:6" x14ac:dyDescent="0.35">
      <c r="A406" s="1">
        <v>1</v>
      </c>
      <c r="B406" s="1">
        <v>5</v>
      </c>
      <c r="C406" s="1">
        <v>1</v>
      </c>
      <c r="D406" s="1">
        <v>3</v>
      </c>
      <c r="E406" s="1">
        <v>1</v>
      </c>
      <c r="F406" s="1">
        <v>1</v>
      </c>
    </row>
    <row r="407" spans="1:6" x14ac:dyDescent="0.35">
      <c r="A407" s="1">
        <v>0.2</v>
      </c>
      <c r="B407" s="1">
        <v>3</v>
      </c>
      <c r="C407" s="1">
        <v>1</v>
      </c>
      <c r="D407" s="1">
        <v>0.33333333333333298</v>
      </c>
      <c r="E407" s="1">
        <v>1</v>
      </c>
      <c r="F407" s="1">
        <v>1</v>
      </c>
    </row>
    <row r="408" spans="1:6" x14ac:dyDescent="0.35">
      <c r="A408" s="1">
        <v>5</v>
      </c>
      <c r="B408" s="1">
        <v>1</v>
      </c>
      <c r="C408" s="1">
        <v>5</v>
      </c>
      <c r="D408" s="1">
        <v>1</v>
      </c>
      <c r="E408" s="1">
        <v>1</v>
      </c>
      <c r="F408" s="1">
        <v>1</v>
      </c>
    </row>
    <row r="409" spans="1:6" x14ac:dyDescent="0.35">
      <c r="A409" s="1">
        <v>1</v>
      </c>
      <c r="B409" s="1">
        <v>1</v>
      </c>
      <c r="C409" s="1">
        <v>1</v>
      </c>
      <c r="D409" s="1">
        <v>5</v>
      </c>
      <c r="E409" s="1">
        <v>1</v>
      </c>
      <c r="F409" s="1">
        <v>1</v>
      </c>
    </row>
    <row r="410" spans="1:6" x14ac:dyDescent="0.35">
      <c r="A410" s="1">
        <v>1</v>
      </c>
      <c r="B410" s="1">
        <v>5</v>
      </c>
      <c r="C410" s="1">
        <v>7</v>
      </c>
      <c r="D410" s="1">
        <v>7</v>
      </c>
      <c r="E410" s="1">
        <v>3</v>
      </c>
      <c r="F410" s="1">
        <v>1</v>
      </c>
    </row>
    <row r="411" spans="1:6" x14ac:dyDescent="0.35">
      <c r="A411" s="1">
        <v>1</v>
      </c>
      <c r="B411" s="1">
        <v>1</v>
      </c>
      <c r="C411" s="1">
        <v>1</v>
      </c>
      <c r="D411" s="1">
        <v>1</v>
      </c>
      <c r="E411" s="1">
        <v>1</v>
      </c>
      <c r="F411" s="1">
        <v>1</v>
      </c>
    </row>
    <row r="412" spans="1:6" x14ac:dyDescent="0.35">
      <c r="A412" s="1">
        <v>1</v>
      </c>
      <c r="B412" s="1">
        <v>0.14285714285714299</v>
      </c>
      <c r="C412" s="1">
        <v>0.33333333333333298</v>
      </c>
      <c r="D412" s="1">
        <v>3</v>
      </c>
      <c r="E412" s="1">
        <v>1</v>
      </c>
      <c r="F412" s="1">
        <v>1</v>
      </c>
    </row>
    <row r="413" spans="1:6" x14ac:dyDescent="0.35">
      <c r="A413" s="1">
        <v>1</v>
      </c>
      <c r="B413" s="1">
        <v>1</v>
      </c>
      <c r="C413" s="1">
        <v>1</v>
      </c>
      <c r="D413" s="1">
        <v>1</v>
      </c>
      <c r="E413" s="1">
        <v>1</v>
      </c>
      <c r="F413" s="1">
        <v>1</v>
      </c>
    </row>
    <row r="414" spans="1:6" x14ac:dyDescent="0.35">
      <c r="A414" s="1">
        <v>3</v>
      </c>
      <c r="B414" s="1">
        <v>3</v>
      </c>
      <c r="C414" s="1">
        <v>5</v>
      </c>
      <c r="D414" s="1">
        <v>5</v>
      </c>
      <c r="E414" s="1">
        <v>0.2</v>
      </c>
      <c r="F414" s="1">
        <v>0.33333333333333298</v>
      </c>
    </row>
    <row r="415" spans="1:6" x14ac:dyDescent="0.35">
      <c r="A415" s="1">
        <v>1</v>
      </c>
      <c r="B415" s="1">
        <v>0.14285714285714299</v>
      </c>
      <c r="C415" s="1">
        <v>1</v>
      </c>
      <c r="D415" s="1">
        <v>0.2</v>
      </c>
      <c r="E415" s="1">
        <v>1</v>
      </c>
      <c r="F415" s="1">
        <v>1</v>
      </c>
    </row>
    <row r="416" spans="1:6" x14ac:dyDescent="0.35">
      <c r="A416" s="1">
        <v>1</v>
      </c>
      <c r="B416" s="1">
        <v>3</v>
      </c>
      <c r="C416" s="1">
        <v>0.33333333333333298</v>
      </c>
      <c r="D416" s="1">
        <v>1</v>
      </c>
      <c r="E416" s="1">
        <v>5</v>
      </c>
      <c r="F416" s="1">
        <v>1</v>
      </c>
    </row>
    <row r="417" spans="1:6" x14ac:dyDescent="0.35">
      <c r="A417" s="1">
        <v>7</v>
      </c>
      <c r="B417" s="1">
        <v>9</v>
      </c>
      <c r="C417" s="1">
        <v>7</v>
      </c>
      <c r="D417" s="1">
        <v>7</v>
      </c>
      <c r="E417" s="1">
        <v>7</v>
      </c>
      <c r="F417" s="1">
        <v>7</v>
      </c>
    </row>
    <row r="418" spans="1:6" x14ac:dyDescent="0.35">
      <c r="A418" s="1">
        <v>1</v>
      </c>
      <c r="B418" s="1">
        <v>3</v>
      </c>
      <c r="C418" s="1">
        <v>0.33333333333333298</v>
      </c>
      <c r="D418" s="1">
        <v>3</v>
      </c>
      <c r="E418" s="1">
        <v>3</v>
      </c>
      <c r="F418" s="1">
        <v>1</v>
      </c>
    </row>
    <row r="419" spans="1:6" x14ac:dyDescent="0.35">
      <c r="A419" s="1">
        <v>1</v>
      </c>
      <c r="B419" s="1">
        <v>0.2</v>
      </c>
      <c r="C419" s="1">
        <v>1</v>
      </c>
      <c r="D419" s="1">
        <v>1</v>
      </c>
      <c r="E419" s="1">
        <v>1</v>
      </c>
      <c r="F419" s="1">
        <v>1</v>
      </c>
    </row>
    <row r="420" spans="1:6" x14ac:dyDescent="0.35">
      <c r="A420" s="1">
        <v>1</v>
      </c>
      <c r="B420" s="1">
        <v>1</v>
      </c>
      <c r="C420" s="1">
        <v>1</v>
      </c>
      <c r="D420" s="1">
        <v>1</v>
      </c>
      <c r="E420" s="1">
        <v>1</v>
      </c>
      <c r="F420" s="1">
        <v>1</v>
      </c>
    </row>
    <row r="421" spans="1:6" x14ac:dyDescent="0.35">
      <c r="A421" s="1">
        <v>3</v>
      </c>
      <c r="B421" s="1">
        <v>5</v>
      </c>
      <c r="C421" s="1">
        <v>1</v>
      </c>
      <c r="D421" s="1">
        <v>7</v>
      </c>
      <c r="E421" s="1">
        <v>0.2</v>
      </c>
      <c r="F421" s="1">
        <v>0.14285714285714299</v>
      </c>
    </row>
    <row r="422" spans="1:6" x14ac:dyDescent="0.35">
      <c r="A422" s="1">
        <v>1</v>
      </c>
      <c r="B422" s="1">
        <v>1</v>
      </c>
      <c r="C422" s="1">
        <v>1</v>
      </c>
      <c r="D422" s="1">
        <v>1</v>
      </c>
      <c r="E422" s="1">
        <v>5</v>
      </c>
      <c r="F422" s="1">
        <v>5</v>
      </c>
    </row>
    <row r="423" spans="1:6" x14ac:dyDescent="0.35">
      <c r="A423" s="1">
        <v>5</v>
      </c>
      <c r="B423" s="1">
        <v>5</v>
      </c>
      <c r="C423" s="1">
        <v>3</v>
      </c>
      <c r="D423" s="1">
        <v>3</v>
      </c>
      <c r="E423" s="1">
        <v>1</v>
      </c>
      <c r="F423" s="1">
        <v>1</v>
      </c>
    </row>
    <row r="424" spans="1:6" x14ac:dyDescent="0.35">
      <c r="A424" s="1">
        <v>3</v>
      </c>
      <c r="B424" s="1">
        <v>5</v>
      </c>
      <c r="C424" s="1">
        <v>3</v>
      </c>
      <c r="D424" s="1">
        <v>5</v>
      </c>
      <c r="E424" s="1">
        <v>1</v>
      </c>
      <c r="F424" s="1">
        <v>1</v>
      </c>
    </row>
    <row r="425" spans="1:6" x14ac:dyDescent="0.35">
      <c r="A425" s="1">
        <v>1</v>
      </c>
      <c r="B425" s="1">
        <v>1</v>
      </c>
      <c r="C425" s="1">
        <v>1</v>
      </c>
      <c r="D425" s="1">
        <v>1</v>
      </c>
      <c r="E425" s="1">
        <v>1</v>
      </c>
      <c r="F425" s="1">
        <v>1</v>
      </c>
    </row>
    <row r="426" spans="1:6" x14ac:dyDescent="0.35">
      <c r="A426" s="1">
        <v>5</v>
      </c>
      <c r="B426" s="1">
        <v>7</v>
      </c>
      <c r="C426" s="1">
        <v>1</v>
      </c>
      <c r="D426" s="1">
        <v>7</v>
      </c>
      <c r="E426" s="1">
        <v>1</v>
      </c>
      <c r="F426" s="1">
        <v>0.2</v>
      </c>
    </row>
    <row r="427" spans="1:6" x14ac:dyDescent="0.35">
      <c r="A427" s="1">
        <v>1</v>
      </c>
      <c r="B427" s="1">
        <v>1</v>
      </c>
      <c r="C427" s="1">
        <v>1</v>
      </c>
      <c r="D427" s="1">
        <v>1</v>
      </c>
      <c r="E427" s="1">
        <v>1</v>
      </c>
      <c r="F427" s="1">
        <v>1</v>
      </c>
    </row>
    <row r="428" spans="1:6" x14ac:dyDescent="0.35">
      <c r="A428" s="1">
        <v>5</v>
      </c>
      <c r="B428" s="1">
        <v>5</v>
      </c>
      <c r="C428" s="1">
        <v>1</v>
      </c>
      <c r="D428" s="1">
        <v>5</v>
      </c>
      <c r="E428" s="1">
        <v>0.2</v>
      </c>
      <c r="F428" s="1">
        <v>0.14285714285714299</v>
      </c>
    </row>
    <row r="429" spans="1:6" x14ac:dyDescent="0.35">
      <c r="A429" s="1">
        <v>1</v>
      </c>
      <c r="B429" s="1">
        <v>1</v>
      </c>
      <c r="C429" s="1">
        <v>1</v>
      </c>
      <c r="D429" s="1">
        <v>1</v>
      </c>
      <c r="E429" s="1">
        <v>1</v>
      </c>
      <c r="F429" s="1">
        <v>1</v>
      </c>
    </row>
    <row r="430" spans="1:6" x14ac:dyDescent="0.35">
      <c r="A430" s="1">
        <v>1</v>
      </c>
      <c r="B430" s="1">
        <v>3</v>
      </c>
      <c r="C430" s="1">
        <v>0.33333333333333298</v>
      </c>
      <c r="D430" s="1">
        <v>3</v>
      </c>
      <c r="E430" s="1">
        <v>3</v>
      </c>
      <c r="F430" s="1">
        <v>1</v>
      </c>
    </row>
    <row r="431" spans="1:6" x14ac:dyDescent="0.35">
      <c r="A431" s="1">
        <v>1</v>
      </c>
      <c r="B431" s="1">
        <v>9</v>
      </c>
      <c r="C431" s="1">
        <v>0.33333333333333298</v>
      </c>
      <c r="D431" s="1">
        <v>7</v>
      </c>
      <c r="E431" s="1">
        <v>1</v>
      </c>
      <c r="F431" s="1">
        <v>0.2</v>
      </c>
    </row>
    <row r="432" spans="1:6" x14ac:dyDescent="0.35">
      <c r="A432" s="1">
        <v>1</v>
      </c>
      <c r="B432" s="1">
        <v>3</v>
      </c>
      <c r="C432" s="1">
        <v>1</v>
      </c>
      <c r="D432" s="1">
        <v>5</v>
      </c>
      <c r="E432" s="1">
        <v>3</v>
      </c>
      <c r="F432" s="1">
        <v>3</v>
      </c>
    </row>
    <row r="433" spans="1:6" x14ac:dyDescent="0.35">
      <c r="A433" s="1">
        <v>1</v>
      </c>
      <c r="B433" s="1">
        <v>9</v>
      </c>
      <c r="C433" s="1">
        <v>5</v>
      </c>
      <c r="D433" s="1">
        <v>0.33333333333333298</v>
      </c>
      <c r="E433" s="1">
        <v>3</v>
      </c>
      <c r="F433" s="1">
        <v>0.2</v>
      </c>
    </row>
    <row r="434" spans="1:6" x14ac:dyDescent="0.35">
      <c r="A434" s="1">
        <v>7</v>
      </c>
      <c r="B434" s="1">
        <v>0.33333333333333298</v>
      </c>
      <c r="C434" s="1">
        <v>0.11111111111111099</v>
      </c>
      <c r="D434" s="1">
        <v>0.11111111111111099</v>
      </c>
      <c r="E434" s="1">
        <v>0.11111111111111099</v>
      </c>
      <c r="F434" s="1">
        <v>9</v>
      </c>
    </row>
    <row r="435" spans="1:6" x14ac:dyDescent="0.35">
      <c r="A435" s="1">
        <v>5</v>
      </c>
      <c r="B435" s="1">
        <v>0.14285714285714299</v>
      </c>
      <c r="C435" s="1">
        <v>0.14285714285714299</v>
      </c>
      <c r="D435" s="1">
        <v>0.14285714285714299</v>
      </c>
      <c r="E435" s="1">
        <v>0.11111111111111099</v>
      </c>
      <c r="F435" s="1">
        <v>1</v>
      </c>
    </row>
    <row r="436" spans="1:6" x14ac:dyDescent="0.35">
      <c r="A436" s="1">
        <v>7</v>
      </c>
      <c r="B436" s="1">
        <v>5</v>
      </c>
      <c r="C436" s="1">
        <v>0.14285714285714299</v>
      </c>
      <c r="D436" s="1">
        <v>0.11111111111111099</v>
      </c>
      <c r="E436" s="1">
        <v>5</v>
      </c>
      <c r="F436" s="1">
        <v>0.11111111111111099</v>
      </c>
    </row>
    <row r="437" spans="1:6" x14ac:dyDescent="0.35">
      <c r="A437" s="1">
        <v>0.11111111111111099</v>
      </c>
      <c r="B437" s="1">
        <v>0.2</v>
      </c>
      <c r="C437" s="1">
        <v>3</v>
      </c>
      <c r="D437" s="1">
        <v>0.33333333333333298</v>
      </c>
      <c r="E437" s="1">
        <v>1</v>
      </c>
      <c r="F437" s="1">
        <v>0.33333333333333298</v>
      </c>
    </row>
    <row r="438" spans="1:6" x14ac:dyDescent="0.35">
      <c r="A438" s="1">
        <v>5</v>
      </c>
      <c r="B438" s="1">
        <v>0.11111111111111099</v>
      </c>
      <c r="C438" s="1">
        <v>7</v>
      </c>
      <c r="D438" s="1">
        <v>0.14285714285714299</v>
      </c>
      <c r="E438" s="1">
        <v>9</v>
      </c>
      <c r="F438" s="1">
        <v>0.14285714285714299</v>
      </c>
    </row>
    <row r="439" spans="1:6" x14ac:dyDescent="0.35">
      <c r="A439" s="1">
        <v>1</v>
      </c>
      <c r="B439" s="1">
        <v>9</v>
      </c>
      <c r="C439" s="1">
        <v>7</v>
      </c>
      <c r="D439" s="1">
        <v>7</v>
      </c>
      <c r="E439" s="1">
        <v>3</v>
      </c>
      <c r="F439" s="1">
        <v>9</v>
      </c>
    </row>
    <row r="440" spans="1:6" x14ac:dyDescent="0.35">
      <c r="A440" s="1">
        <v>0.14285714285714299</v>
      </c>
      <c r="B440" s="1">
        <v>0.14285714285714299</v>
      </c>
      <c r="C440" s="1">
        <v>0.14285714285714299</v>
      </c>
      <c r="D440" s="1">
        <v>0.14285714285714299</v>
      </c>
      <c r="E440" s="1">
        <v>1</v>
      </c>
      <c r="F440" s="1">
        <v>0.14285714285714299</v>
      </c>
    </row>
    <row r="441" spans="1:6" x14ac:dyDescent="0.35">
      <c r="A441" s="1">
        <v>5</v>
      </c>
      <c r="B441" s="1">
        <v>7</v>
      </c>
      <c r="C441" s="1">
        <v>1</v>
      </c>
      <c r="D441" s="1">
        <v>0.14285714285714299</v>
      </c>
      <c r="E441" s="1">
        <v>0.33333333333333298</v>
      </c>
      <c r="F441" s="1">
        <v>1</v>
      </c>
    </row>
    <row r="442" spans="1:6" x14ac:dyDescent="0.35">
      <c r="A442" s="1">
        <v>5</v>
      </c>
      <c r="B442" s="1">
        <v>1</v>
      </c>
      <c r="C442" s="1">
        <v>7</v>
      </c>
      <c r="D442" s="1">
        <v>0.2</v>
      </c>
      <c r="E442" s="1">
        <v>0.2</v>
      </c>
      <c r="F442" s="1">
        <v>3</v>
      </c>
    </row>
    <row r="443" spans="1:6" x14ac:dyDescent="0.35">
      <c r="A443" s="1">
        <v>5</v>
      </c>
      <c r="B443" s="1">
        <v>7</v>
      </c>
      <c r="C443" s="1">
        <v>1</v>
      </c>
      <c r="D443" s="1">
        <v>0.11111111111111099</v>
      </c>
      <c r="E443" s="1">
        <v>0.2</v>
      </c>
      <c r="F443" s="1">
        <v>1</v>
      </c>
    </row>
    <row r="444" spans="1:6" x14ac:dyDescent="0.35">
      <c r="A444" s="1">
        <v>7</v>
      </c>
      <c r="B444" s="1">
        <v>5</v>
      </c>
      <c r="C444" s="1">
        <v>5</v>
      </c>
      <c r="D444" s="1">
        <v>1</v>
      </c>
      <c r="E444" s="1">
        <v>0.2</v>
      </c>
      <c r="F444" s="1">
        <v>0.14285714285714299</v>
      </c>
    </row>
    <row r="445" spans="1:6" x14ac:dyDescent="0.35">
      <c r="A445" s="1">
        <v>1</v>
      </c>
      <c r="B445" s="1">
        <v>0.14285714285714299</v>
      </c>
      <c r="C445" s="1">
        <v>1</v>
      </c>
      <c r="D445" s="1">
        <v>0.14285714285714299</v>
      </c>
      <c r="E445" s="1">
        <v>1</v>
      </c>
      <c r="F445" s="1">
        <v>3</v>
      </c>
    </row>
    <row r="446" spans="1:6" x14ac:dyDescent="0.35">
      <c r="A446" s="1">
        <v>1</v>
      </c>
      <c r="B446" s="1">
        <v>1</v>
      </c>
      <c r="C446" s="1">
        <v>1</v>
      </c>
      <c r="D446" s="1">
        <v>1</v>
      </c>
      <c r="E446" s="1">
        <v>1</v>
      </c>
      <c r="F446" s="1">
        <v>1</v>
      </c>
    </row>
    <row r="447" spans="1:6" x14ac:dyDescent="0.35">
      <c r="A447" s="1">
        <v>5</v>
      </c>
      <c r="B447" s="1">
        <v>1</v>
      </c>
      <c r="C447" s="1">
        <v>0.2</v>
      </c>
      <c r="D447" s="1">
        <v>0.14285714285714299</v>
      </c>
      <c r="E447" s="1">
        <v>5</v>
      </c>
      <c r="F447" s="1">
        <v>1</v>
      </c>
    </row>
    <row r="448" spans="1:6" x14ac:dyDescent="0.35">
      <c r="A448" s="1">
        <v>3</v>
      </c>
      <c r="B448" s="1">
        <v>3</v>
      </c>
      <c r="C448" s="1">
        <v>3</v>
      </c>
      <c r="D448" s="1">
        <v>3</v>
      </c>
      <c r="E448" s="1">
        <v>3</v>
      </c>
      <c r="F448" s="1">
        <v>1</v>
      </c>
    </row>
    <row r="449" spans="1:6" x14ac:dyDescent="0.35">
      <c r="A449" s="1">
        <v>5</v>
      </c>
      <c r="B449" s="1">
        <v>1</v>
      </c>
      <c r="C449" s="1">
        <v>5</v>
      </c>
      <c r="D449" s="1">
        <v>0.33333333333333298</v>
      </c>
      <c r="E449" s="1">
        <v>0.2</v>
      </c>
      <c r="F449" s="1">
        <v>1</v>
      </c>
    </row>
    <row r="450" spans="1:6" x14ac:dyDescent="0.35">
      <c r="A450" s="1">
        <v>3</v>
      </c>
      <c r="B450" s="1">
        <v>5</v>
      </c>
      <c r="C450" s="1">
        <v>5</v>
      </c>
      <c r="D450" s="1">
        <v>3</v>
      </c>
      <c r="E450" s="1">
        <v>1</v>
      </c>
      <c r="F450" s="1">
        <v>0.33333333333333298</v>
      </c>
    </row>
    <row r="451" spans="1:6" x14ac:dyDescent="0.35">
      <c r="A451" s="1">
        <v>5</v>
      </c>
      <c r="B451" s="1">
        <v>1</v>
      </c>
      <c r="C451" s="1">
        <v>0.2</v>
      </c>
      <c r="D451" s="1">
        <v>0.2</v>
      </c>
      <c r="E451" s="1">
        <v>1</v>
      </c>
      <c r="F451" s="1">
        <v>5</v>
      </c>
    </row>
    <row r="452" spans="1:6" x14ac:dyDescent="0.35">
      <c r="A452" s="1">
        <v>1</v>
      </c>
      <c r="B452" s="1">
        <v>1</v>
      </c>
      <c r="C452" s="1">
        <v>1</v>
      </c>
      <c r="D452" s="1">
        <v>1</v>
      </c>
      <c r="E452" s="1">
        <v>1</v>
      </c>
      <c r="F452" s="1">
        <v>1</v>
      </c>
    </row>
    <row r="453" spans="1:6" x14ac:dyDescent="0.35">
      <c r="A453" s="1">
        <v>1</v>
      </c>
      <c r="B453" s="1">
        <v>1</v>
      </c>
      <c r="C453" s="1">
        <v>3</v>
      </c>
      <c r="D453" s="1">
        <v>3</v>
      </c>
      <c r="E453" s="1">
        <v>3</v>
      </c>
      <c r="F453" s="1">
        <v>1</v>
      </c>
    </row>
    <row r="454" spans="1:6" x14ac:dyDescent="0.35">
      <c r="A454" s="1">
        <v>5</v>
      </c>
      <c r="B454" s="1">
        <v>5</v>
      </c>
      <c r="C454" s="1">
        <v>5</v>
      </c>
      <c r="D454" s="1">
        <v>5</v>
      </c>
      <c r="E454" s="1">
        <v>1</v>
      </c>
      <c r="F454" s="1">
        <v>0.2</v>
      </c>
    </row>
    <row r="455" spans="1:6" x14ac:dyDescent="0.35">
      <c r="A455" s="1">
        <v>7</v>
      </c>
      <c r="B455" s="1">
        <v>5</v>
      </c>
      <c r="C455" s="1">
        <v>0.14285714285714299</v>
      </c>
      <c r="D455" s="1">
        <v>1</v>
      </c>
      <c r="E455" s="1">
        <v>0.2</v>
      </c>
      <c r="F455" s="1">
        <v>1</v>
      </c>
    </row>
    <row r="456" spans="1:6" x14ac:dyDescent="0.35">
      <c r="A456" s="1">
        <v>1</v>
      </c>
      <c r="B456" s="1">
        <v>3</v>
      </c>
      <c r="C456" s="1">
        <v>1</v>
      </c>
      <c r="D456" s="1">
        <v>3</v>
      </c>
      <c r="E456" s="1">
        <v>1</v>
      </c>
      <c r="F456" s="1">
        <v>0.33333333333333298</v>
      </c>
    </row>
    <row r="457" spans="1:6" x14ac:dyDescent="0.35">
      <c r="A457" s="1">
        <v>5</v>
      </c>
      <c r="B457" s="1">
        <v>5</v>
      </c>
      <c r="C457" s="1">
        <v>5</v>
      </c>
      <c r="D457" s="1">
        <v>5</v>
      </c>
      <c r="E457" s="1">
        <v>1</v>
      </c>
      <c r="F457" s="1">
        <v>0.33333333333333298</v>
      </c>
    </row>
    <row r="458" spans="1:6" x14ac:dyDescent="0.35">
      <c r="A458" s="1">
        <v>1</v>
      </c>
      <c r="B458" s="1">
        <v>1</v>
      </c>
      <c r="C458" s="1">
        <v>1</v>
      </c>
      <c r="D458" s="1">
        <v>1</v>
      </c>
      <c r="E458" s="1">
        <v>1</v>
      </c>
      <c r="F458" s="1">
        <v>1</v>
      </c>
    </row>
    <row r="459" spans="1:6" x14ac:dyDescent="0.35">
      <c r="A459" s="1">
        <v>9</v>
      </c>
      <c r="B459" s="1">
        <v>9</v>
      </c>
      <c r="C459" s="1">
        <v>9</v>
      </c>
      <c r="D459" s="1">
        <v>9</v>
      </c>
      <c r="E459" s="1">
        <v>9</v>
      </c>
      <c r="F459" s="1">
        <v>9</v>
      </c>
    </row>
    <row r="460" spans="1:6" x14ac:dyDescent="0.35">
      <c r="A460" s="1">
        <v>3</v>
      </c>
      <c r="B460" s="1">
        <v>3</v>
      </c>
      <c r="C460" s="1">
        <v>5</v>
      </c>
      <c r="D460" s="1">
        <v>5</v>
      </c>
      <c r="E460" s="1">
        <v>3</v>
      </c>
      <c r="F460" s="1">
        <v>1</v>
      </c>
    </row>
    <row r="461" spans="1:6" x14ac:dyDescent="0.35">
      <c r="A461" s="1">
        <v>9</v>
      </c>
      <c r="B461" s="1">
        <v>9</v>
      </c>
      <c r="C461" s="1">
        <v>9</v>
      </c>
      <c r="D461" s="1">
        <v>9</v>
      </c>
      <c r="E461" s="1">
        <v>9</v>
      </c>
      <c r="F461" s="1">
        <v>9</v>
      </c>
    </row>
    <row r="462" spans="1:6" x14ac:dyDescent="0.35">
      <c r="A462" s="1">
        <v>1</v>
      </c>
      <c r="B462" s="1">
        <v>1</v>
      </c>
      <c r="C462" s="1">
        <v>0.33333333333333298</v>
      </c>
      <c r="D462" s="1">
        <v>1</v>
      </c>
      <c r="E462" s="1">
        <v>0.2</v>
      </c>
      <c r="F462" s="1">
        <v>1</v>
      </c>
    </row>
    <row r="463" spans="1:6" x14ac:dyDescent="0.35">
      <c r="A463" s="1">
        <v>1</v>
      </c>
      <c r="B463" s="1">
        <v>1</v>
      </c>
      <c r="C463" s="1">
        <v>1</v>
      </c>
      <c r="D463" s="1">
        <v>3</v>
      </c>
      <c r="E463" s="1">
        <v>1</v>
      </c>
      <c r="F463" s="1">
        <v>1</v>
      </c>
    </row>
    <row r="464" spans="1:6" x14ac:dyDescent="0.35">
      <c r="A464" s="1">
        <v>9</v>
      </c>
      <c r="B464" s="1">
        <v>9</v>
      </c>
      <c r="C464" s="1">
        <v>9</v>
      </c>
      <c r="D464" s="1">
        <v>9</v>
      </c>
      <c r="E464" s="1">
        <v>9</v>
      </c>
      <c r="F464" s="1">
        <v>9</v>
      </c>
    </row>
    <row r="465" spans="1:6" x14ac:dyDescent="0.35">
      <c r="A465" s="1">
        <v>1</v>
      </c>
      <c r="B465" s="1">
        <v>1</v>
      </c>
      <c r="C465" s="1">
        <v>1</v>
      </c>
      <c r="D465" s="1">
        <v>1</v>
      </c>
      <c r="E465" s="1">
        <v>1</v>
      </c>
      <c r="F465" s="1">
        <v>7</v>
      </c>
    </row>
    <row r="466" spans="1:6" x14ac:dyDescent="0.35">
      <c r="A466" s="1">
        <v>1</v>
      </c>
      <c r="B466" s="1">
        <v>1</v>
      </c>
      <c r="C466" s="1">
        <v>1</v>
      </c>
      <c r="D466" s="1">
        <v>1</v>
      </c>
      <c r="E466" s="1">
        <v>1</v>
      </c>
      <c r="F466" s="1">
        <v>1</v>
      </c>
    </row>
    <row r="467" spans="1:6" x14ac:dyDescent="0.35">
      <c r="A467" s="1">
        <v>9</v>
      </c>
      <c r="B467" s="1">
        <v>9</v>
      </c>
      <c r="C467" s="1">
        <v>7</v>
      </c>
      <c r="D467" s="1">
        <v>7</v>
      </c>
      <c r="E467" s="1">
        <v>9</v>
      </c>
      <c r="F467" s="1">
        <v>9</v>
      </c>
    </row>
    <row r="468" spans="1:6" x14ac:dyDescent="0.35">
      <c r="A468" s="1">
        <v>5</v>
      </c>
      <c r="B468" s="1">
        <v>5</v>
      </c>
      <c r="C468" s="1">
        <v>3</v>
      </c>
      <c r="D468" s="1">
        <v>3</v>
      </c>
      <c r="E468" s="1">
        <v>3</v>
      </c>
      <c r="F468" s="1">
        <v>1</v>
      </c>
    </row>
    <row r="469" spans="1:6" x14ac:dyDescent="0.35">
      <c r="A469" s="1">
        <v>1</v>
      </c>
      <c r="B469" s="1">
        <v>3</v>
      </c>
      <c r="C469" s="1">
        <v>1</v>
      </c>
      <c r="D469" s="1">
        <v>7</v>
      </c>
      <c r="E469" s="1">
        <v>1</v>
      </c>
      <c r="F469" s="1">
        <v>0.2</v>
      </c>
    </row>
    <row r="470" spans="1:6" x14ac:dyDescent="0.35">
      <c r="A470" s="1">
        <v>9</v>
      </c>
      <c r="B470" s="1">
        <v>9</v>
      </c>
      <c r="C470" s="1">
        <v>7</v>
      </c>
      <c r="D470" s="1">
        <v>7</v>
      </c>
      <c r="E470" s="1">
        <v>7</v>
      </c>
      <c r="F470" s="1">
        <v>5</v>
      </c>
    </row>
    <row r="471" spans="1:6" x14ac:dyDescent="0.35">
      <c r="A471" s="1">
        <v>5</v>
      </c>
      <c r="B471" s="1">
        <v>3</v>
      </c>
      <c r="C471" s="1">
        <v>5</v>
      </c>
      <c r="D471" s="1">
        <v>3</v>
      </c>
      <c r="E471" s="1">
        <v>3</v>
      </c>
      <c r="F471" s="1">
        <v>1</v>
      </c>
    </row>
    <row r="472" spans="1:6" x14ac:dyDescent="0.35">
      <c r="A472" s="1">
        <v>1</v>
      </c>
      <c r="B472" s="1">
        <v>1</v>
      </c>
      <c r="C472" s="1">
        <v>1</v>
      </c>
      <c r="D472" s="1">
        <v>1</v>
      </c>
      <c r="E472" s="1">
        <v>1</v>
      </c>
      <c r="F472" s="1">
        <v>1</v>
      </c>
    </row>
    <row r="473" spans="1:6" x14ac:dyDescent="0.35">
      <c r="A473" s="1">
        <v>0.2</v>
      </c>
      <c r="B473" s="1">
        <v>1</v>
      </c>
      <c r="C473" s="1">
        <v>1</v>
      </c>
      <c r="D473" s="1">
        <v>1</v>
      </c>
      <c r="E473" s="1">
        <v>1</v>
      </c>
      <c r="F473" s="1">
        <v>1</v>
      </c>
    </row>
    <row r="474" spans="1:6" x14ac:dyDescent="0.35">
      <c r="A474" s="1">
        <v>9</v>
      </c>
      <c r="B474" s="1">
        <v>9</v>
      </c>
      <c r="C474" s="1">
        <v>7</v>
      </c>
      <c r="D474" s="1">
        <v>9</v>
      </c>
      <c r="E474" s="1">
        <v>9</v>
      </c>
      <c r="F474" s="1">
        <v>9</v>
      </c>
    </row>
    <row r="475" spans="1:6" x14ac:dyDescent="0.35">
      <c r="A475" s="1">
        <v>1</v>
      </c>
      <c r="B475" s="1">
        <v>1</v>
      </c>
      <c r="C475" s="1">
        <v>1</v>
      </c>
      <c r="D475" s="1">
        <v>1</v>
      </c>
      <c r="E475" s="1">
        <v>1</v>
      </c>
      <c r="F475" s="1">
        <v>1</v>
      </c>
    </row>
    <row r="476" spans="1:6" x14ac:dyDescent="0.35">
      <c r="A476" s="1">
        <v>1</v>
      </c>
      <c r="B476" s="1">
        <v>5</v>
      </c>
      <c r="C476" s="1">
        <v>1</v>
      </c>
      <c r="D476" s="1">
        <v>1</v>
      </c>
      <c r="E476" s="1">
        <v>1</v>
      </c>
      <c r="F476" s="1">
        <v>1</v>
      </c>
    </row>
    <row r="477" spans="1:6" x14ac:dyDescent="0.35">
      <c r="A477" s="1">
        <v>9</v>
      </c>
      <c r="B477" s="1">
        <v>9</v>
      </c>
      <c r="C477" s="1">
        <v>9</v>
      </c>
      <c r="D477" s="1">
        <v>9</v>
      </c>
      <c r="E477" s="1">
        <v>9</v>
      </c>
      <c r="F477" s="1">
        <v>9</v>
      </c>
    </row>
    <row r="478" spans="1:6" x14ac:dyDescent="0.35">
      <c r="A478" s="1">
        <v>3</v>
      </c>
      <c r="B478" s="1">
        <v>1</v>
      </c>
      <c r="C478" s="1">
        <v>5</v>
      </c>
      <c r="D478" s="1">
        <v>0.14285714285714299</v>
      </c>
      <c r="E478" s="1">
        <v>0.2</v>
      </c>
      <c r="F478" s="1">
        <v>1</v>
      </c>
    </row>
    <row r="479" spans="1:6" x14ac:dyDescent="0.35">
      <c r="A479" s="1">
        <v>1</v>
      </c>
      <c r="B479" s="1">
        <v>1</v>
      </c>
      <c r="C479" s="1">
        <v>1</v>
      </c>
      <c r="D479" s="1">
        <v>1</v>
      </c>
      <c r="E479" s="1">
        <v>1</v>
      </c>
      <c r="F479" s="1">
        <v>3</v>
      </c>
    </row>
    <row r="480" spans="1:6" x14ac:dyDescent="0.35">
      <c r="A480" s="1">
        <v>9</v>
      </c>
      <c r="B480" s="1">
        <v>9</v>
      </c>
      <c r="C480" s="1">
        <v>9</v>
      </c>
      <c r="D480" s="1">
        <v>9</v>
      </c>
      <c r="E480" s="1">
        <v>9</v>
      </c>
      <c r="F480" s="1">
        <v>9</v>
      </c>
    </row>
    <row r="481" spans="1:6" x14ac:dyDescent="0.35">
      <c r="A481" s="1">
        <v>1</v>
      </c>
      <c r="B481" s="1">
        <v>1</v>
      </c>
      <c r="C481" s="1">
        <v>1</v>
      </c>
      <c r="D481" s="1">
        <v>1</v>
      </c>
      <c r="E481" s="1">
        <v>1</v>
      </c>
      <c r="F481" s="1">
        <v>1</v>
      </c>
    </row>
    <row r="482" spans="1:6" x14ac:dyDescent="0.35">
      <c r="A482" s="1">
        <v>7</v>
      </c>
      <c r="B482" s="1">
        <v>1</v>
      </c>
      <c r="C482" s="1">
        <v>5</v>
      </c>
      <c r="D482" s="1">
        <v>0.14285714285714299</v>
      </c>
      <c r="E482" s="1">
        <v>0.2</v>
      </c>
      <c r="F482" s="1">
        <v>1</v>
      </c>
    </row>
    <row r="483" spans="1:6" x14ac:dyDescent="0.35">
      <c r="A483" s="1">
        <v>1</v>
      </c>
      <c r="B483" s="1">
        <v>1</v>
      </c>
      <c r="C483" s="1">
        <v>0.14285714285714299</v>
      </c>
      <c r="D483" s="1">
        <v>3</v>
      </c>
      <c r="E483" s="1">
        <v>1</v>
      </c>
      <c r="F483" s="1">
        <v>1</v>
      </c>
    </row>
    <row r="484" spans="1:6" x14ac:dyDescent="0.35">
      <c r="A484" s="1">
        <v>7</v>
      </c>
      <c r="B484" s="1">
        <v>9</v>
      </c>
      <c r="C484" s="1">
        <v>9</v>
      </c>
      <c r="D484" s="1">
        <v>9</v>
      </c>
      <c r="E484" s="1">
        <v>9</v>
      </c>
      <c r="F484" s="1">
        <v>9</v>
      </c>
    </row>
    <row r="485" spans="1:6" x14ac:dyDescent="0.35">
      <c r="A485" s="1">
        <v>1</v>
      </c>
      <c r="B485" s="1">
        <v>1</v>
      </c>
      <c r="C485" s="1">
        <v>1</v>
      </c>
      <c r="D485" s="1">
        <v>1</v>
      </c>
      <c r="E485" s="1">
        <v>1</v>
      </c>
      <c r="F485" s="1">
        <v>1</v>
      </c>
    </row>
    <row r="486" spans="1:6" x14ac:dyDescent="0.35">
      <c r="A486" s="1">
        <v>7</v>
      </c>
      <c r="B486" s="1">
        <v>9</v>
      </c>
      <c r="C486" s="1">
        <v>9</v>
      </c>
      <c r="D486" s="1">
        <v>9</v>
      </c>
      <c r="E486" s="1">
        <v>9</v>
      </c>
      <c r="F486" s="1">
        <v>7</v>
      </c>
    </row>
    <row r="487" spans="1:6" x14ac:dyDescent="0.35">
      <c r="A487" s="1">
        <v>1</v>
      </c>
      <c r="B487" s="1">
        <v>5</v>
      </c>
      <c r="C487" s="1">
        <v>0.2</v>
      </c>
      <c r="D487" s="1">
        <v>5</v>
      </c>
      <c r="E487" s="1">
        <v>0.33333333333333298</v>
      </c>
      <c r="F487" s="1">
        <v>0.2</v>
      </c>
    </row>
    <row r="488" spans="1:6" x14ac:dyDescent="0.35">
      <c r="A488" s="1">
        <v>9</v>
      </c>
      <c r="B488" s="1">
        <v>9</v>
      </c>
      <c r="C488" s="1">
        <v>7</v>
      </c>
      <c r="D488" s="1">
        <v>9</v>
      </c>
      <c r="E488" s="1">
        <v>7</v>
      </c>
      <c r="F488" s="1">
        <v>9</v>
      </c>
    </row>
    <row r="489" spans="1:6" x14ac:dyDescent="0.35">
      <c r="A489" s="1">
        <v>1</v>
      </c>
      <c r="B489" s="1">
        <v>1</v>
      </c>
      <c r="C489" s="1">
        <v>0.2</v>
      </c>
      <c r="D489" s="1">
        <v>1</v>
      </c>
      <c r="E489" s="1">
        <v>1</v>
      </c>
      <c r="F489" s="1">
        <v>1</v>
      </c>
    </row>
    <row r="490" spans="1:6" x14ac:dyDescent="0.35">
      <c r="A490" s="1">
        <v>3</v>
      </c>
      <c r="B490" s="1">
        <v>5</v>
      </c>
      <c r="C490" s="1">
        <v>0.2</v>
      </c>
      <c r="D490" s="1">
        <v>5</v>
      </c>
      <c r="E490" s="1">
        <v>1</v>
      </c>
      <c r="F490" s="1">
        <v>0.2</v>
      </c>
    </row>
    <row r="491" spans="1:6" x14ac:dyDescent="0.35">
      <c r="A491" s="1">
        <v>3</v>
      </c>
      <c r="B491" s="1">
        <v>5</v>
      </c>
      <c r="C491" s="1">
        <v>0.33333333333333298</v>
      </c>
      <c r="D491" s="1">
        <v>5</v>
      </c>
      <c r="E491" s="1">
        <v>1</v>
      </c>
      <c r="F491" s="1">
        <v>0.33333333333333298</v>
      </c>
    </row>
    <row r="492" spans="1:6" x14ac:dyDescent="0.35">
      <c r="A492" s="1">
        <v>7</v>
      </c>
      <c r="B492" s="1">
        <v>3</v>
      </c>
      <c r="C492" s="1">
        <v>1</v>
      </c>
      <c r="D492" s="1">
        <v>5</v>
      </c>
      <c r="E492" s="1">
        <v>0.14285714285714299</v>
      </c>
      <c r="F492" s="1">
        <v>0.2</v>
      </c>
    </row>
    <row r="493" spans="1:6" x14ac:dyDescent="0.35">
      <c r="A493" s="1">
        <v>5</v>
      </c>
      <c r="B493" s="1">
        <v>5</v>
      </c>
      <c r="C493" s="1">
        <v>3</v>
      </c>
      <c r="D493" s="1">
        <v>7</v>
      </c>
      <c r="E493" s="1">
        <v>1</v>
      </c>
      <c r="F493" s="1">
        <v>0.33333333333333298</v>
      </c>
    </row>
    <row r="494" spans="1:6" x14ac:dyDescent="0.35">
      <c r="A494" s="1">
        <v>9</v>
      </c>
      <c r="B494" s="1">
        <v>9</v>
      </c>
      <c r="C494" s="1">
        <v>9</v>
      </c>
      <c r="D494" s="1">
        <v>9</v>
      </c>
      <c r="E494" s="1">
        <v>9</v>
      </c>
      <c r="F494" s="1">
        <v>9</v>
      </c>
    </row>
    <row r="495" spans="1:6" x14ac:dyDescent="0.35">
      <c r="A495" s="1">
        <v>1</v>
      </c>
      <c r="B495" s="1">
        <v>1</v>
      </c>
      <c r="C495" s="1">
        <v>1</v>
      </c>
      <c r="D495" s="1">
        <v>1</v>
      </c>
      <c r="E495" s="1">
        <v>1</v>
      </c>
      <c r="F495" s="1">
        <v>0.33333333333333298</v>
      </c>
    </row>
    <row r="496" spans="1:6" x14ac:dyDescent="0.35">
      <c r="A496" s="1">
        <v>9</v>
      </c>
      <c r="B496" s="1">
        <v>9</v>
      </c>
      <c r="C496" s="1">
        <v>7</v>
      </c>
      <c r="D496" s="1">
        <v>9</v>
      </c>
      <c r="E496" s="1">
        <v>9</v>
      </c>
      <c r="F496" s="1">
        <v>9</v>
      </c>
    </row>
    <row r="497" spans="1:6" x14ac:dyDescent="0.35">
      <c r="A497" s="1">
        <v>1</v>
      </c>
      <c r="B497" s="1">
        <v>1</v>
      </c>
      <c r="C497" s="1">
        <v>1</v>
      </c>
      <c r="D497" s="1">
        <v>1</v>
      </c>
      <c r="E497" s="1">
        <v>1</v>
      </c>
      <c r="F497" s="1">
        <v>1</v>
      </c>
    </row>
    <row r="498" spans="1:6" x14ac:dyDescent="0.35">
      <c r="A498" s="1">
        <v>7</v>
      </c>
      <c r="B498" s="1">
        <v>7</v>
      </c>
      <c r="C498" s="1">
        <v>7</v>
      </c>
      <c r="D498" s="1">
        <v>9</v>
      </c>
      <c r="E498" s="1">
        <v>9</v>
      </c>
      <c r="F498" s="1">
        <v>9</v>
      </c>
    </row>
    <row r="499" spans="1:6" x14ac:dyDescent="0.35">
      <c r="A499" s="1">
        <v>3</v>
      </c>
      <c r="B499" s="1">
        <v>3</v>
      </c>
      <c r="C499" s="1">
        <v>3</v>
      </c>
      <c r="D499" s="1">
        <v>3</v>
      </c>
      <c r="E499" s="1">
        <v>5</v>
      </c>
      <c r="F499" s="1">
        <v>1</v>
      </c>
    </row>
    <row r="500" spans="1:6" x14ac:dyDescent="0.35">
      <c r="A500" s="1">
        <v>3</v>
      </c>
      <c r="B500" s="1">
        <v>1</v>
      </c>
      <c r="C500" s="1">
        <v>1</v>
      </c>
      <c r="D500" s="1">
        <v>1</v>
      </c>
      <c r="E500" s="1">
        <v>1</v>
      </c>
      <c r="F500" s="1">
        <v>5</v>
      </c>
    </row>
    <row r="501" spans="1:6" x14ac:dyDescent="0.35">
      <c r="A501" s="1">
        <v>9</v>
      </c>
      <c r="B501" s="1">
        <v>9</v>
      </c>
      <c r="C501" s="1">
        <v>5</v>
      </c>
      <c r="D501" s="1">
        <v>5</v>
      </c>
      <c r="E501" s="1">
        <v>7</v>
      </c>
      <c r="F501" s="1">
        <v>9</v>
      </c>
    </row>
    <row r="502" spans="1:6" x14ac:dyDescent="0.35">
      <c r="A502" s="1">
        <v>1</v>
      </c>
      <c r="B502" s="1">
        <v>5</v>
      </c>
      <c r="C502" s="1">
        <v>0.14285714285714299</v>
      </c>
      <c r="D502" s="1">
        <v>0.2</v>
      </c>
      <c r="E502" s="1">
        <v>1</v>
      </c>
      <c r="F502" s="1">
        <v>7</v>
      </c>
    </row>
    <row r="503" spans="1:6" x14ac:dyDescent="0.35">
      <c r="A503" s="1">
        <v>5</v>
      </c>
      <c r="B503" s="1">
        <v>5</v>
      </c>
      <c r="C503" s="1">
        <v>1</v>
      </c>
      <c r="D503" s="1">
        <v>1</v>
      </c>
      <c r="E503" s="1">
        <v>1</v>
      </c>
      <c r="F503" s="1">
        <v>1</v>
      </c>
    </row>
    <row r="504" spans="1:6" x14ac:dyDescent="0.35">
      <c r="A504" s="1">
        <v>7</v>
      </c>
      <c r="B504" s="1">
        <v>0.2</v>
      </c>
      <c r="C504" s="1">
        <v>0.11111111111111099</v>
      </c>
      <c r="D504" s="1">
        <v>0.33333333333333298</v>
      </c>
      <c r="E504" s="1">
        <v>0.33333333333333298</v>
      </c>
      <c r="F504" s="1">
        <v>3</v>
      </c>
    </row>
    <row r="505" spans="1:6" x14ac:dyDescent="0.35">
      <c r="A505" s="1">
        <v>9</v>
      </c>
      <c r="B505" s="1">
        <v>9</v>
      </c>
      <c r="C505" s="1">
        <v>9</v>
      </c>
      <c r="D505" s="1">
        <v>9</v>
      </c>
      <c r="E505" s="1">
        <v>9</v>
      </c>
      <c r="F505" s="1">
        <v>7</v>
      </c>
    </row>
    <row r="506" spans="1:6" x14ac:dyDescent="0.35">
      <c r="A506" s="1">
        <v>1</v>
      </c>
      <c r="B506" s="1">
        <v>1</v>
      </c>
      <c r="C506" s="1">
        <v>1</v>
      </c>
      <c r="D506" s="1">
        <v>1</v>
      </c>
      <c r="E506" s="1">
        <v>1</v>
      </c>
      <c r="F506" s="1">
        <v>1</v>
      </c>
    </row>
    <row r="507" spans="1:6" x14ac:dyDescent="0.35">
      <c r="A507" s="1">
        <v>3</v>
      </c>
      <c r="B507" s="1">
        <v>3</v>
      </c>
      <c r="C507" s="1">
        <v>1</v>
      </c>
      <c r="D507" s="1">
        <v>5</v>
      </c>
      <c r="E507" s="1">
        <v>1</v>
      </c>
      <c r="F507" s="1">
        <v>0.2</v>
      </c>
    </row>
    <row r="508" spans="1:6" x14ac:dyDescent="0.35">
      <c r="A508" s="1">
        <v>3</v>
      </c>
      <c r="B508" s="1">
        <v>5</v>
      </c>
      <c r="C508" s="1">
        <v>3</v>
      </c>
      <c r="D508" s="1">
        <v>1</v>
      </c>
      <c r="E508" s="1">
        <v>5</v>
      </c>
      <c r="F508" s="1">
        <v>1</v>
      </c>
    </row>
    <row r="509" spans="1:6" x14ac:dyDescent="0.35">
      <c r="A509" s="1">
        <v>1</v>
      </c>
      <c r="B509" s="1">
        <v>1</v>
      </c>
      <c r="C509" s="1">
        <v>1</v>
      </c>
      <c r="D509" s="1">
        <v>3</v>
      </c>
      <c r="E509" s="1">
        <v>1</v>
      </c>
      <c r="F509" s="1">
        <v>1</v>
      </c>
    </row>
    <row r="510" spans="1:6" x14ac:dyDescent="0.35">
      <c r="A510" s="1">
        <v>7</v>
      </c>
      <c r="B510" s="1">
        <v>9</v>
      </c>
      <c r="C510" s="1">
        <v>9</v>
      </c>
      <c r="D510" s="1">
        <v>9</v>
      </c>
      <c r="E510" s="1">
        <v>9</v>
      </c>
      <c r="F510" s="1">
        <v>9</v>
      </c>
    </row>
    <row r="511" spans="1:6" x14ac:dyDescent="0.35">
      <c r="A511" s="1">
        <v>1</v>
      </c>
      <c r="B511" s="1">
        <v>1</v>
      </c>
      <c r="C511" s="1">
        <v>1</v>
      </c>
      <c r="D511" s="1">
        <v>1</v>
      </c>
      <c r="E511" s="1">
        <v>3</v>
      </c>
      <c r="F511" s="1">
        <v>1</v>
      </c>
    </row>
    <row r="512" spans="1:6" x14ac:dyDescent="0.35">
      <c r="A512" s="1">
        <v>7</v>
      </c>
      <c r="B512" s="1">
        <v>7</v>
      </c>
      <c r="C512" s="1">
        <v>7</v>
      </c>
      <c r="D512" s="1">
        <v>7</v>
      </c>
      <c r="E512" s="1">
        <v>7</v>
      </c>
      <c r="F512" s="1">
        <v>0.14285714285714299</v>
      </c>
    </row>
    <row r="513" spans="1:6" x14ac:dyDescent="0.35">
      <c r="A513" s="1">
        <v>3</v>
      </c>
      <c r="B513" s="1">
        <v>3</v>
      </c>
      <c r="C513" s="1">
        <v>3</v>
      </c>
      <c r="D513" s="1">
        <v>3</v>
      </c>
      <c r="E513" s="1">
        <v>5</v>
      </c>
      <c r="F513" s="1">
        <v>5</v>
      </c>
    </row>
    <row r="514" spans="1:6" x14ac:dyDescent="0.35">
      <c r="A514" s="1">
        <v>1</v>
      </c>
      <c r="B514" s="1">
        <v>1</v>
      </c>
      <c r="C514" s="1">
        <v>3</v>
      </c>
      <c r="D514" s="1">
        <v>1</v>
      </c>
      <c r="E514" s="1">
        <v>1</v>
      </c>
      <c r="F514" s="1">
        <v>1</v>
      </c>
    </row>
    <row r="515" spans="1:6" x14ac:dyDescent="0.35">
      <c r="A515" s="1">
        <v>1</v>
      </c>
      <c r="B515" s="1">
        <v>1</v>
      </c>
      <c r="C515" s="1">
        <v>1</v>
      </c>
      <c r="D515" s="1">
        <v>1</v>
      </c>
      <c r="E515" s="1">
        <v>1</v>
      </c>
      <c r="F515" s="1">
        <v>1</v>
      </c>
    </row>
    <row r="516" spans="1:6" x14ac:dyDescent="0.35">
      <c r="A516" s="1">
        <v>0.11111111111111099</v>
      </c>
      <c r="B516" s="1">
        <v>7</v>
      </c>
      <c r="C516" s="1">
        <v>1</v>
      </c>
      <c r="D516" s="1">
        <v>1</v>
      </c>
      <c r="E516" s="1">
        <v>1</v>
      </c>
      <c r="F516" s="1">
        <v>1</v>
      </c>
    </row>
    <row r="517" spans="1:6" x14ac:dyDescent="0.35">
      <c r="A517" s="1">
        <v>7</v>
      </c>
      <c r="B517" s="1">
        <v>7</v>
      </c>
      <c r="C517" s="1">
        <v>7</v>
      </c>
      <c r="D517" s="1">
        <v>7</v>
      </c>
      <c r="E517" s="1">
        <v>7</v>
      </c>
      <c r="F517" s="1">
        <v>0.14285714285714299</v>
      </c>
    </row>
    <row r="518" spans="1:6" x14ac:dyDescent="0.35">
      <c r="A518" s="1">
        <v>7</v>
      </c>
      <c r="B518" s="1">
        <v>9</v>
      </c>
      <c r="C518" s="1">
        <v>9</v>
      </c>
      <c r="D518" s="1">
        <v>9</v>
      </c>
      <c r="E518" s="1">
        <v>9</v>
      </c>
      <c r="F518" s="1">
        <v>9</v>
      </c>
    </row>
    <row r="519" spans="1:6" x14ac:dyDescent="0.35">
      <c r="A519" s="1">
        <v>1</v>
      </c>
      <c r="B519" s="1">
        <v>1</v>
      </c>
      <c r="C519" s="1">
        <v>1</v>
      </c>
      <c r="D519" s="1">
        <v>1</v>
      </c>
      <c r="E519" s="1">
        <v>1</v>
      </c>
      <c r="F519" s="1">
        <v>1</v>
      </c>
    </row>
    <row r="520" spans="1:6" x14ac:dyDescent="0.35">
      <c r="A520" s="1">
        <v>3</v>
      </c>
      <c r="B520" s="1">
        <v>5</v>
      </c>
      <c r="C520" s="1">
        <v>5</v>
      </c>
      <c r="D520" s="1">
        <v>3</v>
      </c>
      <c r="E520" s="1">
        <v>3</v>
      </c>
      <c r="F520" s="1">
        <v>0.33333333333333298</v>
      </c>
    </row>
    <row r="521" spans="1:6" x14ac:dyDescent="0.35">
      <c r="A521" s="1">
        <v>1</v>
      </c>
      <c r="B521" s="1">
        <v>0.33333333333333298</v>
      </c>
      <c r="C521" s="1">
        <v>3</v>
      </c>
      <c r="D521" s="1">
        <v>5</v>
      </c>
      <c r="E521" s="1">
        <v>1</v>
      </c>
      <c r="F521" s="1">
        <v>1</v>
      </c>
    </row>
    <row r="522" spans="1:6" x14ac:dyDescent="0.35">
      <c r="A522" s="1">
        <v>1</v>
      </c>
      <c r="B522" s="1">
        <v>0.11111111111111099</v>
      </c>
      <c r="C522" s="1">
        <v>0.2</v>
      </c>
      <c r="D522" s="1">
        <v>7</v>
      </c>
      <c r="E522" s="1">
        <v>0.14285714285714299</v>
      </c>
      <c r="F522" s="1">
        <v>5</v>
      </c>
    </row>
    <row r="523" spans="1:6" x14ac:dyDescent="0.35">
      <c r="A523" s="1">
        <v>0.11111111111111099</v>
      </c>
      <c r="B523" s="1">
        <v>9</v>
      </c>
      <c r="C523" s="1">
        <v>0.11111111111111099</v>
      </c>
      <c r="D523" s="1">
        <v>9</v>
      </c>
      <c r="E523" s="1">
        <v>9</v>
      </c>
      <c r="F523" s="1">
        <v>0.11111111111111099</v>
      </c>
    </row>
    <row r="524" spans="1:6" x14ac:dyDescent="0.35">
      <c r="A524" s="1">
        <v>9</v>
      </c>
      <c r="B524" s="1">
        <v>9</v>
      </c>
      <c r="C524" s="1">
        <v>9</v>
      </c>
      <c r="D524" s="1">
        <v>9</v>
      </c>
      <c r="E524" s="1">
        <v>9</v>
      </c>
      <c r="F524" s="1">
        <v>9</v>
      </c>
    </row>
    <row r="525" spans="1:6" x14ac:dyDescent="0.35">
      <c r="A525" s="1">
        <v>3</v>
      </c>
      <c r="B525" s="1">
        <v>3</v>
      </c>
      <c r="C525" s="1">
        <v>5</v>
      </c>
      <c r="D525" s="1">
        <v>3</v>
      </c>
      <c r="E525" s="1">
        <v>5</v>
      </c>
      <c r="F525" s="1">
        <v>1</v>
      </c>
    </row>
    <row r="526" spans="1:6" x14ac:dyDescent="0.35">
      <c r="A526" s="1">
        <v>1</v>
      </c>
      <c r="B526" s="1">
        <v>0.33333333333333298</v>
      </c>
      <c r="C526" s="1">
        <v>0.33333333333333298</v>
      </c>
      <c r="D526" s="1">
        <v>3</v>
      </c>
      <c r="E526" s="1">
        <v>1</v>
      </c>
      <c r="F526" s="1">
        <v>1</v>
      </c>
    </row>
    <row r="527" spans="1:6" x14ac:dyDescent="0.35">
      <c r="A527" s="1">
        <v>0.14285714285714299</v>
      </c>
      <c r="B527" s="1">
        <v>7</v>
      </c>
      <c r="C527" s="1">
        <v>7</v>
      </c>
      <c r="D527" s="1">
        <v>7</v>
      </c>
      <c r="E527" s="1">
        <v>7</v>
      </c>
      <c r="F527" s="1">
        <v>0.14285714285714299</v>
      </c>
    </row>
    <row r="528" spans="1:6" x14ac:dyDescent="0.35">
      <c r="A528" s="1">
        <v>9</v>
      </c>
      <c r="B528" s="1">
        <v>9</v>
      </c>
      <c r="C528" s="1">
        <v>9</v>
      </c>
      <c r="D528" s="1">
        <v>9</v>
      </c>
      <c r="E528" s="1">
        <v>9</v>
      </c>
      <c r="F528" s="1">
        <v>9</v>
      </c>
    </row>
    <row r="529" spans="1:6" x14ac:dyDescent="0.35">
      <c r="A529" s="1">
        <v>1</v>
      </c>
      <c r="B529" s="1">
        <v>1</v>
      </c>
      <c r="C529" s="1">
        <v>5</v>
      </c>
      <c r="D529" s="1">
        <v>1</v>
      </c>
      <c r="E529" s="1">
        <v>1</v>
      </c>
      <c r="F529" s="1">
        <v>1</v>
      </c>
    </row>
    <row r="530" spans="1:6" x14ac:dyDescent="0.35">
      <c r="A530" s="1">
        <v>5</v>
      </c>
      <c r="B530" s="1">
        <v>7</v>
      </c>
      <c r="C530" s="1">
        <v>1</v>
      </c>
      <c r="D530" s="1">
        <v>0.14285714285714299</v>
      </c>
      <c r="E530" s="1">
        <v>0.2</v>
      </c>
      <c r="F530" s="1">
        <v>1</v>
      </c>
    </row>
    <row r="531" spans="1:6" x14ac:dyDescent="0.35">
      <c r="A531" s="1">
        <v>1</v>
      </c>
      <c r="B531" s="1">
        <v>1</v>
      </c>
      <c r="C531" s="1">
        <v>1</v>
      </c>
      <c r="D531" s="1">
        <v>1</v>
      </c>
      <c r="E531" s="1">
        <v>1</v>
      </c>
      <c r="F531" s="1">
        <v>1</v>
      </c>
    </row>
    <row r="532" spans="1:6" x14ac:dyDescent="0.35">
      <c r="A532" s="1">
        <v>3</v>
      </c>
      <c r="B532" s="1">
        <v>5</v>
      </c>
      <c r="C532" s="1">
        <v>0.33333333333333298</v>
      </c>
      <c r="D532" s="1">
        <v>3</v>
      </c>
      <c r="E532" s="1">
        <v>1</v>
      </c>
      <c r="F532" s="1">
        <v>0.33333333333333298</v>
      </c>
    </row>
    <row r="533" spans="1:6" x14ac:dyDescent="0.35">
      <c r="A533" s="1">
        <v>5</v>
      </c>
      <c r="B533" s="1">
        <v>1</v>
      </c>
      <c r="C533" s="1">
        <v>7</v>
      </c>
      <c r="D533" s="1">
        <v>0.33333333333333298</v>
      </c>
      <c r="E533" s="1">
        <v>0.14285714285714299</v>
      </c>
      <c r="F533" s="1">
        <v>0.2</v>
      </c>
    </row>
    <row r="534" spans="1:6" x14ac:dyDescent="0.35">
      <c r="A534" s="1">
        <v>3</v>
      </c>
      <c r="B534" s="1">
        <v>0.11111111111111099</v>
      </c>
      <c r="C534" s="1">
        <v>1</v>
      </c>
      <c r="D534" s="1">
        <v>3</v>
      </c>
      <c r="E534" s="1">
        <v>7</v>
      </c>
      <c r="F534" s="1">
        <v>0.33333333333333298</v>
      </c>
    </row>
    <row r="535" spans="1:6" x14ac:dyDescent="0.35">
      <c r="A535" s="1">
        <v>1</v>
      </c>
      <c r="B535" s="1">
        <v>1</v>
      </c>
      <c r="C535" s="1">
        <v>1</v>
      </c>
      <c r="D535" s="1">
        <v>3</v>
      </c>
      <c r="E535" s="1">
        <v>1</v>
      </c>
      <c r="F535" s="1">
        <v>1</v>
      </c>
    </row>
    <row r="536" spans="1:6" x14ac:dyDescent="0.35">
      <c r="A536" s="1">
        <v>1</v>
      </c>
      <c r="B536" s="1">
        <v>3</v>
      </c>
      <c r="C536" s="1">
        <v>0.33333333333333298</v>
      </c>
      <c r="D536" s="1">
        <v>5</v>
      </c>
      <c r="E536" s="1">
        <v>1</v>
      </c>
      <c r="F536" s="1">
        <v>0.33333333333333298</v>
      </c>
    </row>
    <row r="537" spans="1:6" x14ac:dyDescent="0.35">
      <c r="A537" s="1">
        <v>1</v>
      </c>
      <c r="B537" s="1">
        <v>1</v>
      </c>
      <c r="C537" s="1">
        <v>1</v>
      </c>
      <c r="D537" s="1">
        <v>1</v>
      </c>
      <c r="E537" s="1">
        <v>1</v>
      </c>
      <c r="F537" s="1">
        <v>1</v>
      </c>
    </row>
    <row r="538" spans="1:6" x14ac:dyDescent="0.35">
      <c r="A538" s="1">
        <v>7</v>
      </c>
      <c r="B538" s="1">
        <v>7</v>
      </c>
      <c r="C538" s="1">
        <v>7</v>
      </c>
      <c r="D538" s="1">
        <v>7</v>
      </c>
      <c r="E538" s="1">
        <v>7</v>
      </c>
      <c r="F538" s="1">
        <v>0.14285714285714299</v>
      </c>
    </row>
    <row r="539" spans="1:6" x14ac:dyDescent="0.35">
      <c r="A539" s="1">
        <v>1</v>
      </c>
      <c r="B539" s="1">
        <v>1</v>
      </c>
      <c r="C539" s="1">
        <v>1</v>
      </c>
      <c r="D539" s="1">
        <v>1</v>
      </c>
      <c r="E539" s="1">
        <v>1</v>
      </c>
      <c r="F539" s="1">
        <v>1</v>
      </c>
    </row>
    <row r="540" spans="1:6" x14ac:dyDescent="0.35">
      <c r="A540" s="1">
        <v>1</v>
      </c>
      <c r="B540" s="1">
        <v>1</v>
      </c>
      <c r="C540" s="1">
        <v>1</v>
      </c>
      <c r="D540" s="1">
        <v>1</v>
      </c>
      <c r="E540" s="1">
        <v>1</v>
      </c>
      <c r="F540" s="1">
        <v>1</v>
      </c>
    </row>
    <row r="541" spans="1:6" x14ac:dyDescent="0.35">
      <c r="A541" s="1">
        <v>1</v>
      </c>
      <c r="B541" s="1">
        <v>1</v>
      </c>
      <c r="C541" s="1">
        <v>1</v>
      </c>
      <c r="D541" s="1">
        <v>1</v>
      </c>
      <c r="E541" s="1">
        <v>1</v>
      </c>
      <c r="F541" s="1">
        <v>0.33333333333333298</v>
      </c>
    </row>
    <row r="542" spans="1:6" x14ac:dyDescent="0.35">
      <c r="A542" s="1">
        <v>9</v>
      </c>
      <c r="B542" s="1">
        <v>9</v>
      </c>
      <c r="C542" s="1">
        <v>9</v>
      </c>
      <c r="D542" s="1">
        <v>9</v>
      </c>
      <c r="E542" s="1">
        <v>9</v>
      </c>
      <c r="F542" s="1">
        <v>9</v>
      </c>
    </row>
    <row r="543" spans="1:6" x14ac:dyDescent="0.35">
      <c r="A543" s="1">
        <v>1</v>
      </c>
      <c r="B543" s="1">
        <v>1</v>
      </c>
      <c r="C543" s="1">
        <v>1</v>
      </c>
      <c r="D543" s="1">
        <v>1</v>
      </c>
      <c r="E543" s="1">
        <v>3</v>
      </c>
      <c r="F543" s="1">
        <v>1</v>
      </c>
    </row>
    <row r="544" spans="1:6" x14ac:dyDescent="0.35">
      <c r="A544" s="1">
        <v>1</v>
      </c>
      <c r="B544" s="1">
        <v>1</v>
      </c>
      <c r="C544" s="1">
        <v>1</v>
      </c>
      <c r="D544" s="1">
        <v>1</v>
      </c>
      <c r="E544" s="1">
        <v>1</v>
      </c>
      <c r="F544" s="1">
        <v>1</v>
      </c>
    </row>
    <row r="545" spans="1:6" x14ac:dyDescent="0.35">
      <c r="A545" s="1">
        <v>1</v>
      </c>
      <c r="B545" s="1">
        <v>1</v>
      </c>
      <c r="C545" s="1">
        <v>3</v>
      </c>
      <c r="D545" s="1">
        <v>0.33333333333333298</v>
      </c>
      <c r="E545" s="1">
        <v>3</v>
      </c>
      <c r="F545" s="1">
        <v>3</v>
      </c>
    </row>
    <row r="546" spans="1:6" x14ac:dyDescent="0.35">
      <c r="A546" s="1">
        <v>9</v>
      </c>
      <c r="B546" s="1">
        <v>9</v>
      </c>
      <c r="C546" s="1">
        <v>9</v>
      </c>
      <c r="D546" s="1">
        <v>9</v>
      </c>
      <c r="E546" s="1">
        <v>9</v>
      </c>
      <c r="F546" s="1">
        <v>9</v>
      </c>
    </row>
    <row r="547" spans="1:6" x14ac:dyDescent="0.35">
      <c r="A547" s="1">
        <v>1</v>
      </c>
      <c r="B547" s="1">
        <v>1</v>
      </c>
      <c r="C547" s="1">
        <v>1</v>
      </c>
      <c r="D547" s="1">
        <v>1</v>
      </c>
      <c r="E547" s="1">
        <v>1</v>
      </c>
      <c r="F547" s="1">
        <v>3</v>
      </c>
    </row>
    <row r="548" spans="1:6" x14ac:dyDescent="0.35">
      <c r="A548" s="1">
        <v>5</v>
      </c>
      <c r="B548" s="1">
        <v>1</v>
      </c>
      <c r="C548" s="1">
        <v>0.14285714285714299</v>
      </c>
      <c r="D548" s="1">
        <v>0.33333333333333298</v>
      </c>
      <c r="E548" s="1">
        <v>5</v>
      </c>
      <c r="F548" s="1">
        <v>1</v>
      </c>
    </row>
    <row r="549" spans="1:6" x14ac:dyDescent="0.35">
      <c r="A549" s="1">
        <v>1</v>
      </c>
      <c r="B549" s="1">
        <v>1</v>
      </c>
      <c r="C549" s="1">
        <v>1</v>
      </c>
      <c r="D549" s="1">
        <v>1</v>
      </c>
      <c r="E549" s="1">
        <v>1</v>
      </c>
      <c r="F549" s="1">
        <v>1</v>
      </c>
    </row>
    <row r="550" spans="1:6" x14ac:dyDescent="0.35">
      <c r="A550" s="1">
        <v>1</v>
      </c>
      <c r="B550" s="1">
        <v>5</v>
      </c>
      <c r="C550" s="1">
        <v>1</v>
      </c>
      <c r="D550" s="1">
        <v>1</v>
      </c>
      <c r="E550" s="1">
        <v>1</v>
      </c>
      <c r="F550" s="1">
        <v>1</v>
      </c>
    </row>
    <row r="551" spans="1:6" x14ac:dyDescent="0.35">
      <c r="A551" s="1">
        <v>1</v>
      </c>
      <c r="B551" s="1">
        <v>1</v>
      </c>
      <c r="C551" s="1">
        <v>1</v>
      </c>
      <c r="D551" s="1">
        <v>1</v>
      </c>
      <c r="E551" s="1">
        <v>1</v>
      </c>
      <c r="F551" s="1">
        <v>1</v>
      </c>
    </row>
    <row r="552" spans="1:6" x14ac:dyDescent="0.35">
      <c r="A552" s="1">
        <v>1</v>
      </c>
      <c r="B552" s="1">
        <v>5</v>
      </c>
      <c r="C552" s="1">
        <v>3</v>
      </c>
      <c r="D552" s="1">
        <v>0.33333333333333298</v>
      </c>
      <c r="E552" s="1">
        <v>0.14285714285714299</v>
      </c>
      <c r="F552" s="1">
        <v>5</v>
      </c>
    </row>
    <row r="553" spans="1:6" x14ac:dyDescent="0.35">
      <c r="A553" s="1">
        <v>3</v>
      </c>
      <c r="B553" s="1">
        <v>5</v>
      </c>
      <c r="C553" s="1">
        <v>0.2</v>
      </c>
      <c r="D553" s="1">
        <v>5</v>
      </c>
      <c r="E553" s="1">
        <v>3</v>
      </c>
      <c r="F553" s="1">
        <v>0.33333333333333298</v>
      </c>
    </row>
    <row r="554" spans="1:6" x14ac:dyDescent="0.35">
      <c r="A554" s="1">
        <v>1</v>
      </c>
      <c r="B554" s="1">
        <v>1</v>
      </c>
      <c r="C554" s="1">
        <v>1</v>
      </c>
      <c r="D554" s="1">
        <v>1</v>
      </c>
      <c r="E554" s="1">
        <v>1</v>
      </c>
      <c r="F554" s="1">
        <v>1</v>
      </c>
    </row>
    <row r="555" spans="1:6" x14ac:dyDescent="0.35">
      <c r="A555" s="1">
        <v>3</v>
      </c>
      <c r="B555" s="1">
        <v>0.33333333333333298</v>
      </c>
      <c r="C555" s="1">
        <v>1</v>
      </c>
      <c r="D555" s="1">
        <v>3</v>
      </c>
      <c r="E555" s="1">
        <v>0.33333333333333298</v>
      </c>
      <c r="F555" s="1">
        <v>5</v>
      </c>
    </row>
    <row r="556" spans="1:6" x14ac:dyDescent="0.35">
      <c r="A556" s="1">
        <v>1</v>
      </c>
      <c r="B556" s="1">
        <v>1</v>
      </c>
      <c r="C556" s="1">
        <v>1</v>
      </c>
      <c r="D556" s="1">
        <v>1</v>
      </c>
      <c r="E556" s="1">
        <v>1</v>
      </c>
      <c r="F556" s="1">
        <v>1</v>
      </c>
    </row>
    <row r="557" spans="1:6" x14ac:dyDescent="0.35">
      <c r="A557" s="1">
        <v>0.33333333333333298</v>
      </c>
      <c r="B557" s="1">
        <v>0.33333333333333298</v>
      </c>
      <c r="C557" s="1">
        <v>3</v>
      </c>
      <c r="D557" s="1">
        <v>1</v>
      </c>
      <c r="E557" s="1">
        <v>0.33333333333333298</v>
      </c>
      <c r="F557" s="1">
        <v>3</v>
      </c>
    </row>
    <row r="558" spans="1:6" x14ac:dyDescent="0.35">
      <c r="A558" s="1">
        <v>1</v>
      </c>
      <c r="B558" s="1">
        <v>1</v>
      </c>
      <c r="C558" s="1">
        <v>1</v>
      </c>
      <c r="D558" s="1">
        <v>1</v>
      </c>
      <c r="E558" s="1">
        <v>1</v>
      </c>
      <c r="F558" s="1">
        <v>1</v>
      </c>
    </row>
    <row r="559" spans="1:6" x14ac:dyDescent="0.35">
      <c r="A559" s="1">
        <v>1</v>
      </c>
      <c r="B559" s="1">
        <v>1</v>
      </c>
      <c r="C559" s="1">
        <v>1</v>
      </c>
      <c r="D559" s="1">
        <v>1</v>
      </c>
      <c r="E559" s="1">
        <v>1</v>
      </c>
      <c r="F559" s="1">
        <v>1</v>
      </c>
    </row>
    <row r="560" spans="1:6" x14ac:dyDescent="0.35">
      <c r="A560" s="1">
        <v>5</v>
      </c>
      <c r="B560" s="1">
        <v>0.2</v>
      </c>
      <c r="C560" s="1">
        <v>0.2</v>
      </c>
      <c r="D560" s="1">
        <v>3</v>
      </c>
      <c r="E560" s="1">
        <v>0.2</v>
      </c>
      <c r="F560" s="1">
        <v>0.33333333333333298</v>
      </c>
    </row>
    <row r="561" spans="1:6" x14ac:dyDescent="0.35">
      <c r="A561" s="1">
        <v>1</v>
      </c>
      <c r="B561" s="1">
        <v>1</v>
      </c>
      <c r="C561" s="1">
        <v>1</v>
      </c>
      <c r="D561" s="1">
        <v>1</v>
      </c>
      <c r="E561" s="1">
        <v>1</v>
      </c>
      <c r="F561" s="1">
        <v>1</v>
      </c>
    </row>
    <row r="562" spans="1:6" x14ac:dyDescent="0.35">
      <c r="A562" s="1">
        <v>0.33333333333333298</v>
      </c>
      <c r="B562" s="1">
        <v>1</v>
      </c>
      <c r="C562" s="1">
        <v>7</v>
      </c>
      <c r="D562" s="1">
        <v>7</v>
      </c>
      <c r="E562" s="1">
        <v>1</v>
      </c>
      <c r="F562" s="1">
        <v>1</v>
      </c>
    </row>
    <row r="563" spans="1:6" x14ac:dyDescent="0.35">
      <c r="A563" s="1">
        <v>0.14285714285714299</v>
      </c>
      <c r="B563" s="1">
        <v>1</v>
      </c>
      <c r="C563" s="1">
        <v>1</v>
      </c>
      <c r="D563" s="1">
        <v>1</v>
      </c>
      <c r="E563" s="1">
        <v>0.14285714285714299</v>
      </c>
      <c r="F563" s="1">
        <v>1</v>
      </c>
    </row>
    <row r="564" spans="1:6" x14ac:dyDescent="0.35">
      <c r="A564" s="1">
        <v>5</v>
      </c>
      <c r="B564" s="1">
        <v>1</v>
      </c>
      <c r="C564" s="1">
        <v>3</v>
      </c>
      <c r="D564" s="1">
        <v>0.14285714285714299</v>
      </c>
      <c r="E564" s="1">
        <v>0.33333333333333298</v>
      </c>
      <c r="F564" s="1">
        <v>0.2</v>
      </c>
    </row>
    <row r="565" spans="1:6" x14ac:dyDescent="0.35">
      <c r="A565" s="1">
        <v>1</v>
      </c>
      <c r="B565" s="1">
        <v>1</v>
      </c>
      <c r="C565" s="1">
        <v>1</v>
      </c>
      <c r="D565" s="1">
        <v>1</v>
      </c>
      <c r="E565" s="1">
        <v>1</v>
      </c>
      <c r="F565" s="1">
        <v>1</v>
      </c>
    </row>
    <row r="566" spans="1:6" x14ac:dyDescent="0.35">
      <c r="A566" s="1">
        <v>7</v>
      </c>
      <c r="B566" s="1">
        <v>7</v>
      </c>
      <c r="C566" s="1">
        <v>7</v>
      </c>
      <c r="D566" s="1">
        <v>7</v>
      </c>
      <c r="E566" s="1">
        <v>7</v>
      </c>
      <c r="F566" s="1">
        <v>1</v>
      </c>
    </row>
    <row r="567" spans="1:6" x14ac:dyDescent="0.35">
      <c r="A567" s="1">
        <v>1</v>
      </c>
      <c r="B567" s="1">
        <v>1</v>
      </c>
      <c r="C567" s="1">
        <v>1</v>
      </c>
      <c r="D567" s="1">
        <v>1</v>
      </c>
      <c r="E567" s="1">
        <v>1</v>
      </c>
      <c r="F567" s="1">
        <v>1</v>
      </c>
    </row>
    <row r="568" spans="1:6" x14ac:dyDescent="0.35">
      <c r="A568" s="1">
        <v>1</v>
      </c>
      <c r="B568" s="1">
        <v>1</v>
      </c>
      <c r="C568" s="1">
        <v>1</v>
      </c>
      <c r="D568" s="1">
        <v>1</v>
      </c>
      <c r="E568" s="1">
        <v>1</v>
      </c>
      <c r="F568" s="1">
        <v>1</v>
      </c>
    </row>
    <row r="569" spans="1:6" x14ac:dyDescent="0.35">
      <c r="A569" s="1">
        <v>1</v>
      </c>
      <c r="B569" s="1">
        <v>1</v>
      </c>
      <c r="C569" s="1">
        <v>1</v>
      </c>
      <c r="D569" s="1">
        <v>1</v>
      </c>
      <c r="E569" s="1">
        <v>1</v>
      </c>
      <c r="F569" s="1">
        <v>1</v>
      </c>
    </row>
    <row r="570" spans="1:6" x14ac:dyDescent="0.35">
      <c r="A570" s="1">
        <v>1</v>
      </c>
      <c r="B570" s="1">
        <v>3</v>
      </c>
      <c r="C570" s="1">
        <v>7</v>
      </c>
      <c r="D570" s="1">
        <v>5</v>
      </c>
      <c r="E570" s="1">
        <v>0.33333333333333298</v>
      </c>
      <c r="F570" s="1">
        <v>0.2</v>
      </c>
    </row>
    <row r="571" spans="1:6" x14ac:dyDescent="0.35">
      <c r="A571" s="1">
        <v>7</v>
      </c>
      <c r="B571" s="1">
        <v>7</v>
      </c>
      <c r="C571" s="1">
        <v>7</v>
      </c>
      <c r="D571" s="1">
        <v>7</v>
      </c>
      <c r="E571" s="1">
        <v>1</v>
      </c>
      <c r="F571" s="1">
        <v>0.2</v>
      </c>
    </row>
    <row r="572" spans="1:6" x14ac:dyDescent="0.35">
      <c r="A572" s="1">
        <v>3</v>
      </c>
      <c r="B572" s="1">
        <v>1</v>
      </c>
      <c r="C572" s="1">
        <v>1</v>
      </c>
      <c r="D572" s="1">
        <v>1</v>
      </c>
      <c r="E572" s="1">
        <v>1</v>
      </c>
      <c r="F572" s="1">
        <v>1</v>
      </c>
    </row>
    <row r="573" spans="1:6" x14ac:dyDescent="0.35">
      <c r="A573" s="1">
        <v>1</v>
      </c>
      <c r="B573" s="1">
        <v>1</v>
      </c>
      <c r="C573" s="1">
        <v>1</v>
      </c>
      <c r="D573" s="1">
        <v>1</v>
      </c>
      <c r="E573" s="1">
        <v>1</v>
      </c>
      <c r="F573" s="1">
        <v>1</v>
      </c>
    </row>
    <row r="574" spans="1:6" x14ac:dyDescent="0.35">
      <c r="A574" s="1">
        <v>7</v>
      </c>
      <c r="B574" s="1">
        <v>1</v>
      </c>
      <c r="C574" s="1">
        <v>5</v>
      </c>
      <c r="D574" s="1">
        <v>0.14285714285714299</v>
      </c>
      <c r="E574" s="1">
        <v>0.2</v>
      </c>
      <c r="F574" s="1">
        <v>1</v>
      </c>
    </row>
    <row r="575" spans="1:6" x14ac:dyDescent="0.35">
      <c r="A575" s="1">
        <v>9</v>
      </c>
      <c r="B575" s="1">
        <v>9</v>
      </c>
      <c r="C575" s="1">
        <v>9</v>
      </c>
      <c r="D575" s="1">
        <v>9</v>
      </c>
      <c r="E575" s="1">
        <v>7</v>
      </c>
      <c r="F575" s="1">
        <v>9</v>
      </c>
    </row>
    <row r="576" spans="1:6" x14ac:dyDescent="0.35">
      <c r="A576" s="1">
        <v>3</v>
      </c>
      <c r="B576" s="1">
        <v>0.33333333333333298</v>
      </c>
      <c r="C576" s="1">
        <v>1</v>
      </c>
      <c r="D576" s="1">
        <v>3</v>
      </c>
      <c r="E576" s="1">
        <v>1</v>
      </c>
      <c r="F576" s="1">
        <v>1</v>
      </c>
    </row>
    <row r="577" spans="1:6" x14ac:dyDescent="0.35">
      <c r="A577" s="1">
        <v>3</v>
      </c>
      <c r="B577" s="1">
        <v>1</v>
      </c>
      <c r="C577" s="1">
        <v>5</v>
      </c>
      <c r="D577" s="1">
        <v>0.33333333333333298</v>
      </c>
      <c r="E577" s="1">
        <v>0.2</v>
      </c>
      <c r="F577" s="1">
        <v>1</v>
      </c>
    </row>
    <row r="578" spans="1:6" x14ac:dyDescent="0.35">
      <c r="A578" s="1">
        <v>1</v>
      </c>
      <c r="B578" s="1">
        <v>0.14285714285714299</v>
      </c>
      <c r="C578" s="1">
        <v>1</v>
      </c>
      <c r="D578" s="1">
        <v>1</v>
      </c>
      <c r="E578" s="1">
        <v>1</v>
      </c>
      <c r="F578" s="1">
        <v>1</v>
      </c>
    </row>
    <row r="579" spans="1:6" x14ac:dyDescent="0.35">
      <c r="A579" s="1">
        <v>9</v>
      </c>
      <c r="B579" s="1">
        <v>9</v>
      </c>
      <c r="C579" s="1">
        <v>9</v>
      </c>
      <c r="D579" s="1">
        <v>9</v>
      </c>
      <c r="E579" s="1">
        <v>9</v>
      </c>
      <c r="F579" s="1">
        <v>9</v>
      </c>
    </row>
    <row r="580" spans="1:6" x14ac:dyDescent="0.35">
      <c r="A580" s="1">
        <v>1</v>
      </c>
      <c r="B580" s="1">
        <v>5</v>
      </c>
      <c r="C580" s="1">
        <v>5</v>
      </c>
      <c r="D580" s="1">
        <v>1</v>
      </c>
      <c r="E580" s="1">
        <v>0.2</v>
      </c>
      <c r="F580" s="1">
        <v>0.14285714285714299</v>
      </c>
    </row>
    <row r="581" spans="1:6" x14ac:dyDescent="0.35">
      <c r="A581" s="1">
        <v>7</v>
      </c>
      <c r="B581" s="1">
        <v>7</v>
      </c>
      <c r="C581" s="1">
        <v>7</v>
      </c>
      <c r="D581" s="1">
        <v>7</v>
      </c>
      <c r="E581" s="1">
        <v>7</v>
      </c>
      <c r="F581" s="1">
        <v>7</v>
      </c>
    </row>
    <row r="582" spans="1:6" x14ac:dyDescent="0.35">
      <c r="A582" s="1">
        <v>1</v>
      </c>
      <c r="B582" s="1">
        <v>1</v>
      </c>
      <c r="C582" s="1">
        <v>1</v>
      </c>
      <c r="D582" s="1">
        <v>1</v>
      </c>
      <c r="E582" s="1">
        <v>3</v>
      </c>
      <c r="F582" s="1">
        <v>0.33333333333333298</v>
      </c>
    </row>
    <row r="583" spans="1:6" x14ac:dyDescent="0.35">
      <c r="A583" s="1">
        <v>3</v>
      </c>
      <c r="B583" s="1">
        <v>1</v>
      </c>
      <c r="C583" s="1">
        <v>0.14285714285714299</v>
      </c>
      <c r="D583" s="1">
        <v>5</v>
      </c>
      <c r="E583" s="1">
        <v>0.33333333333333298</v>
      </c>
      <c r="F583" s="1">
        <v>0.2</v>
      </c>
    </row>
    <row r="584" spans="1:6" x14ac:dyDescent="0.35">
      <c r="A584" s="1">
        <v>9</v>
      </c>
      <c r="B584" s="1">
        <v>9</v>
      </c>
      <c r="C584" s="1">
        <v>9</v>
      </c>
      <c r="D584" s="1">
        <v>9</v>
      </c>
      <c r="E584" s="1">
        <v>9</v>
      </c>
      <c r="F584" s="1">
        <v>9</v>
      </c>
    </row>
    <row r="585" spans="1:6" x14ac:dyDescent="0.35">
      <c r="A585" s="1">
        <v>1</v>
      </c>
      <c r="B585" s="1">
        <v>0.33333333333333298</v>
      </c>
      <c r="C585" s="1">
        <v>3</v>
      </c>
      <c r="D585" s="1">
        <v>3</v>
      </c>
      <c r="E585" s="1">
        <v>1</v>
      </c>
      <c r="F585" s="1">
        <v>1</v>
      </c>
    </row>
    <row r="586" spans="1:6" x14ac:dyDescent="0.35">
      <c r="A586" s="1">
        <v>0.2</v>
      </c>
      <c r="B586" s="1">
        <v>0.14285714285714299</v>
      </c>
      <c r="C586" s="1">
        <v>0.2</v>
      </c>
      <c r="D586" s="1">
        <v>7</v>
      </c>
      <c r="E586" s="1">
        <v>0.33333333333333298</v>
      </c>
      <c r="F586" s="1">
        <v>7</v>
      </c>
    </row>
    <row r="587" spans="1:6" x14ac:dyDescent="0.35">
      <c r="A587" s="1">
        <v>3</v>
      </c>
      <c r="B587" s="1">
        <v>1</v>
      </c>
      <c r="C587" s="1">
        <v>1</v>
      </c>
      <c r="D587" s="1">
        <v>3</v>
      </c>
      <c r="E587" s="1">
        <v>0.14285714285714299</v>
      </c>
      <c r="F587" s="1">
        <v>0.33333333333333298</v>
      </c>
    </row>
    <row r="588" spans="1:6" x14ac:dyDescent="0.35">
      <c r="A588" s="1">
        <v>7</v>
      </c>
      <c r="B588" s="1">
        <v>7</v>
      </c>
      <c r="C588" s="1">
        <v>1</v>
      </c>
      <c r="D588" s="1">
        <v>7</v>
      </c>
      <c r="E588" s="1">
        <v>7</v>
      </c>
      <c r="F588" s="1">
        <v>1</v>
      </c>
    </row>
    <row r="589" spans="1:6" x14ac:dyDescent="0.35">
      <c r="A589" s="1">
        <v>1</v>
      </c>
      <c r="B589" s="1">
        <v>1</v>
      </c>
      <c r="C589" s="1">
        <v>1</v>
      </c>
      <c r="D589" s="1">
        <v>1</v>
      </c>
      <c r="E589" s="1">
        <v>1</v>
      </c>
      <c r="F589" s="1">
        <v>1</v>
      </c>
    </row>
    <row r="590" spans="1:6" x14ac:dyDescent="0.35">
      <c r="A590" s="1">
        <v>9</v>
      </c>
      <c r="B590" s="1">
        <v>9</v>
      </c>
      <c r="C590" s="1">
        <v>9</v>
      </c>
      <c r="D590" s="1">
        <v>9</v>
      </c>
      <c r="E590" s="1">
        <v>9</v>
      </c>
      <c r="F590" s="1">
        <v>9</v>
      </c>
    </row>
    <row r="591" spans="1:6" x14ac:dyDescent="0.35">
      <c r="A591" s="1">
        <v>1</v>
      </c>
      <c r="B591" s="1">
        <v>1</v>
      </c>
      <c r="C591" s="1">
        <v>0.2</v>
      </c>
      <c r="D591" s="1">
        <v>7</v>
      </c>
      <c r="E591" s="1">
        <v>1</v>
      </c>
      <c r="F591" s="1">
        <v>1</v>
      </c>
    </row>
    <row r="592" spans="1:6" x14ac:dyDescent="0.35">
      <c r="A592" s="1">
        <v>1</v>
      </c>
      <c r="B592" s="1">
        <v>5</v>
      </c>
      <c r="C592" s="1">
        <v>7</v>
      </c>
      <c r="D592" s="1">
        <v>1</v>
      </c>
      <c r="E592" s="1">
        <v>0.33333333333333298</v>
      </c>
      <c r="F592" s="1">
        <v>0.2</v>
      </c>
    </row>
    <row r="593" spans="1:6" x14ac:dyDescent="0.35">
      <c r="A593" s="1">
        <v>1</v>
      </c>
      <c r="B593" s="1">
        <v>1</v>
      </c>
      <c r="C593" s="1">
        <v>1</v>
      </c>
      <c r="D593" s="1">
        <v>0.33333333333333298</v>
      </c>
      <c r="E593" s="1">
        <v>1</v>
      </c>
      <c r="F593" s="1">
        <v>1</v>
      </c>
    </row>
    <row r="594" spans="1:6" x14ac:dyDescent="0.35">
      <c r="A594" s="1">
        <v>7</v>
      </c>
      <c r="B594" s="1">
        <v>7</v>
      </c>
      <c r="C594" s="1">
        <v>1</v>
      </c>
      <c r="D594" s="1">
        <v>0.14285714285714299</v>
      </c>
      <c r="E594" s="1">
        <v>7</v>
      </c>
      <c r="F594" s="1">
        <v>0.14285714285714299</v>
      </c>
    </row>
    <row r="595" spans="1:6" x14ac:dyDescent="0.35">
      <c r="A595" s="1">
        <v>1</v>
      </c>
      <c r="B595" s="1">
        <v>1</v>
      </c>
      <c r="C595" s="1">
        <v>1</v>
      </c>
      <c r="D595" s="1">
        <v>1</v>
      </c>
      <c r="E595" s="1">
        <v>1</v>
      </c>
      <c r="F595" s="1">
        <v>1</v>
      </c>
    </row>
    <row r="596" spans="1:6" x14ac:dyDescent="0.35">
      <c r="A596" s="1">
        <v>1</v>
      </c>
      <c r="B596" s="1">
        <v>5</v>
      </c>
      <c r="C596" s="1">
        <v>7</v>
      </c>
      <c r="D596" s="1">
        <v>0.14285714285714299</v>
      </c>
      <c r="E596" s="1">
        <v>0.2</v>
      </c>
      <c r="F596" s="1">
        <v>1</v>
      </c>
    </row>
    <row r="597" spans="1:6" x14ac:dyDescent="0.35">
      <c r="A597" s="1">
        <v>9</v>
      </c>
      <c r="B597" s="1">
        <v>9</v>
      </c>
      <c r="C597" s="1">
        <v>9</v>
      </c>
      <c r="D597" s="1">
        <v>9</v>
      </c>
      <c r="E597" s="1">
        <v>9</v>
      </c>
      <c r="F597" s="1">
        <v>9</v>
      </c>
    </row>
    <row r="598" spans="1:6" x14ac:dyDescent="0.35">
      <c r="A598" s="1">
        <v>1</v>
      </c>
      <c r="B598" s="1">
        <v>0.2</v>
      </c>
      <c r="C598" s="1">
        <v>1</v>
      </c>
      <c r="D598" s="1">
        <v>1</v>
      </c>
      <c r="E598" s="1">
        <v>1</v>
      </c>
      <c r="F598" s="1">
        <v>1</v>
      </c>
    </row>
    <row r="599" spans="1:6" x14ac:dyDescent="0.35">
      <c r="A599" s="1">
        <v>9</v>
      </c>
      <c r="B599" s="1">
        <v>9</v>
      </c>
      <c r="C599" s="1">
        <v>9</v>
      </c>
      <c r="D599" s="1">
        <v>9</v>
      </c>
      <c r="E599" s="1">
        <v>9</v>
      </c>
      <c r="F599" s="1">
        <v>9</v>
      </c>
    </row>
    <row r="600" spans="1:6" x14ac:dyDescent="0.35">
      <c r="A600" s="1">
        <v>0.14285714285714299</v>
      </c>
      <c r="B600" s="1">
        <v>7</v>
      </c>
      <c r="C600" s="1">
        <v>7</v>
      </c>
      <c r="D600" s="1">
        <v>7</v>
      </c>
      <c r="E600" s="1">
        <v>1</v>
      </c>
      <c r="F600" s="1">
        <v>0.14285714285714299</v>
      </c>
    </row>
    <row r="601" spans="1:6" x14ac:dyDescent="0.35">
      <c r="A601" s="1">
        <v>1</v>
      </c>
      <c r="B601" s="1">
        <v>1</v>
      </c>
      <c r="C601" s="1">
        <v>1</v>
      </c>
      <c r="D601" s="1">
        <v>1</v>
      </c>
      <c r="E601" s="1">
        <v>1</v>
      </c>
      <c r="F601" s="1">
        <v>1</v>
      </c>
    </row>
    <row r="602" spans="1:6" x14ac:dyDescent="0.35">
      <c r="A602" s="1">
        <v>1</v>
      </c>
      <c r="B602" s="1">
        <v>5</v>
      </c>
      <c r="C602" s="1">
        <v>1</v>
      </c>
      <c r="D602" s="1">
        <v>0.2</v>
      </c>
      <c r="E602" s="1">
        <v>0.2</v>
      </c>
      <c r="F602" s="1">
        <v>1</v>
      </c>
    </row>
    <row r="603" spans="1:6" x14ac:dyDescent="0.35">
      <c r="A603" s="1">
        <v>9</v>
      </c>
      <c r="B603" s="1">
        <v>9</v>
      </c>
      <c r="C603" s="1">
        <v>9</v>
      </c>
      <c r="D603" s="1">
        <v>9</v>
      </c>
      <c r="E603" s="1">
        <v>9</v>
      </c>
      <c r="F603" s="1">
        <v>9</v>
      </c>
    </row>
    <row r="604" spans="1:6" x14ac:dyDescent="0.35">
      <c r="A604" s="1">
        <v>1</v>
      </c>
      <c r="B604" s="1">
        <v>5</v>
      </c>
      <c r="C604" s="1">
        <v>1</v>
      </c>
      <c r="D604" s="1">
        <v>1</v>
      </c>
      <c r="E604" s="1">
        <v>1</v>
      </c>
      <c r="F604" s="1">
        <v>1</v>
      </c>
    </row>
    <row r="605" spans="1:6" x14ac:dyDescent="0.35">
      <c r="A605" s="1">
        <v>1</v>
      </c>
      <c r="B605" s="1">
        <v>5</v>
      </c>
      <c r="C605" s="1">
        <v>0.2</v>
      </c>
      <c r="D605" s="1">
        <v>7</v>
      </c>
      <c r="E605" s="1">
        <v>0.14285714285714299</v>
      </c>
      <c r="F605" s="1">
        <v>1</v>
      </c>
    </row>
    <row r="606" spans="1:6" x14ac:dyDescent="0.35">
      <c r="A606" s="1">
        <v>1</v>
      </c>
      <c r="B606" s="1">
        <v>1</v>
      </c>
      <c r="C606" s="1">
        <v>1</v>
      </c>
      <c r="D606" s="1">
        <v>1</v>
      </c>
      <c r="E606" s="1">
        <v>1</v>
      </c>
      <c r="F606" s="1">
        <v>1</v>
      </c>
    </row>
    <row r="607" spans="1:6" x14ac:dyDescent="0.35">
      <c r="A607" s="1">
        <v>0.11111111111111099</v>
      </c>
      <c r="B607" s="1">
        <v>9</v>
      </c>
      <c r="C607" s="1">
        <v>7</v>
      </c>
      <c r="D607" s="1">
        <v>7</v>
      </c>
      <c r="E607" s="1">
        <v>7</v>
      </c>
      <c r="F607" s="1">
        <v>0.2</v>
      </c>
    </row>
    <row r="608" spans="1:6" x14ac:dyDescent="0.35">
      <c r="A608" s="1">
        <v>9</v>
      </c>
      <c r="B608" s="1">
        <v>9</v>
      </c>
      <c r="C608" s="1">
        <v>9</v>
      </c>
      <c r="D608" s="1">
        <v>7</v>
      </c>
      <c r="E608" s="1">
        <v>7</v>
      </c>
      <c r="F608" s="1">
        <v>5</v>
      </c>
    </row>
    <row r="609" spans="1:6" x14ac:dyDescent="0.35">
      <c r="A609" s="1">
        <v>1</v>
      </c>
      <c r="B609" s="1">
        <v>3</v>
      </c>
      <c r="C609" s="1">
        <v>0.14285714285714299</v>
      </c>
      <c r="D609" s="1">
        <v>7</v>
      </c>
      <c r="E609" s="1">
        <v>5</v>
      </c>
      <c r="F609" s="1">
        <v>1</v>
      </c>
    </row>
    <row r="610" spans="1:6" x14ac:dyDescent="0.35">
      <c r="A610" s="1">
        <v>3</v>
      </c>
      <c r="B610" s="1">
        <v>1</v>
      </c>
      <c r="C610" s="1">
        <v>1</v>
      </c>
      <c r="D610" s="1">
        <v>1</v>
      </c>
      <c r="E610" s="1">
        <v>1</v>
      </c>
      <c r="F610" s="1">
        <v>1</v>
      </c>
    </row>
    <row r="611" spans="1:6" x14ac:dyDescent="0.35">
      <c r="A611" s="1">
        <v>1</v>
      </c>
      <c r="B611" s="1">
        <v>1</v>
      </c>
      <c r="C611" s="1">
        <v>1</v>
      </c>
      <c r="D611" s="1">
        <v>1</v>
      </c>
      <c r="E611" s="1">
        <v>1</v>
      </c>
      <c r="F611" s="1">
        <v>1</v>
      </c>
    </row>
    <row r="612" spans="1:6" x14ac:dyDescent="0.35">
      <c r="A612" s="1">
        <v>9</v>
      </c>
      <c r="B612" s="1">
        <v>7</v>
      </c>
      <c r="C612" s="1">
        <v>9</v>
      </c>
      <c r="D612" s="1">
        <v>9</v>
      </c>
      <c r="E612" s="1">
        <v>9</v>
      </c>
      <c r="F612" s="1">
        <v>9</v>
      </c>
    </row>
    <row r="613" spans="1:6" x14ac:dyDescent="0.35">
      <c r="A613" s="1">
        <v>0.11111111111111099</v>
      </c>
      <c r="B613" s="1">
        <v>7</v>
      </c>
      <c r="C613" s="1">
        <v>7</v>
      </c>
      <c r="D613" s="1">
        <v>9</v>
      </c>
      <c r="E613" s="1">
        <v>9</v>
      </c>
      <c r="F613" s="1">
        <v>1</v>
      </c>
    </row>
    <row r="614" spans="1:6" x14ac:dyDescent="0.35">
      <c r="A614" s="1">
        <v>1</v>
      </c>
      <c r="B614" s="1">
        <v>1</v>
      </c>
      <c r="C614" s="1">
        <v>0.2</v>
      </c>
      <c r="D614" s="1">
        <v>0.33333333333333298</v>
      </c>
      <c r="E614" s="1">
        <v>3</v>
      </c>
      <c r="F614" s="1">
        <v>1</v>
      </c>
    </row>
    <row r="615" spans="1:6" x14ac:dyDescent="0.35">
      <c r="A615" s="1">
        <v>9</v>
      </c>
      <c r="B615" s="1">
        <v>9</v>
      </c>
      <c r="C615" s="1">
        <v>9</v>
      </c>
      <c r="D615" s="1">
        <v>9</v>
      </c>
      <c r="E615" s="1">
        <v>9</v>
      </c>
      <c r="F615" s="1">
        <v>9</v>
      </c>
    </row>
    <row r="616" spans="1:6" x14ac:dyDescent="0.35">
      <c r="A616" s="1">
        <v>1</v>
      </c>
      <c r="B616" s="1">
        <v>1</v>
      </c>
      <c r="C616" s="1">
        <v>1</v>
      </c>
      <c r="D616" s="1">
        <v>1</v>
      </c>
      <c r="E616" s="1">
        <v>1</v>
      </c>
      <c r="F616" s="1">
        <v>1</v>
      </c>
    </row>
    <row r="617" spans="1:6" x14ac:dyDescent="0.35">
      <c r="A617" s="1">
        <v>9</v>
      </c>
      <c r="B617" s="1">
        <v>9</v>
      </c>
      <c r="C617" s="1">
        <v>9</v>
      </c>
      <c r="D617" s="1">
        <v>9</v>
      </c>
      <c r="E617" s="1">
        <v>9</v>
      </c>
      <c r="F617" s="1">
        <v>9</v>
      </c>
    </row>
    <row r="618" spans="1:6" x14ac:dyDescent="0.35">
      <c r="A618" s="1">
        <v>1</v>
      </c>
      <c r="B618" s="1">
        <v>1</v>
      </c>
      <c r="C618" s="1">
        <v>1</v>
      </c>
      <c r="D618" s="1">
        <v>1</v>
      </c>
      <c r="E618" s="1">
        <v>1</v>
      </c>
      <c r="F618" s="1">
        <v>1</v>
      </c>
    </row>
    <row r="619" spans="1:6" x14ac:dyDescent="0.35">
      <c r="A619" s="1">
        <v>1</v>
      </c>
      <c r="B619" s="1">
        <v>1</v>
      </c>
      <c r="C619" s="1">
        <v>1</v>
      </c>
      <c r="D619" s="1">
        <v>1</v>
      </c>
      <c r="E619" s="1">
        <v>1</v>
      </c>
      <c r="F619" s="1">
        <v>3</v>
      </c>
    </row>
    <row r="620" spans="1:6" x14ac:dyDescent="0.35">
      <c r="A620" s="1">
        <v>5</v>
      </c>
      <c r="B620" s="1">
        <v>7</v>
      </c>
      <c r="C620" s="1">
        <v>7</v>
      </c>
      <c r="D620" s="1">
        <v>3</v>
      </c>
      <c r="E620" s="1">
        <v>1</v>
      </c>
      <c r="F620" s="1">
        <v>3</v>
      </c>
    </row>
    <row r="621" spans="1:6" x14ac:dyDescent="0.35">
      <c r="A621" s="1">
        <v>1</v>
      </c>
      <c r="B621" s="1">
        <v>1</v>
      </c>
      <c r="C621" s="1">
        <v>1</v>
      </c>
      <c r="D621" s="1">
        <v>1</v>
      </c>
      <c r="E621" s="1">
        <v>1</v>
      </c>
      <c r="F621" s="1">
        <v>1</v>
      </c>
    </row>
    <row r="622" spans="1:6" x14ac:dyDescent="0.35">
      <c r="A622" s="1">
        <v>9</v>
      </c>
      <c r="B622" s="1">
        <v>9</v>
      </c>
      <c r="C622" s="1">
        <v>9</v>
      </c>
      <c r="D622" s="1">
        <v>9</v>
      </c>
      <c r="E622" s="1">
        <v>9</v>
      </c>
      <c r="F622" s="1">
        <v>9</v>
      </c>
    </row>
    <row r="623" spans="1:6" x14ac:dyDescent="0.35">
      <c r="A623" s="1">
        <v>1</v>
      </c>
      <c r="B623" s="1">
        <v>0.33333333333333298</v>
      </c>
      <c r="C623" s="1">
        <v>1</v>
      </c>
      <c r="D623" s="1">
        <v>0.33333333333333298</v>
      </c>
      <c r="E623" s="1">
        <v>1</v>
      </c>
      <c r="F623" s="1">
        <v>1</v>
      </c>
    </row>
    <row r="624" spans="1:6" x14ac:dyDescent="0.35">
      <c r="A624" s="1">
        <v>1</v>
      </c>
      <c r="B624" s="1">
        <v>1</v>
      </c>
      <c r="C624" s="1">
        <v>1</v>
      </c>
      <c r="D624" s="1">
        <v>5</v>
      </c>
      <c r="E624" s="1">
        <v>1</v>
      </c>
      <c r="F624" s="1">
        <v>3</v>
      </c>
    </row>
    <row r="625" spans="1:6" x14ac:dyDescent="0.35">
      <c r="A625" s="1">
        <v>1</v>
      </c>
      <c r="B625" s="1">
        <v>1</v>
      </c>
      <c r="C625" s="1">
        <v>1</v>
      </c>
      <c r="D625" s="1">
        <v>1</v>
      </c>
      <c r="E625" s="1">
        <v>1</v>
      </c>
      <c r="F625" s="1">
        <v>1</v>
      </c>
    </row>
    <row r="626" spans="1:6" x14ac:dyDescent="0.35">
      <c r="A626" s="1">
        <v>0.11111111111111099</v>
      </c>
      <c r="B626" s="1">
        <v>7</v>
      </c>
      <c r="C626" s="1">
        <v>7</v>
      </c>
      <c r="D626" s="1">
        <v>9</v>
      </c>
      <c r="E626" s="1">
        <v>9</v>
      </c>
      <c r="F626" s="1">
        <v>1</v>
      </c>
    </row>
    <row r="627" spans="1:6" x14ac:dyDescent="0.35">
      <c r="A627" s="1">
        <v>1</v>
      </c>
      <c r="B627" s="1">
        <v>1</v>
      </c>
      <c r="C627" s="1">
        <v>1</v>
      </c>
      <c r="D627" s="1">
        <v>1</v>
      </c>
      <c r="E627" s="1">
        <v>1</v>
      </c>
      <c r="F627" s="1">
        <v>1</v>
      </c>
    </row>
    <row r="628" spans="1:6" x14ac:dyDescent="0.35">
      <c r="A628" s="1">
        <v>0.33333333333333298</v>
      </c>
      <c r="B628" s="1">
        <v>0.33333333333333298</v>
      </c>
      <c r="C628" s="1">
        <v>1</v>
      </c>
      <c r="D628" s="1">
        <v>3</v>
      </c>
      <c r="E628" s="1">
        <v>0.33333333333333298</v>
      </c>
      <c r="F628" s="1">
        <v>0.33333333333333298</v>
      </c>
    </row>
    <row r="629" spans="1:6" x14ac:dyDescent="0.35">
      <c r="A629" s="1">
        <v>9</v>
      </c>
      <c r="B629" s="1">
        <v>9</v>
      </c>
      <c r="C629" s="1">
        <v>9</v>
      </c>
      <c r="D629" s="1">
        <v>9</v>
      </c>
      <c r="E629" s="1">
        <v>9</v>
      </c>
      <c r="F629" s="1">
        <v>9</v>
      </c>
    </row>
    <row r="630" spans="1:6" x14ac:dyDescent="0.35">
      <c r="A630" s="1">
        <v>3</v>
      </c>
      <c r="B630" s="1">
        <v>1</v>
      </c>
      <c r="C630" s="1">
        <v>5</v>
      </c>
      <c r="D630" s="1">
        <v>3</v>
      </c>
      <c r="E630" s="1">
        <v>0.33333333333333298</v>
      </c>
      <c r="F630" s="1">
        <v>0.33333333333333298</v>
      </c>
    </row>
    <row r="631" spans="1:6" x14ac:dyDescent="0.35">
      <c r="A631" s="1">
        <v>1</v>
      </c>
      <c r="B631" s="1">
        <v>1</v>
      </c>
      <c r="C631" s="1">
        <v>1</v>
      </c>
      <c r="D631" s="1">
        <v>1</v>
      </c>
      <c r="E631" s="1">
        <v>1</v>
      </c>
      <c r="F631" s="1">
        <v>1</v>
      </c>
    </row>
    <row r="632" spans="1:6" x14ac:dyDescent="0.35">
      <c r="A632" s="1">
        <v>1</v>
      </c>
      <c r="B632" s="1">
        <v>1</v>
      </c>
      <c r="C632" s="1">
        <v>1</v>
      </c>
      <c r="D632" s="1">
        <v>1</v>
      </c>
      <c r="E632" s="1">
        <v>1</v>
      </c>
      <c r="F632" s="1">
        <v>1</v>
      </c>
    </row>
    <row r="633" spans="1:6" x14ac:dyDescent="0.35">
      <c r="A633" s="1">
        <v>0.11111111111111099</v>
      </c>
      <c r="B633" s="1">
        <v>9</v>
      </c>
      <c r="C633" s="1">
        <v>9</v>
      </c>
      <c r="D633" s="1">
        <v>9</v>
      </c>
      <c r="E633" s="1">
        <v>9</v>
      </c>
      <c r="F633" s="1">
        <v>0.11111111111111099</v>
      </c>
    </row>
    <row r="634" spans="1:6" x14ac:dyDescent="0.35">
      <c r="A634" s="1">
        <v>3</v>
      </c>
      <c r="B634" s="1">
        <v>0.33333333333333298</v>
      </c>
      <c r="C634" s="1">
        <v>0.33333333333333298</v>
      </c>
      <c r="D634" s="1">
        <v>0.33333333333333298</v>
      </c>
      <c r="E634" s="1">
        <v>0.33333333333333298</v>
      </c>
      <c r="F634" s="1">
        <v>0.33333333333333298</v>
      </c>
    </row>
    <row r="635" spans="1:6" x14ac:dyDescent="0.35">
      <c r="A635" s="1">
        <v>9</v>
      </c>
      <c r="B635" s="1">
        <v>9</v>
      </c>
      <c r="C635" s="1">
        <v>9</v>
      </c>
      <c r="D635" s="1">
        <v>9</v>
      </c>
      <c r="E635" s="1">
        <v>9</v>
      </c>
      <c r="F635" s="1">
        <v>9</v>
      </c>
    </row>
    <row r="636" spans="1:6" x14ac:dyDescent="0.35">
      <c r="A636" s="1">
        <v>0.33333333333333298</v>
      </c>
      <c r="B636" s="1">
        <v>3</v>
      </c>
      <c r="C636" s="1">
        <v>0.33333333333333298</v>
      </c>
      <c r="D636" s="1">
        <v>5</v>
      </c>
      <c r="E636" s="1">
        <v>1</v>
      </c>
      <c r="F636" s="1">
        <v>0.33333333333333298</v>
      </c>
    </row>
    <row r="637" spans="1:6" x14ac:dyDescent="0.35">
      <c r="A637" s="1">
        <v>9</v>
      </c>
      <c r="B637" s="1">
        <v>9</v>
      </c>
      <c r="C637" s="1">
        <v>9</v>
      </c>
      <c r="D637" s="1">
        <v>9</v>
      </c>
      <c r="E637" s="1">
        <v>9</v>
      </c>
      <c r="F637" s="1">
        <v>9</v>
      </c>
    </row>
    <row r="638" spans="1:6" x14ac:dyDescent="0.35">
      <c r="A638" s="1">
        <v>1</v>
      </c>
      <c r="B638" s="1">
        <v>1</v>
      </c>
      <c r="C638" s="1">
        <v>1</v>
      </c>
      <c r="D638" s="1">
        <v>1</v>
      </c>
      <c r="E638" s="1">
        <v>1</v>
      </c>
      <c r="F638" s="1">
        <v>1</v>
      </c>
    </row>
    <row r="639" spans="1:6" x14ac:dyDescent="0.35">
      <c r="A639" s="1">
        <v>1</v>
      </c>
      <c r="B639" s="1">
        <v>1</v>
      </c>
      <c r="C639" s="1">
        <v>1</v>
      </c>
      <c r="D639" s="1">
        <v>1</v>
      </c>
      <c r="E639" s="1">
        <v>1</v>
      </c>
      <c r="F639" s="1">
        <v>1</v>
      </c>
    </row>
    <row r="640" spans="1:6" x14ac:dyDescent="0.35">
      <c r="A640" s="1">
        <v>9</v>
      </c>
      <c r="B640" s="1">
        <v>7</v>
      </c>
      <c r="C640" s="1">
        <v>9</v>
      </c>
      <c r="D640" s="1">
        <v>9</v>
      </c>
      <c r="E640" s="1">
        <v>9</v>
      </c>
      <c r="F640" s="1">
        <v>9</v>
      </c>
    </row>
    <row r="641" spans="1:6" x14ac:dyDescent="0.35">
      <c r="A641" s="1">
        <v>3</v>
      </c>
      <c r="B641" s="1">
        <v>5</v>
      </c>
      <c r="C641" s="1">
        <v>0.33333333333333298</v>
      </c>
      <c r="D641" s="1">
        <v>1</v>
      </c>
      <c r="E641" s="1">
        <v>0.2</v>
      </c>
      <c r="F641" s="1">
        <v>0.14285714285714299</v>
      </c>
    </row>
    <row r="642" spans="1:6" x14ac:dyDescent="0.35">
      <c r="A642" s="1">
        <v>9</v>
      </c>
      <c r="B642" s="1">
        <v>9</v>
      </c>
      <c r="C642" s="1">
        <v>7</v>
      </c>
      <c r="D642" s="1">
        <v>5</v>
      </c>
      <c r="E642" s="1">
        <v>7</v>
      </c>
      <c r="F642" s="1">
        <v>3</v>
      </c>
    </row>
    <row r="643" spans="1:6" x14ac:dyDescent="0.35">
      <c r="A643" s="1">
        <v>1</v>
      </c>
      <c r="B643" s="1">
        <v>1</v>
      </c>
      <c r="C643" s="1">
        <v>1</v>
      </c>
      <c r="D643" s="1">
        <v>1</v>
      </c>
      <c r="E643" s="1">
        <v>1</v>
      </c>
      <c r="F643" s="1">
        <v>1</v>
      </c>
    </row>
    <row r="644" spans="1:6" x14ac:dyDescent="0.35">
      <c r="A644" s="1">
        <v>0.33333333333333298</v>
      </c>
      <c r="B644" s="1">
        <v>5</v>
      </c>
      <c r="C644" s="1">
        <v>0.33333333333333298</v>
      </c>
      <c r="D644" s="1">
        <v>3</v>
      </c>
      <c r="E644" s="1">
        <v>5</v>
      </c>
      <c r="F644" s="1">
        <v>0.2</v>
      </c>
    </row>
    <row r="645" spans="1:6" x14ac:dyDescent="0.35">
      <c r="A645" s="1">
        <v>1</v>
      </c>
      <c r="B645" s="1">
        <v>1</v>
      </c>
      <c r="C645" s="1">
        <v>1</v>
      </c>
      <c r="D645" s="1">
        <v>1</v>
      </c>
      <c r="E645" s="1">
        <v>1</v>
      </c>
      <c r="F645" s="1">
        <v>1</v>
      </c>
    </row>
    <row r="646" spans="1:6" x14ac:dyDescent="0.35">
      <c r="A646" s="1">
        <v>1</v>
      </c>
      <c r="B646" s="1">
        <v>1</v>
      </c>
      <c r="C646" s="1">
        <v>1</v>
      </c>
      <c r="D646" s="1">
        <v>1</v>
      </c>
      <c r="E646" s="1">
        <v>1</v>
      </c>
      <c r="F646" s="1">
        <v>1</v>
      </c>
    </row>
    <row r="647" spans="1:6" x14ac:dyDescent="0.35">
      <c r="A647" s="1">
        <v>1</v>
      </c>
      <c r="B647" s="1">
        <v>1</v>
      </c>
      <c r="C647" s="1">
        <v>1</v>
      </c>
      <c r="D647" s="1">
        <v>1</v>
      </c>
      <c r="E647" s="1">
        <v>1</v>
      </c>
      <c r="F647" s="1">
        <v>1</v>
      </c>
    </row>
    <row r="648" spans="1:6" x14ac:dyDescent="0.35">
      <c r="A648" s="1">
        <v>1</v>
      </c>
      <c r="B648" s="1">
        <v>3</v>
      </c>
      <c r="C648" s="1">
        <v>1</v>
      </c>
      <c r="D648" s="1">
        <v>5</v>
      </c>
      <c r="E648" s="1">
        <v>1</v>
      </c>
      <c r="F648" s="1">
        <v>0.33333333333333298</v>
      </c>
    </row>
    <row r="649" spans="1:6" x14ac:dyDescent="0.35">
      <c r="A649" s="1">
        <v>1</v>
      </c>
      <c r="B649" s="1">
        <v>1</v>
      </c>
      <c r="C649" s="1">
        <v>1</v>
      </c>
      <c r="D649" s="1">
        <v>1</v>
      </c>
      <c r="E649" s="1">
        <v>1</v>
      </c>
      <c r="F649" s="1">
        <v>1</v>
      </c>
    </row>
    <row r="650" spans="1:6" x14ac:dyDescent="0.35">
      <c r="A650" s="1">
        <v>1</v>
      </c>
      <c r="B650" s="1">
        <v>3</v>
      </c>
      <c r="C650" s="1">
        <v>0.33333333333333298</v>
      </c>
      <c r="D650" s="1">
        <v>1</v>
      </c>
      <c r="E650" s="1">
        <v>1</v>
      </c>
      <c r="F650" s="1">
        <v>1</v>
      </c>
    </row>
    <row r="651" spans="1:6" x14ac:dyDescent="0.35">
      <c r="A651" s="1">
        <v>1</v>
      </c>
      <c r="B651" s="1">
        <v>1</v>
      </c>
      <c r="C651" s="1">
        <v>1</v>
      </c>
      <c r="D651" s="1">
        <v>1</v>
      </c>
      <c r="E651" s="1">
        <v>1</v>
      </c>
      <c r="F651" s="1">
        <v>1</v>
      </c>
    </row>
    <row r="652" spans="1:6" x14ac:dyDescent="0.35">
      <c r="A652" s="1">
        <v>1</v>
      </c>
      <c r="B652" s="1">
        <v>1</v>
      </c>
      <c r="C652" s="1">
        <v>1</v>
      </c>
      <c r="D652" s="1">
        <v>1</v>
      </c>
      <c r="E652" s="1">
        <v>1</v>
      </c>
      <c r="F652" s="1">
        <v>1</v>
      </c>
    </row>
    <row r="653" spans="1:6" x14ac:dyDescent="0.35">
      <c r="A653" s="1">
        <v>1</v>
      </c>
      <c r="B653" s="1">
        <v>1</v>
      </c>
      <c r="C653" s="1">
        <v>1</v>
      </c>
      <c r="D653" s="1">
        <v>1</v>
      </c>
      <c r="E653" s="1">
        <v>1</v>
      </c>
      <c r="F653" s="1">
        <v>1</v>
      </c>
    </row>
    <row r="654" spans="1:6" x14ac:dyDescent="0.35">
      <c r="A654" s="1">
        <v>1</v>
      </c>
      <c r="B654" s="1">
        <v>1</v>
      </c>
      <c r="C654" s="1">
        <v>1</v>
      </c>
      <c r="D654" s="1">
        <v>5</v>
      </c>
      <c r="E654" s="1">
        <v>1</v>
      </c>
      <c r="F654" s="1">
        <v>0.11111111111111099</v>
      </c>
    </row>
    <row r="655" spans="1:6" x14ac:dyDescent="0.35">
      <c r="A655" s="1">
        <v>1</v>
      </c>
      <c r="B655" s="1">
        <v>1</v>
      </c>
      <c r="C655" s="1">
        <v>1</v>
      </c>
      <c r="D655" s="1">
        <v>0.11111111111111099</v>
      </c>
      <c r="E655" s="1">
        <v>0.2</v>
      </c>
      <c r="F655" s="1">
        <v>1</v>
      </c>
    </row>
    <row r="656" spans="1:6" x14ac:dyDescent="0.35">
      <c r="A656" s="1">
        <v>0.33333333333333298</v>
      </c>
      <c r="B656" s="1">
        <v>3</v>
      </c>
      <c r="C656" s="1">
        <v>0.2</v>
      </c>
      <c r="D656" s="1">
        <v>3</v>
      </c>
      <c r="E656" s="1">
        <v>1</v>
      </c>
      <c r="F656" s="1">
        <v>0.33333333333333298</v>
      </c>
    </row>
    <row r="657" spans="1:6" x14ac:dyDescent="0.35">
      <c r="A657" s="1">
        <v>5</v>
      </c>
      <c r="B657" s="1">
        <v>0.33333333333333298</v>
      </c>
      <c r="C657" s="1">
        <v>0.2</v>
      </c>
      <c r="D657" s="1">
        <v>3</v>
      </c>
      <c r="E657" s="1">
        <v>1</v>
      </c>
      <c r="F657" s="1">
        <v>0.33333333333333298</v>
      </c>
    </row>
    <row r="658" spans="1:6" x14ac:dyDescent="0.35">
      <c r="A658" s="1">
        <v>5</v>
      </c>
      <c r="B658" s="1">
        <v>1</v>
      </c>
      <c r="C658" s="1">
        <v>0.2</v>
      </c>
      <c r="D658" s="1">
        <v>1</v>
      </c>
      <c r="E658" s="1">
        <v>0.2</v>
      </c>
      <c r="F658" s="1">
        <v>7</v>
      </c>
    </row>
    <row r="659" spans="1:6" x14ac:dyDescent="0.35">
      <c r="A659" s="1">
        <v>3</v>
      </c>
      <c r="B659" s="1">
        <v>0.2</v>
      </c>
      <c r="C659" s="1">
        <v>1</v>
      </c>
      <c r="D659" s="1">
        <v>3</v>
      </c>
      <c r="E659" s="1">
        <v>0.2</v>
      </c>
      <c r="F659" s="1">
        <v>1</v>
      </c>
    </row>
    <row r="660" spans="1:6" x14ac:dyDescent="0.35">
      <c r="A660" s="1">
        <v>1</v>
      </c>
      <c r="B660" s="1">
        <v>3</v>
      </c>
      <c r="C660" s="1">
        <v>0.33333333333333298</v>
      </c>
      <c r="D660" s="1">
        <v>0.11111111111111099</v>
      </c>
      <c r="E660" s="1">
        <v>3</v>
      </c>
      <c r="F660" s="1">
        <v>7</v>
      </c>
    </row>
    <row r="661" spans="1:6" x14ac:dyDescent="0.35">
      <c r="A661" s="1">
        <v>1</v>
      </c>
      <c r="B661" s="1">
        <v>3</v>
      </c>
      <c r="C661" s="1">
        <v>0.2</v>
      </c>
      <c r="D661" s="1">
        <v>3</v>
      </c>
      <c r="E661" s="1">
        <v>0.33333333333333298</v>
      </c>
      <c r="F661" s="1">
        <v>1</v>
      </c>
    </row>
    <row r="662" spans="1:6" x14ac:dyDescent="0.35">
      <c r="A662" s="1">
        <v>1</v>
      </c>
      <c r="B662" s="1">
        <v>1</v>
      </c>
      <c r="C662" s="1">
        <v>1</v>
      </c>
      <c r="D662" s="1">
        <v>1</v>
      </c>
      <c r="E662" s="1">
        <v>1</v>
      </c>
      <c r="F662" s="1">
        <v>1</v>
      </c>
    </row>
    <row r="663" spans="1:6" x14ac:dyDescent="0.35">
      <c r="A663" s="1">
        <v>3</v>
      </c>
      <c r="B663" s="1">
        <v>3</v>
      </c>
      <c r="C663" s="1">
        <v>3</v>
      </c>
      <c r="D663" s="1">
        <v>1</v>
      </c>
      <c r="E663" s="1">
        <v>0.2</v>
      </c>
      <c r="F663" s="1">
        <v>1</v>
      </c>
    </row>
    <row r="664" spans="1:6" x14ac:dyDescent="0.35">
      <c r="A664" s="1">
        <v>7</v>
      </c>
      <c r="B664" s="1">
        <v>3</v>
      </c>
      <c r="C664" s="1">
        <v>3</v>
      </c>
      <c r="D664" s="1">
        <v>3</v>
      </c>
      <c r="E664" s="1">
        <v>0.33333333333333298</v>
      </c>
      <c r="F664" s="1">
        <v>0.2</v>
      </c>
    </row>
    <row r="665" spans="1:6" x14ac:dyDescent="0.35">
      <c r="A665" s="1">
        <v>3</v>
      </c>
      <c r="B665" s="1">
        <v>3</v>
      </c>
      <c r="C665" s="1">
        <v>5</v>
      </c>
      <c r="D665" s="1">
        <v>1</v>
      </c>
      <c r="E665" s="1">
        <v>1</v>
      </c>
      <c r="F665" s="1">
        <v>0.2</v>
      </c>
    </row>
    <row r="666" spans="1:6" x14ac:dyDescent="0.35">
      <c r="A666" s="1">
        <v>0.33333333333333298</v>
      </c>
      <c r="B666" s="1">
        <v>3</v>
      </c>
      <c r="C666" s="1">
        <v>0.14285714285714299</v>
      </c>
      <c r="D666" s="1">
        <v>9</v>
      </c>
      <c r="E666" s="1">
        <v>5</v>
      </c>
      <c r="F666" s="1">
        <v>0.33333333333333298</v>
      </c>
    </row>
    <row r="667" spans="1:6" x14ac:dyDescent="0.35">
      <c r="A667" s="1">
        <v>5</v>
      </c>
      <c r="B667" s="1">
        <v>0.33333333333333298</v>
      </c>
      <c r="C667" s="1">
        <v>1</v>
      </c>
      <c r="D667" s="1">
        <v>1</v>
      </c>
      <c r="E667" s="1">
        <v>1</v>
      </c>
      <c r="F667" s="1">
        <v>0.14285714285714299</v>
      </c>
    </row>
    <row r="668" spans="1:6" x14ac:dyDescent="0.35">
      <c r="A668" s="1">
        <v>3</v>
      </c>
      <c r="B668" s="1">
        <v>1</v>
      </c>
      <c r="C668" s="1">
        <v>5</v>
      </c>
      <c r="D668" s="1">
        <v>5</v>
      </c>
      <c r="E668" s="1">
        <v>1</v>
      </c>
      <c r="F668" s="1">
        <v>0.2</v>
      </c>
    </row>
    <row r="669" spans="1:6" x14ac:dyDescent="0.35">
      <c r="A669" s="1">
        <v>0.33333333333333298</v>
      </c>
      <c r="B669" s="1">
        <v>3</v>
      </c>
      <c r="C669" s="1">
        <v>0.11111111111111099</v>
      </c>
      <c r="D669" s="1">
        <v>0.11111111111111099</v>
      </c>
      <c r="E669" s="1">
        <v>0.11111111111111099</v>
      </c>
      <c r="F669" s="1">
        <v>0.11111111111111099</v>
      </c>
    </row>
    <row r="670" spans="1:6" x14ac:dyDescent="0.35">
      <c r="A670" s="1">
        <v>1</v>
      </c>
      <c r="B670" s="1">
        <v>1</v>
      </c>
      <c r="C670" s="1">
        <v>0.2</v>
      </c>
      <c r="D670" s="1">
        <v>1</v>
      </c>
      <c r="E670" s="1">
        <v>1</v>
      </c>
      <c r="F670" s="1">
        <v>1</v>
      </c>
    </row>
    <row r="671" spans="1:6" x14ac:dyDescent="0.35">
      <c r="A671" s="1">
        <v>3</v>
      </c>
      <c r="B671" s="1">
        <v>5</v>
      </c>
      <c r="C671" s="1">
        <v>5</v>
      </c>
      <c r="D671" s="1">
        <v>3</v>
      </c>
      <c r="E671" s="1">
        <v>1</v>
      </c>
      <c r="F671" s="1">
        <v>0.33333333333333298</v>
      </c>
    </row>
    <row r="672" spans="1:6" x14ac:dyDescent="0.35">
      <c r="A672" s="1">
        <v>1</v>
      </c>
      <c r="B672" s="1">
        <v>1</v>
      </c>
      <c r="C672" s="1">
        <v>1</v>
      </c>
      <c r="D672" s="1">
        <v>1</v>
      </c>
      <c r="E672" s="1">
        <v>1</v>
      </c>
      <c r="F672" s="1">
        <v>1</v>
      </c>
    </row>
    <row r="673" spans="1:6" x14ac:dyDescent="0.35">
      <c r="A673" s="1">
        <v>7</v>
      </c>
      <c r="B673" s="1">
        <v>0.2</v>
      </c>
      <c r="C673" s="1">
        <v>0.14285714285714299</v>
      </c>
      <c r="D673" s="1">
        <v>7</v>
      </c>
      <c r="E673" s="1">
        <v>0.33333333333333298</v>
      </c>
      <c r="F673" s="1">
        <v>0.11111111111111099</v>
      </c>
    </row>
    <row r="674" spans="1:6" x14ac:dyDescent="0.35">
      <c r="A674" s="1">
        <v>0.33333333333333298</v>
      </c>
      <c r="B674" s="1">
        <v>3</v>
      </c>
      <c r="C674" s="1">
        <v>3</v>
      </c>
      <c r="D674" s="1">
        <v>3</v>
      </c>
      <c r="E674" s="1">
        <v>1</v>
      </c>
      <c r="F674" s="1">
        <v>0.33333333333333298</v>
      </c>
    </row>
    <row r="675" spans="1:6" x14ac:dyDescent="0.35">
      <c r="A675" s="1">
        <v>1</v>
      </c>
      <c r="B675" s="1">
        <v>5</v>
      </c>
      <c r="C675" s="1">
        <v>0.33333333333333298</v>
      </c>
      <c r="D675" s="1">
        <v>5</v>
      </c>
      <c r="E675" s="1">
        <v>0.33333333333333298</v>
      </c>
      <c r="F675" s="1">
        <v>0.33333333333333298</v>
      </c>
    </row>
    <row r="676" spans="1:6" x14ac:dyDescent="0.35">
      <c r="A676" s="1">
        <v>1</v>
      </c>
      <c r="B676" s="1">
        <v>1</v>
      </c>
      <c r="C676" s="1">
        <v>1</v>
      </c>
      <c r="D676" s="1">
        <v>1</v>
      </c>
      <c r="E676" s="1">
        <v>1</v>
      </c>
      <c r="F676" s="1">
        <v>1</v>
      </c>
    </row>
    <row r="677" spans="1:6" x14ac:dyDescent="0.35">
      <c r="A677" s="1">
        <v>5</v>
      </c>
      <c r="B677" s="1">
        <v>3</v>
      </c>
      <c r="C677" s="1">
        <v>0.33333333333333298</v>
      </c>
      <c r="D677" s="1">
        <v>3</v>
      </c>
      <c r="E677" s="1">
        <v>0.33333333333333298</v>
      </c>
      <c r="F677" s="1">
        <v>0.33333333333333298</v>
      </c>
    </row>
    <row r="678" spans="1:6" x14ac:dyDescent="0.35">
      <c r="A678" s="1">
        <v>0.2</v>
      </c>
      <c r="B678" s="1">
        <v>9</v>
      </c>
      <c r="C678" s="1">
        <v>0.2</v>
      </c>
      <c r="D678" s="1">
        <v>0.33333333333333298</v>
      </c>
      <c r="E678" s="1">
        <v>7</v>
      </c>
      <c r="F678" s="1">
        <v>0.11111111111111099</v>
      </c>
    </row>
    <row r="679" spans="1:6" x14ac:dyDescent="0.35">
      <c r="A679" s="1">
        <v>3</v>
      </c>
      <c r="B679" s="1">
        <v>3</v>
      </c>
      <c r="C679" s="1">
        <v>5</v>
      </c>
      <c r="D679" s="1">
        <v>3</v>
      </c>
      <c r="E679" s="1">
        <v>0.33333333333333298</v>
      </c>
      <c r="F679" s="1">
        <v>0.2</v>
      </c>
    </row>
    <row r="680" spans="1:6" x14ac:dyDescent="0.35">
      <c r="A680" s="1">
        <v>1</v>
      </c>
      <c r="B680" s="1">
        <v>0.33333333333333298</v>
      </c>
      <c r="C680" s="1">
        <v>1</v>
      </c>
      <c r="D680" s="1">
        <v>1</v>
      </c>
      <c r="E680" s="1">
        <v>1</v>
      </c>
      <c r="F680" s="1">
        <v>1</v>
      </c>
    </row>
    <row r="681" spans="1:6" x14ac:dyDescent="0.35">
      <c r="A681" s="1">
        <v>3</v>
      </c>
      <c r="B681" s="1">
        <v>3</v>
      </c>
      <c r="C681" s="1">
        <v>3</v>
      </c>
      <c r="D681" s="1">
        <v>3</v>
      </c>
      <c r="E681" s="1">
        <v>1</v>
      </c>
      <c r="F681" s="1">
        <v>0.33333333333333298</v>
      </c>
    </row>
    <row r="682" spans="1:6" x14ac:dyDescent="0.35">
      <c r="A682" s="1">
        <v>1</v>
      </c>
      <c r="B682" s="1">
        <v>3</v>
      </c>
      <c r="C682" s="1">
        <v>0.33333333333333298</v>
      </c>
      <c r="D682" s="1">
        <v>3</v>
      </c>
      <c r="E682" s="1">
        <v>0.33333333333333298</v>
      </c>
      <c r="F682" s="1">
        <v>0.33333333333333298</v>
      </c>
    </row>
    <row r="683" spans="1:6" x14ac:dyDescent="0.35">
      <c r="A683" s="1">
        <v>5</v>
      </c>
      <c r="B683" s="1">
        <v>0.11111111111111099</v>
      </c>
      <c r="C683" s="1">
        <v>1</v>
      </c>
      <c r="D683" s="1">
        <v>1</v>
      </c>
      <c r="E683" s="1">
        <v>1</v>
      </c>
      <c r="F683" s="1">
        <v>1</v>
      </c>
    </row>
    <row r="684" spans="1:6" x14ac:dyDescent="0.35">
      <c r="A684" s="1">
        <v>1</v>
      </c>
      <c r="B684" s="1">
        <v>3</v>
      </c>
      <c r="C684" s="1">
        <v>0.33333333333333298</v>
      </c>
      <c r="D684" s="1">
        <v>3</v>
      </c>
      <c r="E684" s="1">
        <v>0.33333333333333298</v>
      </c>
      <c r="F684" s="1">
        <v>0.33333333333333298</v>
      </c>
    </row>
    <row r="685" spans="1:6" x14ac:dyDescent="0.35">
      <c r="A685" s="1">
        <v>1</v>
      </c>
      <c r="B685" s="1">
        <v>1</v>
      </c>
      <c r="C685" s="1">
        <v>1</v>
      </c>
      <c r="D685" s="1">
        <v>0.14285714285714299</v>
      </c>
      <c r="E685" s="1">
        <v>1</v>
      </c>
      <c r="F685" s="1">
        <v>1</v>
      </c>
    </row>
    <row r="686" spans="1:6" x14ac:dyDescent="0.35">
      <c r="A686" s="1">
        <v>3</v>
      </c>
      <c r="B686" s="1">
        <v>3</v>
      </c>
      <c r="C686" s="1">
        <v>3</v>
      </c>
      <c r="D686" s="1">
        <v>3</v>
      </c>
      <c r="E686" s="1">
        <v>3</v>
      </c>
      <c r="F686" s="1">
        <v>1</v>
      </c>
    </row>
    <row r="687" spans="1:6" x14ac:dyDescent="0.35">
      <c r="A687" s="1">
        <v>1</v>
      </c>
      <c r="B687" s="1">
        <v>3</v>
      </c>
      <c r="C687" s="1">
        <v>0.33333333333333298</v>
      </c>
      <c r="D687" s="1">
        <v>3</v>
      </c>
      <c r="E687" s="1">
        <v>0.33333333333333298</v>
      </c>
      <c r="F687" s="1">
        <v>0.33333333333333298</v>
      </c>
    </row>
    <row r="688" spans="1:6" x14ac:dyDescent="0.35">
      <c r="A688" s="1">
        <v>5</v>
      </c>
      <c r="B688" s="1">
        <v>7</v>
      </c>
      <c r="C688" s="1">
        <v>5</v>
      </c>
      <c r="D688" s="1">
        <v>5</v>
      </c>
      <c r="E688" s="1">
        <v>9</v>
      </c>
      <c r="F688" s="1">
        <v>5</v>
      </c>
    </row>
    <row r="689" spans="1:6" x14ac:dyDescent="0.35">
      <c r="A689" s="1">
        <v>3</v>
      </c>
      <c r="B689" s="1">
        <v>3</v>
      </c>
      <c r="C689" s="1">
        <v>3</v>
      </c>
      <c r="D689" s="1">
        <v>5</v>
      </c>
      <c r="E689" s="1">
        <v>3</v>
      </c>
      <c r="F689" s="1">
        <v>0.33333333333333298</v>
      </c>
    </row>
    <row r="690" spans="1:6" x14ac:dyDescent="0.35">
      <c r="A690" s="1">
        <v>0.14285714285714299</v>
      </c>
      <c r="B690" s="1">
        <v>9</v>
      </c>
      <c r="C690" s="1">
        <v>7</v>
      </c>
      <c r="D690" s="1">
        <v>0.11111111111111099</v>
      </c>
      <c r="E690" s="1">
        <v>7</v>
      </c>
      <c r="F690" s="1">
        <v>0.11111111111111099</v>
      </c>
    </row>
    <row r="691" spans="1:6" x14ac:dyDescent="0.35">
      <c r="A691" s="1">
        <v>0.33333333333333298</v>
      </c>
      <c r="B691" s="1">
        <v>0.33333333333333298</v>
      </c>
      <c r="C691" s="1">
        <v>0.33333333333333298</v>
      </c>
      <c r="D691" s="1">
        <v>3</v>
      </c>
      <c r="E691" s="1">
        <v>3</v>
      </c>
      <c r="F691" s="1">
        <v>3</v>
      </c>
    </row>
    <row r="692" spans="1:6" x14ac:dyDescent="0.35">
      <c r="A692" s="1">
        <v>1</v>
      </c>
      <c r="B692" s="1">
        <v>0.14285714285714299</v>
      </c>
      <c r="C692" s="1">
        <v>1</v>
      </c>
      <c r="D692" s="1">
        <v>1</v>
      </c>
      <c r="E692" s="1">
        <v>1</v>
      </c>
      <c r="F692" s="1">
        <v>1</v>
      </c>
    </row>
    <row r="693" spans="1:6" x14ac:dyDescent="0.35">
      <c r="A693" s="1">
        <v>7</v>
      </c>
      <c r="B693" s="1">
        <v>7</v>
      </c>
      <c r="C693" s="1">
        <v>7</v>
      </c>
      <c r="D693" s="1">
        <v>7</v>
      </c>
      <c r="E693" s="1">
        <v>7</v>
      </c>
      <c r="F693" s="1">
        <v>1</v>
      </c>
    </row>
    <row r="694" spans="1:6" x14ac:dyDescent="0.35">
      <c r="A694" s="1">
        <v>1</v>
      </c>
      <c r="B694" s="1">
        <v>5</v>
      </c>
      <c r="C694" s="1">
        <v>1</v>
      </c>
      <c r="D694" s="1">
        <v>1</v>
      </c>
      <c r="E694" s="1">
        <v>1</v>
      </c>
      <c r="F694" s="1">
        <v>1</v>
      </c>
    </row>
    <row r="695" spans="1:6" x14ac:dyDescent="0.35">
      <c r="A695" s="1">
        <v>3</v>
      </c>
      <c r="B695" s="1">
        <v>1</v>
      </c>
      <c r="C695" s="1">
        <v>3</v>
      </c>
      <c r="D695" s="1">
        <v>3</v>
      </c>
      <c r="E695" s="1">
        <v>3</v>
      </c>
      <c r="F695" s="1">
        <v>0.33333333333333298</v>
      </c>
    </row>
    <row r="696" spans="1:6" x14ac:dyDescent="0.35">
      <c r="A696" s="1">
        <v>1</v>
      </c>
      <c r="B696" s="1">
        <v>1</v>
      </c>
      <c r="C696" s="1">
        <v>1</v>
      </c>
      <c r="D696" s="1">
        <v>0.33333333333333298</v>
      </c>
      <c r="E696" s="1">
        <v>1</v>
      </c>
      <c r="F696" s="1">
        <v>1</v>
      </c>
    </row>
    <row r="697" spans="1:6" x14ac:dyDescent="0.35">
      <c r="A697" s="1">
        <v>1</v>
      </c>
      <c r="B697" s="1">
        <v>1</v>
      </c>
      <c r="C697" s="1">
        <v>1</v>
      </c>
      <c r="D697" s="1">
        <v>1</v>
      </c>
      <c r="E697" s="1">
        <v>0.14285714285714299</v>
      </c>
      <c r="F697" s="1">
        <v>1</v>
      </c>
    </row>
    <row r="698" spans="1:6" x14ac:dyDescent="0.35">
      <c r="A698" s="1">
        <v>1</v>
      </c>
      <c r="B698" s="1">
        <v>1</v>
      </c>
      <c r="C698" s="1">
        <v>1</v>
      </c>
      <c r="D698" s="1">
        <v>1</v>
      </c>
      <c r="E698" s="1">
        <v>1</v>
      </c>
      <c r="F698" s="1">
        <v>1</v>
      </c>
    </row>
    <row r="699" spans="1:6" x14ac:dyDescent="0.35">
      <c r="A699" s="1">
        <v>3</v>
      </c>
      <c r="B699" s="1">
        <v>3</v>
      </c>
      <c r="C699" s="1">
        <v>1</v>
      </c>
      <c r="D699" s="1">
        <v>3</v>
      </c>
      <c r="E699" s="1">
        <v>0.33333333333333298</v>
      </c>
      <c r="F699" s="1">
        <v>0.33333333333333298</v>
      </c>
    </row>
    <row r="700" spans="1:6" x14ac:dyDescent="0.35">
      <c r="A700" s="1">
        <v>1</v>
      </c>
      <c r="B700" s="1">
        <v>1</v>
      </c>
      <c r="C700" s="1">
        <v>1</v>
      </c>
      <c r="D700" s="1">
        <v>1</v>
      </c>
      <c r="E700" s="1">
        <v>1</v>
      </c>
      <c r="F700" s="1">
        <v>1</v>
      </c>
    </row>
    <row r="701" spans="1:6" x14ac:dyDescent="0.35">
      <c r="A701" s="1">
        <v>3</v>
      </c>
      <c r="B701" s="1">
        <v>5</v>
      </c>
      <c r="C701" s="1">
        <v>5</v>
      </c>
      <c r="D701" s="1">
        <v>5</v>
      </c>
      <c r="E701" s="1">
        <v>0.33333333333333298</v>
      </c>
      <c r="F701" s="1">
        <v>0.33333333333333298</v>
      </c>
    </row>
    <row r="702" spans="1:6" x14ac:dyDescent="0.35">
      <c r="A702" s="1">
        <v>1</v>
      </c>
      <c r="B702" s="1">
        <v>0.14285714285714299</v>
      </c>
      <c r="C702" s="1">
        <v>1</v>
      </c>
      <c r="D702" s="1">
        <v>1</v>
      </c>
      <c r="E702" s="1">
        <v>1</v>
      </c>
      <c r="F702" s="1">
        <v>1</v>
      </c>
    </row>
    <row r="703" spans="1:6" x14ac:dyDescent="0.35">
      <c r="A703" s="1">
        <v>0.33333333333333298</v>
      </c>
      <c r="B703" s="1">
        <v>0.14285714285714299</v>
      </c>
      <c r="C703" s="1">
        <v>1</v>
      </c>
      <c r="D703" s="1">
        <v>1</v>
      </c>
      <c r="E703" s="1">
        <v>1</v>
      </c>
      <c r="F703" s="1">
        <v>1</v>
      </c>
    </row>
    <row r="704" spans="1:6" x14ac:dyDescent="0.35">
      <c r="A704" s="1">
        <v>1</v>
      </c>
      <c r="B704" s="1">
        <v>3</v>
      </c>
      <c r="C704" s="1">
        <v>1</v>
      </c>
      <c r="D704" s="1">
        <v>3</v>
      </c>
      <c r="E704" s="1">
        <v>1</v>
      </c>
      <c r="F704" s="1">
        <v>0.33333333333333298</v>
      </c>
    </row>
    <row r="705" spans="1:6" x14ac:dyDescent="0.35">
      <c r="A705" s="1">
        <v>0.14285714285714299</v>
      </c>
      <c r="B705" s="1">
        <v>7</v>
      </c>
      <c r="C705" s="1">
        <v>7</v>
      </c>
      <c r="D705" s="1">
        <v>7</v>
      </c>
      <c r="E705" s="1">
        <v>7</v>
      </c>
      <c r="F705" s="1">
        <v>0.14285714285714299</v>
      </c>
    </row>
    <row r="706" spans="1:6" x14ac:dyDescent="0.35">
      <c r="A706" s="1">
        <v>1</v>
      </c>
      <c r="B706" s="1">
        <v>3</v>
      </c>
      <c r="C706" s="1">
        <v>1</v>
      </c>
      <c r="D706" s="1">
        <v>3</v>
      </c>
      <c r="E706" s="1">
        <v>0.33333333333333298</v>
      </c>
      <c r="F706" s="1">
        <v>0.33333333333333298</v>
      </c>
    </row>
    <row r="707" spans="1:6" x14ac:dyDescent="0.35">
      <c r="A707" s="1">
        <v>1</v>
      </c>
      <c r="B707" s="1">
        <v>1</v>
      </c>
      <c r="C707" s="1">
        <v>1</v>
      </c>
      <c r="D707" s="1">
        <v>1</v>
      </c>
      <c r="E707" s="1">
        <v>1</v>
      </c>
      <c r="F707" s="1">
        <v>1</v>
      </c>
    </row>
    <row r="708" spans="1:6" x14ac:dyDescent="0.35">
      <c r="A708" s="1">
        <v>1</v>
      </c>
      <c r="B708" s="1">
        <v>1</v>
      </c>
      <c r="C708" s="1">
        <v>1</v>
      </c>
      <c r="D708" s="1">
        <v>1</v>
      </c>
      <c r="E708" s="1">
        <v>1</v>
      </c>
      <c r="F708" s="1">
        <v>1</v>
      </c>
    </row>
    <row r="709" spans="1:6" x14ac:dyDescent="0.35">
      <c r="A709" s="1">
        <v>3</v>
      </c>
      <c r="B709" s="1">
        <v>5</v>
      </c>
      <c r="C709" s="1">
        <v>0.33333333333333298</v>
      </c>
      <c r="D709" s="1">
        <v>3</v>
      </c>
      <c r="E709" s="1">
        <v>0.33333333333333298</v>
      </c>
      <c r="F709" s="1">
        <v>0.2</v>
      </c>
    </row>
    <row r="710" spans="1:6" x14ac:dyDescent="0.35">
      <c r="A710" s="1">
        <v>0.11111111111111099</v>
      </c>
      <c r="B710" s="1">
        <v>9</v>
      </c>
      <c r="C710" s="1">
        <v>9</v>
      </c>
      <c r="D710" s="1">
        <v>0.11111111111111099</v>
      </c>
      <c r="E710" s="1">
        <v>9</v>
      </c>
      <c r="F710" s="1">
        <v>9</v>
      </c>
    </row>
    <row r="711" spans="1:6" x14ac:dyDescent="0.35">
      <c r="A711" s="1">
        <v>0.33333333333333298</v>
      </c>
      <c r="B711" s="1">
        <v>3</v>
      </c>
      <c r="C711" s="1">
        <v>0.33333333333333298</v>
      </c>
      <c r="D711" s="1">
        <v>5</v>
      </c>
      <c r="E711" s="1">
        <v>1</v>
      </c>
      <c r="F711" s="1">
        <v>0.2</v>
      </c>
    </row>
    <row r="712" spans="1:6" x14ac:dyDescent="0.35">
      <c r="A712" s="1">
        <v>0.11111111111111099</v>
      </c>
      <c r="B712" s="1">
        <v>7</v>
      </c>
      <c r="C712" s="1">
        <v>0.14285714285714299</v>
      </c>
      <c r="D712" s="1">
        <v>7</v>
      </c>
      <c r="E712" s="1">
        <v>7</v>
      </c>
      <c r="F712" s="1">
        <v>0.14285714285714299</v>
      </c>
    </row>
    <row r="713" spans="1:6" x14ac:dyDescent="0.35">
      <c r="A713" s="1">
        <v>0.2</v>
      </c>
      <c r="B713" s="1">
        <v>1</v>
      </c>
      <c r="C713" s="1">
        <v>7</v>
      </c>
      <c r="D713" s="1">
        <v>0.11111111111111099</v>
      </c>
      <c r="E713" s="1">
        <v>0.14285714285714299</v>
      </c>
      <c r="F713" s="1">
        <v>3</v>
      </c>
    </row>
    <row r="714" spans="1:6" x14ac:dyDescent="0.35">
      <c r="A714" s="1">
        <v>1</v>
      </c>
      <c r="B714" s="1">
        <v>1</v>
      </c>
      <c r="C714" s="1">
        <v>1</v>
      </c>
      <c r="D714" s="1">
        <v>1</v>
      </c>
      <c r="E714" s="1">
        <v>1</v>
      </c>
      <c r="F714" s="1">
        <v>1</v>
      </c>
    </row>
    <row r="715" spans="1:6" x14ac:dyDescent="0.35">
      <c r="A715" s="1">
        <v>0.14285714285714299</v>
      </c>
      <c r="B715" s="1">
        <v>7</v>
      </c>
      <c r="C715" s="1">
        <v>7</v>
      </c>
      <c r="D715" s="1">
        <v>7</v>
      </c>
      <c r="E715" s="1">
        <v>7</v>
      </c>
      <c r="F715" s="1">
        <v>7</v>
      </c>
    </row>
    <row r="716" spans="1:6" x14ac:dyDescent="0.35">
      <c r="A716" s="1">
        <v>1</v>
      </c>
      <c r="B716" s="1">
        <v>3</v>
      </c>
      <c r="C716" s="1">
        <v>0.33333333333333298</v>
      </c>
      <c r="D716" s="1">
        <v>3</v>
      </c>
      <c r="E716" s="1">
        <v>0.33333333333333298</v>
      </c>
      <c r="F716" s="1">
        <v>0.33333333333333298</v>
      </c>
    </row>
    <row r="717" spans="1:6" x14ac:dyDescent="0.35">
      <c r="A717" s="1">
        <v>1</v>
      </c>
      <c r="B717" s="1">
        <v>0.2</v>
      </c>
      <c r="C717" s="1">
        <v>5</v>
      </c>
      <c r="D717" s="1">
        <v>3</v>
      </c>
      <c r="E717" s="1">
        <v>0.11111111111111099</v>
      </c>
      <c r="F717" s="1">
        <v>0.11111111111111099</v>
      </c>
    </row>
    <row r="718" spans="1:6" x14ac:dyDescent="0.35">
      <c r="A718" s="1">
        <v>0.11111111111111099</v>
      </c>
      <c r="B718" s="1">
        <v>9</v>
      </c>
      <c r="C718" s="1">
        <v>0.11111111111111099</v>
      </c>
      <c r="D718" s="1">
        <v>9</v>
      </c>
      <c r="E718" s="1">
        <v>9</v>
      </c>
      <c r="F718" s="1">
        <v>0.11111111111111099</v>
      </c>
    </row>
    <row r="719" spans="1:6" x14ac:dyDescent="0.35">
      <c r="A719" s="1">
        <v>1</v>
      </c>
      <c r="B719" s="1">
        <v>1</v>
      </c>
      <c r="C719" s="1">
        <v>1</v>
      </c>
      <c r="D719" s="1">
        <v>1</v>
      </c>
      <c r="E719" s="1">
        <v>1</v>
      </c>
      <c r="F719" s="1">
        <v>1</v>
      </c>
    </row>
    <row r="720" spans="1:6" x14ac:dyDescent="0.35">
      <c r="A720" s="1">
        <v>0.14285714285714299</v>
      </c>
      <c r="B720" s="1">
        <v>7</v>
      </c>
      <c r="C720" s="1">
        <v>7</v>
      </c>
      <c r="D720" s="1">
        <v>0.14285714285714299</v>
      </c>
      <c r="E720" s="1">
        <v>7</v>
      </c>
      <c r="F720" s="1">
        <v>7</v>
      </c>
    </row>
    <row r="721" spans="1:6" x14ac:dyDescent="0.35">
      <c r="A721" s="1">
        <v>7</v>
      </c>
      <c r="B721" s="1">
        <v>7</v>
      </c>
      <c r="C721" s="1">
        <v>7</v>
      </c>
      <c r="D721" s="1">
        <v>7</v>
      </c>
      <c r="E721" s="1">
        <v>7</v>
      </c>
      <c r="F721" s="1">
        <v>0.14285714285714299</v>
      </c>
    </row>
    <row r="722" spans="1:6" x14ac:dyDescent="0.35">
      <c r="A722" s="1">
        <v>0.11111111111111099</v>
      </c>
      <c r="B722" s="1">
        <v>9</v>
      </c>
      <c r="C722" s="1">
        <v>0.11111111111111099</v>
      </c>
      <c r="D722" s="1">
        <v>9</v>
      </c>
      <c r="E722" s="1">
        <v>0.11111111111111099</v>
      </c>
      <c r="F722" s="1">
        <v>0.11111111111111099</v>
      </c>
    </row>
    <row r="723" spans="1:6" x14ac:dyDescent="0.35">
      <c r="A723" s="1">
        <v>1</v>
      </c>
      <c r="B723" s="1">
        <v>1</v>
      </c>
      <c r="C723" s="1">
        <v>1</v>
      </c>
      <c r="D723" s="1">
        <v>1</v>
      </c>
      <c r="E723" s="1">
        <v>1</v>
      </c>
      <c r="F723" s="1">
        <v>1</v>
      </c>
    </row>
    <row r="724" spans="1:6" x14ac:dyDescent="0.35">
      <c r="A724" s="1">
        <v>0.14285714285714299</v>
      </c>
      <c r="B724" s="1">
        <v>7</v>
      </c>
      <c r="C724" s="1">
        <v>7</v>
      </c>
      <c r="D724" s="1">
        <v>7</v>
      </c>
      <c r="E724" s="1">
        <v>5</v>
      </c>
      <c r="F724" s="1">
        <v>0.14285714285714299</v>
      </c>
    </row>
    <row r="725" spans="1:6" x14ac:dyDescent="0.35">
      <c r="A725" s="1">
        <v>0.11111111111111099</v>
      </c>
      <c r="B725" s="1">
        <v>9</v>
      </c>
      <c r="C725" s="1">
        <v>9</v>
      </c>
      <c r="D725" s="1">
        <v>9</v>
      </c>
      <c r="E725" s="1">
        <v>9</v>
      </c>
      <c r="F725" s="1">
        <v>9</v>
      </c>
    </row>
    <row r="726" spans="1:6" x14ac:dyDescent="0.35">
      <c r="A726" s="1">
        <v>3</v>
      </c>
      <c r="B726" s="1">
        <v>0.33333333333333298</v>
      </c>
      <c r="C726" s="1">
        <v>0.11111111111111099</v>
      </c>
      <c r="D726" s="1">
        <v>0.11111111111111099</v>
      </c>
      <c r="E726" s="1">
        <v>3</v>
      </c>
      <c r="F726" s="1">
        <v>0.14285714285714299</v>
      </c>
    </row>
    <row r="727" spans="1:6" x14ac:dyDescent="0.35">
      <c r="A727" s="1">
        <v>1</v>
      </c>
      <c r="B727" s="1">
        <v>1</v>
      </c>
      <c r="C727" s="1">
        <v>1</v>
      </c>
      <c r="D727" s="1">
        <v>1</v>
      </c>
      <c r="E727" s="1">
        <v>1</v>
      </c>
      <c r="F727" s="1">
        <v>1</v>
      </c>
    </row>
    <row r="728" spans="1:6" x14ac:dyDescent="0.35">
      <c r="A728" s="1">
        <v>9</v>
      </c>
      <c r="B728" s="1">
        <v>9</v>
      </c>
      <c r="C728" s="1">
        <v>9</v>
      </c>
      <c r="D728" s="1">
        <v>9</v>
      </c>
      <c r="E728" s="1">
        <v>9</v>
      </c>
      <c r="F728" s="1">
        <v>9</v>
      </c>
    </row>
    <row r="729" spans="1:6" x14ac:dyDescent="0.35">
      <c r="A729" s="1">
        <v>1</v>
      </c>
      <c r="B729" s="1">
        <v>1</v>
      </c>
      <c r="C729" s="1">
        <v>1</v>
      </c>
      <c r="D729" s="1">
        <v>1</v>
      </c>
      <c r="E729" s="1">
        <v>1</v>
      </c>
      <c r="F729" s="1">
        <v>1</v>
      </c>
    </row>
    <row r="730" spans="1:6" x14ac:dyDescent="0.35">
      <c r="A730" s="1">
        <v>0.11111111111111099</v>
      </c>
      <c r="B730" s="1">
        <v>9</v>
      </c>
      <c r="C730" s="1">
        <v>9</v>
      </c>
      <c r="D730" s="1">
        <v>9</v>
      </c>
      <c r="E730" s="1">
        <v>9</v>
      </c>
      <c r="F730" s="1">
        <v>0.11111111111111099</v>
      </c>
    </row>
    <row r="731" spans="1:6" x14ac:dyDescent="0.35">
      <c r="A731" s="1">
        <v>0.11111111111111099</v>
      </c>
      <c r="B731" s="1">
        <v>9</v>
      </c>
      <c r="C731" s="1">
        <v>9</v>
      </c>
      <c r="D731" s="1">
        <v>9</v>
      </c>
      <c r="E731" s="1">
        <v>9</v>
      </c>
      <c r="F731" s="1">
        <v>0.11111111111111099</v>
      </c>
    </row>
    <row r="732" spans="1:6" x14ac:dyDescent="0.35">
      <c r="A732" s="1">
        <v>3</v>
      </c>
      <c r="B732" s="1">
        <v>3</v>
      </c>
      <c r="C732" s="1">
        <v>3</v>
      </c>
      <c r="D732" s="1">
        <v>3</v>
      </c>
      <c r="E732" s="1">
        <v>0.33333333333333298</v>
      </c>
      <c r="F732" s="1">
        <v>3</v>
      </c>
    </row>
    <row r="733" spans="1:6" x14ac:dyDescent="0.35">
      <c r="A733" s="1">
        <v>0.14285714285714299</v>
      </c>
      <c r="B733" s="1">
        <v>7</v>
      </c>
      <c r="C733" s="1">
        <v>7</v>
      </c>
      <c r="D733" s="1">
        <v>7</v>
      </c>
      <c r="E733" s="1">
        <v>0.14285714285714299</v>
      </c>
      <c r="F733" s="1">
        <v>0.14285714285714299</v>
      </c>
    </row>
    <row r="734" spans="1:6" x14ac:dyDescent="0.35">
      <c r="A734" s="1">
        <v>7</v>
      </c>
      <c r="B734" s="1">
        <v>7</v>
      </c>
      <c r="C734" s="1">
        <v>7</v>
      </c>
      <c r="D734" s="1">
        <v>7</v>
      </c>
      <c r="E734" s="1">
        <v>7</v>
      </c>
      <c r="F734" s="1">
        <v>0.14285714285714299</v>
      </c>
    </row>
    <row r="735" spans="1:6" x14ac:dyDescent="0.35">
      <c r="A735" s="1">
        <v>0.14285714285714299</v>
      </c>
      <c r="B735" s="1">
        <v>7</v>
      </c>
      <c r="C735" s="1">
        <v>0.14285714285714299</v>
      </c>
      <c r="D735" s="1">
        <v>7</v>
      </c>
      <c r="E735" s="1">
        <v>0.14285714285714299</v>
      </c>
      <c r="F735" s="1">
        <v>0.14285714285714299</v>
      </c>
    </row>
    <row r="736" spans="1:6" x14ac:dyDescent="0.35">
      <c r="A736" s="1">
        <v>3</v>
      </c>
      <c r="B736" s="1">
        <v>3</v>
      </c>
      <c r="C736" s="1">
        <v>0.33333333333333298</v>
      </c>
      <c r="D736" s="1">
        <v>3</v>
      </c>
      <c r="E736" s="1">
        <v>0.33333333333333298</v>
      </c>
      <c r="F736" s="1">
        <v>0.2</v>
      </c>
    </row>
    <row r="737" spans="1:6" x14ac:dyDescent="0.35">
      <c r="A737" s="1">
        <v>0.11111111111111099</v>
      </c>
      <c r="B737" s="1">
        <v>9</v>
      </c>
      <c r="C737" s="1">
        <v>9</v>
      </c>
      <c r="D737" s="1">
        <v>3</v>
      </c>
      <c r="E737" s="1">
        <v>9</v>
      </c>
      <c r="F737" s="1">
        <v>3</v>
      </c>
    </row>
    <row r="738" spans="1:6" x14ac:dyDescent="0.35">
      <c r="A738" s="1">
        <v>0.14285714285714299</v>
      </c>
      <c r="B738" s="1">
        <v>7</v>
      </c>
      <c r="C738" s="1">
        <v>7</v>
      </c>
      <c r="D738" s="1">
        <v>7</v>
      </c>
      <c r="E738" s="1">
        <v>7</v>
      </c>
      <c r="F738" s="1">
        <v>0.14285714285714299</v>
      </c>
    </row>
    <row r="739" spans="1:6" x14ac:dyDescent="0.35">
      <c r="A739" s="1">
        <v>1</v>
      </c>
      <c r="B739" s="1">
        <v>1</v>
      </c>
      <c r="C739" s="1">
        <v>9</v>
      </c>
      <c r="D739" s="1">
        <v>1</v>
      </c>
      <c r="E739" s="1">
        <v>1</v>
      </c>
      <c r="F739" s="1">
        <v>1</v>
      </c>
    </row>
    <row r="740" spans="1:6" x14ac:dyDescent="0.35">
      <c r="A740" s="1">
        <v>7</v>
      </c>
      <c r="B740" s="1">
        <v>7</v>
      </c>
      <c r="C740" s="1">
        <v>7</v>
      </c>
      <c r="D740" s="1">
        <v>7</v>
      </c>
      <c r="E740" s="1">
        <v>7</v>
      </c>
      <c r="F740" s="1">
        <v>0.14285714285714299</v>
      </c>
    </row>
    <row r="741" spans="1:6" x14ac:dyDescent="0.35">
      <c r="A741" s="1">
        <v>1</v>
      </c>
      <c r="B741" s="1">
        <v>3</v>
      </c>
      <c r="C741" s="1">
        <v>0.33333333333333298</v>
      </c>
      <c r="D741" s="1">
        <v>3</v>
      </c>
      <c r="E741" s="1">
        <v>0.33333333333333298</v>
      </c>
      <c r="F741" s="1">
        <v>0.2</v>
      </c>
    </row>
    <row r="742" spans="1:6" x14ac:dyDescent="0.35">
      <c r="A742" s="1">
        <v>9</v>
      </c>
      <c r="B742" s="1">
        <v>9</v>
      </c>
      <c r="C742" s="1">
        <v>9</v>
      </c>
      <c r="D742" s="1">
        <v>9</v>
      </c>
      <c r="E742" s="1">
        <v>9</v>
      </c>
      <c r="F742" s="1">
        <v>9</v>
      </c>
    </row>
    <row r="743" spans="1:6" x14ac:dyDescent="0.35">
      <c r="A743" s="1">
        <v>1</v>
      </c>
      <c r="B743" s="1">
        <v>1</v>
      </c>
      <c r="C743" s="1">
        <v>1</v>
      </c>
      <c r="D743" s="1">
        <v>1</v>
      </c>
      <c r="E743" s="1">
        <v>1</v>
      </c>
      <c r="F743" s="1">
        <v>1</v>
      </c>
    </row>
    <row r="744" spans="1:6" x14ac:dyDescent="0.35">
      <c r="A744" s="1">
        <v>1</v>
      </c>
      <c r="B744" s="1">
        <v>3</v>
      </c>
      <c r="C744" s="1">
        <v>0.33333333333333298</v>
      </c>
      <c r="D744" s="1">
        <v>3</v>
      </c>
      <c r="E744" s="1">
        <v>0.33333333333333298</v>
      </c>
      <c r="F744" s="1">
        <v>0.2</v>
      </c>
    </row>
    <row r="745" spans="1:6" x14ac:dyDescent="0.35">
      <c r="A745" s="1">
        <v>1</v>
      </c>
      <c r="B745" s="1">
        <v>1</v>
      </c>
      <c r="C745" s="1">
        <v>1</v>
      </c>
      <c r="D745" s="1">
        <v>1</v>
      </c>
      <c r="E745" s="1">
        <v>1</v>
      </c>
      <c r="F745" s="1">
        <v>1</v>
      </c>
    </row>
    <row r="746" spans="1:6" x14ac:dyDescent="0.35">
      <c r="A746" s="1">
        <v>1</v>
      </c>
      <c r="B746" s="1">
        <v>3</v>
      </c>
      <c r="C746" s="1">
        <v>0.33333333333333298</v>
      </c>
      <c r="D746" s="1">
        <v>3</v>
      </c>
      <c r="E746" s="1">
        <v>0.33333333333333298</v>
      </c>
      <c r="F746" s="1">
        <v>0.2</v>
      </c>
    </row>
    <row r="747" spans="1:6" x14ac:dyDescent="0.35">
      <c r="A747" s="1">
        <v>0.11111111111111099</v>
      </c>
      <c r="B747" s="1">
        <v>9</v>
      </c>
      <c r="C747" s="1">
        <v>0.11111111111111099</v>
      </c>
      <c r="D747" s="1">
        <v>9</v>
      </c>
      <c r="E747" s="1">
        <v>9</v>
      </c>
      <c r="F747" s="1">
        <v>0.11111111111111099</v>
      </c>
    </row>
    <row r="748" spans="1:6" x14ac:dyDescent="0.35">
      <c r="A748" s="1">
        <v>9</v>
      </c>
      <c r="B748" s="1">
        <v>9</v>
      </c>
      <c r="C748" s="1">
        <v>9</v>
      </c>
      <c r="D748" s="1">
        <v>9</v>
      </c>
      <c r="E748" s="1">
        <v>9</v>
      </c>
      <c r="F748" s="1">
        <v>9</v>
      </c>
    </row>
    <row r="749" spans="1:6" x14ac:dyDescent="0.35">
      <c r="A749" s="1">
        <v>7</v>
      </c>
      <c r="B749" s="1">
        <v>7</v>
      </c>
      <c r="C749" s="1">
        <v>7</v>
      </c>
      <c r="D749" s="1">
        <v>7</v>
      </c>
      <c r="E749" s="1">
        <v>7</v>
      </c>
      <c r="F749" s="1">
        <v>0.14285714285714299</v>
      </c>
    </row>
    <row r="750" spans="1:6" x14ac:dyDescent="0.35">
      <c r="A750" s="1">
        <v>3</v>
      </c>
      <c r="B750" s="1">
        <v>0.33333333333333298</v>
      </c>
      <c r="C750" s="1">
        <v>7</v>
      </c>
      <c r="D750" s="1">
        <v>5</v>
      </c>
      <c r="E750" s="1">
        <v>3</v>
      </c>
      <c r="F750" s="1">
        <v>9</v>
      </c>
    </row>
    <row r="751" spans="1:6" x14ac:dyDescent="0.35">
      <c r="A751" s="1">
        <v>1</v>
      </c>
      <c r="B751" s="1">
        <v>1</v>
      </c>
      <c r="C751" s="1">
        <v>1</v>
      </c>
      <c r="D751" s="1">
        <v>1</v>
      </c>
      <c r="E751" s="1">
        <v>1</v>
      </c>
      <c r="F751" s="1">
        <v>1</v>
      </c>
    </row>
    <row r="752" spans="1:6" x14ac:dyDescent="0.35">
      <c r="A752" s="1">
        <v>1</v>
      </c>
      <c r="B752" s="1">
        <v>3</v>
      </c>
      <c r="C752" s="1">
        <v>0.33333333333333298</v>
      </c>
      <c r="D752" s="1">
        <v>3</v>
      </c>
      <c r="E752" s="1">
        <v>0.33333333333333298</v>
      </c>
      <c r="F752" s="1">
        <v>0.2</v>
      </c>
    </row>
    <row r="753" spans="1:6" x14ac:dyDescent="0.35">
      <c r="A753" s="1">
        <v>0.14285714285714299</v>
      </c>
      <c r="B753" s="1">
        <v>7</v>
      </c>
      <c r="C753" s="1">
        <v>7</v>
      </c>
      <c r="D753" s="1">
        <v>7</v>
      </c>
      <c r="E753" s="1">
        <v>7</v>
      </c>
      <c r="F753" s="1">
        <v>0.14285714285714299</v>
      </c>
    </row>
    <row r="754" spans="1:6" x14ac:dyDescent="0.35">
      <c r="A754" s="1">
        <v>0.11111111111111099</v>
      </c>
      <c r="B754" s="1">
        <v>7</v>
      </c>
      <c r="C754" s="1">
        <v>0.11111111111111099</v>
      </c>
      <c r="D754" s="1">
        <v>9</v>
      </c>
      <c r="E754" s="1">
        <v>9</v>
      </c>
      <c r="F754" s="1">
        <v>0.11111111111111099</v>
      </c>
    </row>
    <row r="755" spans="1:6" x14ac:dyDescent="0.35">
      <c r="A755" s="1">
        <v>1</v>
      </c>
      <c r="B755" s="1">
        <v>3</v>
      </c>
      <c r="C755" s="1">
        <v>0.33333333333333298</v>
      </c>
      <c r="D755" s="1">
        <v>3</v>
      </c>
      <c r="E755" s="1">
        <v>0.33333333333333298</v>
      </c>
      <c r="F755" s="1">
        <v>0.2</v>
      </c>
    </row>
    <row r="756" spans="1:6" x14ac:dyDescent="0.35">
      <c r="A756" s="1">
        <v>0.14285714285714299</v>
      </c>
      <c r="B756" s="1">
        <v>7</v>
      </c>
      <c r="C756" s="1">
        <v>0.14285714285714299</v>
      </c>
      <c r="D756" s="1">
        <v>7</v>
      </c>
      <c r="E756" s="1">
        <v>7</v>
      </c>
      <c r="F756" s="1">
        <v>0.14285714285714299</v>
      </c>
    </row>
    <row r="757" spans="1:6" x14ac:dyDescent="0.35">
      <c r="A757" s="1">
        <v>3</v>
      </c>
      <c r="B757" s="1">
        <v>3</v>
      </c>
      <c r="C757" s="1">
        <v>3</v>
      </c>
      <c r="D757" s="1">
        <v>0.33333333333333298</v>
      </c>
      <c r="E757" s="1">
        <v>3</v>
      </c>
      <c r="F757" s="1">
        <v>3</v>
      </c>
    </row>
    <row r="758" spans="1:6" x14ac:dyDescent="0.35">
      <c r="A758" s="1">
        <v>0.14285714285714299</v>
      </c>
      <c r="B758" s="1">
        <v>7</v>
      </c>
      <c r="C758" s="1">
        <v>0.14285714285714299</v>
      </c>
      <c r="D758" s="1">
        <v>7</v>
      </c>
      <c r="E758" s="1">
        <v>0.14285714285714299</v>
      </c>
      <c r="F758" s="1">
        <v>0.14285714285714299</v>
      </c>
    </row>
    <row r="759" spans="1:6" x14ac:dyDescent="0.35">
      <c r="A759" s="1">
        <v>3</v>
      </c>
      <c r="B759" s="1">
        <v>3</v>
      </c>
      <c r="C759" s="1">
        <v>0.33333333333333298</v>
      </c>
      <c r="D759" s="1">
        <v>3</v>
      </c>
      <c r="E759" s="1">
        <v>0.2</v>
      </c>
      <c r="F759" s="1">
        <v>0.2</v>
      </c>
    </row>
    <row r="760" spans="1:6" x14ac:dyDescent="0.35">
      <c r="A760" s="1">
        <v>0.11111111111111099</v>
      </c>
      <c r="B760" s="1">
        <v>9</v>
      </c>
      <c r="C760" s="1">
        <v>0.11111111111111099</v>
      </c>
      <c r="D760" s="1">
        <v>9</v>
      </c>
      <c r="E760" s="1">
        <v>9</v>
      </c>
      <c r="F760" s="1">
        <v>0.11111111111111099</v>
      </c>
    </row>
    <row r="761" spans="1:6" x14ac:dyDescent="0.35">
      <c r="A761" s="1">
        <v>3</v>
      </c>
      <c r="B761" s="1">
        <v>5</v>
      </c>
      <c r="C761" s="1">
        <v>5</v>
      </c>
      <c r="D761" s="1">
        <v>3</v>
      </c>
      <c r="E761" s="1">
        <v>3</v>
      </c>
      <c r="F761" s="1">
        <v>0.33333333333333298</v>
      </c>
    </row>
    <row r="762" spans="1:6" x14ac:dyDescent="0.35">
      <c r="A762" s="1">
        <v>0.11111111111111099</v>
      </c>
      <c r="B762" s="1">
        <v>9</v>
      </c>
      <c r="C762" s="1">
        <v>9</v>
      </c>
      <c r="D762" s="1">
        <v>9</v>
      </c>
      <c r="E762" s="1">
        <v>9</v>
      </c>
      <c r="F762" s="1">
        <v>3</v>
      </c>
    </row>
    <row r="763" spans="1:6" x14ac:dyDescent="0.35">
      <c r="A763" s="1">
        <v>0.33333333333333298</v>
      </c>
      <c r="B763" s="1">
        <v>3</v>
      </c>
      <c r="C763" s="1">
        <v>0.33333333333333298</v>
      </c>
      <c r="D763" s="1">
        <v>3</v>
      </c>
      <c r="E763" s="1">
        <v>3</v>
      </c>
      <c r="F763" s="1">
        <v>0.33333333333333298</v>
      </c>
    </row>
    <row r="764" spans="1:6" x14ac:dyDescent="0.35">
      <c r="A764" s="1">
        <v>1</v>
      </c>
      <c r="B764" s="1">
        <v>1</v>
      </c>
      <c r="C764" s="1">
        <v>1</v>
      </c>
      <c r="D764" s="1">
        <v>1</v>
      </c>
      <c r="E764" s="1">
        <v>1</v>
      </c>
      <c r="F764" s="1">
        <v>1</v>
      </c>
    </row>
    <row r="765" spans="1:6" x14ac:dyDescent="0.35">
      <c r="A765" s="1">
        <v>5</v>
      </c>
      <c r="B765" s="1">
        <v>0.33333333333333298</v>
      </c>
      <c r="C765" s="1">
        <v>0.14285714285714299</v>
      </c>
      <c r="D765" s="1">
        <v>3</v>
      </c>
      <c r="E765" s="1">
        <v>1</v>
      </c>
      <c r="F765" s="1">
        <v>0.2</v>
      </c>
    </row>
    <row r="766" spans="1:6" x14ac:dyDescent="0.35">
      <c r="A766" s="1">
        <v>0.11111111111111099</v>
      </c>
      <c r="B766" s="1">
        <v>9</v>
      </c>
      <c r="C766" s="1">
        <v>9</v>
      </c>
      <c r="D766" s="1">
        <v>9</v>
      </c>
      <c r="E766" s="1">
        <v>9</v>
      </c>
      <c r="F766" s="1">
        <v>0.11111111111111099</v>
      </c>
    </row>
    <row r="767" spans="1:6" x14ac:dyDescent="0.35">
      <c r="A767" s="1">
        <v>0.11111111111111099</v>
      </c>
      <c r="B767" s="1">
        <v>9</v>
      </c>
      <c r="C767" s="1">
        <v>0.11111111111111099</v>
      </c>
      <c r="D767" s="1">
        <v>9</v>
      </c>
      <c r="E767" s="1">
        <v>9</v>
      </c>
      <c r="F767" s="1">
        <v>0.11111111111111099</v>
      </c>
    </row>
    <row r="768" spans="1:6" x14ac:dyDescent="0.35">
      <c r="A768" s="1">
        <v>0.11111111111111099</v>
      </c>
      <c r="B768" s="1">
        <v>5</v>
      </c>
      <c r="C768" s="1">
        <v>0.11111111111111099</v>
      </c>
      <c r="D768" s="1">
        <v>1</v>
      </c>
      <c r="E768" s="1">
        <v>0.33333333333333298</v>
      </c>
      <c r="F768" s="1">
        <v>0.11111111111111099</v>
      </c>
    </row>
    <row r="769" spans="1:6" x14ac:dyDescent="0.35">
      <c r="A769" s="1">
        <v>3</v>
      </c>
      <c r="B769" s="1">
        <v>5</v>
      </c>
      <c r="C769" s="1">
        <v>5</v>
      </c>
      <c r="D769" s="1">
        <v>5</v>
      </c>
      <c r="E769" s="1">
        <v>3</v>
      </c>
      <c r="F769" s="1">
        <v>7</v>
      </c>
    </row>
    <row r="770" spans="1:6" x14ac:dyDescent="0.35">
      <c r="A770" s="1">
        <v>0.14285714285714299</v>
      </c>
      <c r="B770" s="1">
        <v>7</v>
      </c>
      <c r="C770" s="1">
        <v>7</v>
      </c>
      <c r="D770" s="1">
        <v>7</v>
      </c>
      <c r="E770" s="1">
        <v>7</v>
      </c>
      <c r="F770" s="1">
        <v>0.14285714285714299</v>
      </c>
    </row>
    <row r="771" spans="1:6" x14ac:dyDescent="0.35">
      <c r="A771" s="1">
        <v>1</v>
      </c>
      <c r="B771" s="1">
        <v>1</v>
      </c>
      <c r="C771" s="1">
        <v>1</v>
      </c>
      <c r="D771" s="1">
        <v>1</v>
      </c>
      <c r="E771" s="1">
        <v>1</v>
      </c>
      <c r="F771" s="1">
        <v>1</v>
      </c>
    </row>
    <row r="772" spans="1:6" x14ac:dyDescent="0.35">
      <c r="A772" s="1">
        <v>0.33333333333333298</v>
      </c>
      <c r="B772" s="1">
        <v>3</v>
      </c>
      <c r="C772" s="1">
        <v>0.33333333333333298</v>
      </c>
      <c r="D772" s="1">
        <v>3</v>
      </c>
      <c r="E772" s="1">
        <v>0.33333333333333298</v>
      </c>
      <c r="F772" s="1">
        <v>0.33333333333333298</v>
      </c>
    </row>
    <row r="773" spans="1:6" x14ac:dyDescent="0.35">
      <c r="A773" s="1">
        <v>0.11111111111111099</v>
      </c>
      <c r="B773" s="1">
        <v>9</v>
      </c>
      <c r="C773" s="1">
        <v>0.11111111111111099</v>
      </c>
      <c r="D773" s="1">
        <v>9</v>
      </c>
      <c r="E773" s="1">
        <v>0.11111111111111099</v>
      </c>
      <c r="F773" s="1">
        <v>0.11111111111111099</v>
      </c>
    </row>
    <row r="774" spans="1:6" x14ac:dyDescent="0.35">
      <c r="A774" s="1">
        <v>0.33333333333333298</v>
      </c>
      <c r="B774" s="1">
        <v>3</v>
      </c>
      <c r="C774" s="1">
        <v>0.33333333333333298</v>
      </c>
      <c r="D774" s="1">
        <v>3</v>
      </c>
      <c r="E774" s="1">
        <v>1</v>
      </c>
      <c r="F774" s="1">
        <v>0.2</v>
      </c>
    </row>
    <row r="775" spans="1:6" x14ac:dyDescent="0.35">
      <c r="A775" s="1">
        <v>1</v>
      </c>
      <c r="B775" s="1">
        <v>1</v>
      </c>
      <c r="C775" s="1">
        <v>1</v>
      </c>
      <c r="D775" s="1">
        <v>1</v>
      </c>
      <c r="E775" s="1">
        <v>1</v>
      </c>
      <c r="F775" s="1">
        <v>1</v>
      </c>
    </row>
    <row r="776" spans="1:6" x14ac:dyDescent="0.35">
      <c r="A776" s="1">
        <v>7</v>
      </c>
      <c r="B776" s="1">
        <v>0.14285714285714299</v>
      </c>
      <c r="C776" s="1">
        <v>0.2</v>
      </c>
      <c r="D776" s="1">
        <v>0.14285714285714299</v>
      </c>
      <c r="E776" s="1">
        <v>3</v>
      </c>
      <c r="F776" s="1">
        <v>7</v>
      </c>
    </row>
    <row r="777" spans="1:6" x14ac:dyDescent="0.35">
      <c r="A777" s="1">
        <v>0.33333333333333298</v>
      </c>
      <c r="B777" s="1">
        <v>0.33333333333333298</v>
      </c>
      <c r="C777" s="1">
        <v>3</v>
      </c>
      <c r="D777" s="1">
        <v>7</v>
      </c>
      <c r="E777" s="1">
        <v>0.33333333333333298</v>
      </c>
      <c r="F777" s="1">
        <v>0.2</v>
      </c>
    </row>
    <row r="778" spans="1:6" x14ac:dyDescent="0.35">
      <c r="A778" s="1">
        <v>0.11111111111111099</v>
      </c>
      <c r="B778" s="1">
        <v>9</v>
      </c>
      <c r="C778" s="1">
        <v>9</v>
      </c>
      <c r="D778" s="1">
        <v>9</v>
      </c>
      <c r="E778" s="1">
        <v>9</v>
      </c>
      <c r="F778" s="1">
        <v>0.11111111111111099</v>
      </c>
    </row>
    <row r="779" spans="1:6" x14ac:dyDescent="0.35">
      <c r="A779" s="1">
        <v>1</v>
      </c>
      <c r="B779" s="1">
        <v>1</v>
      </c>
      <c r="C779" s="1">
        <v>1</v>
      </c>
      <c r="D779" s="1">
        <v>1</v>
      </c>
      <c r="E779" s="1">
        <v>1</v>
      </c>
      <c r="F779" s="1">
        <v>1</v>
      </c>
    </row>
    <row r="780" spans="1:6" x14ac:dyDescent="0.35">
      <c r="A780" s="1">
        <v>1</v>
      </c>
      <c r="B780" s="1">
        <v>3</v>
      </c>
      <c r="C780" s="1">
        <v>0.33333333333333298</v>
      </c>
      <c r="D780" s="1">
        <v>3</v>
      </c>
      <c r="E780" s="1">
        <v>0.33333333333333298</v>
      </c>
      <c r="F780" s="1">
        <v>0.33333333333333298</v>
      </c>
    </row>
    <row r="781" spans="1:6" x14ac:dyDescent="0.35">
      <c r="A781" s="1">
        <v>1</v>
      </c>
      <c r="B781" s="1">
        <v>1</v>
      </c>
      <c r="C781" s="1">
        <v>1</v>
      </c>
      <c r="D781" s="1">
        <v>1</v>
      </c>
      <c r="E781" s="1">
        <v>1</v>
      </c>
      <c r="F781" s="1">
        <v>1</v>
      </c>
    </row>
    <row r="782" spans="1:6" x14ac:dyDescent="0.35">
      <c r="A782" s="1">
        <v>1</v>
      </c>
      <c r="B782" s="1">
        <v>1</v>
      </c>
      <c r="C782" s="1">
        <v>1</v>
      </c>
      <c r="D782" s="1">
        <v>1</v>
      </c>
      <c r="E782" s="1">
        <v>1</v>
      </c>
      <c r="F782" s="1">
        <v>1</v>
      </c>
    </row>
    <row r="783" spans="1:6" x14ac:dyDescent="0.35">
      <c r="A783" s="1">
        <v>1</v>
      </c>
      <c r="B783" s="1">
        <v>1</v>
      </c>
      <c r="C783" s="1">
        <v>1</v>
      </c>
      <c r="D783" s="1">
        <v>1</v>
      </c>
      <c r="E783" s="1">
        <v>1</v>
      </c>
      <c r="F783" s="1">
        <v>1</v>
      </c>
    </row>
    <row r="784" spans="1:6" x14ac:dyDescent="0.35">
      <c r="A784" s="1">
        <v>0.11111111111111099</v>
      </c>
      <c r="B784" s="1">
        <v>9</v>
      </c>
      <c r="C784" s="1">
        <v>9</v>
      </c>
      <c r="D784" s="1">
        <v>9</v>
      </c>
      <c r="E784" s="1">
        <v>9</v>
      </c>
      <c r="F784" s="1">
        <v>1</v>
      </c>
    </row>
    <row r="785" spans="1:6" x14ac:dyDescent="0.35">
      <c r="A785" s="1">
        <v>1</v>
      </c>
      <c r="B785" s="1">
        <v>1</v>
      </c>
      <c r="C785" s="1">
        <v>1</v>
      </c>
      <c r="D785" s="1">
        <v>1</v>
      </c>
      <c r="E785" s="1">
        <v>1</v>
      </c>
      <c r="F785" s="1">
        <v>1</v>
      </c>
    </row>
    <row r="786" spans="1:6" x14ac:dyDescent="0.35">
      <c r="A786" s="1">
        <v>0.11111111111111099</v>
      </c>
      <c r="B786" s="1">
        <v>9</v>
      </c>
      <c r="C786" s="1">
        <v>9</v>
      </c>
      <c r="D786" s="1">
        <v>9</v>
      </c>
      <c r="E786" s="1">
        <v>9</v>
      </c>
      <c r="F786" s="1">
        <v>0.11111111111111099</v>
      </c>
    </row>
    <row r="787" spans="1:6" x14ac:dyDescent="0.35">
      <c r="A787" s="1">
        <v>1</v>
      </c>
      <c r="B787" s="1">
        <v>1</v>
      </c>
      <c r="C787" s="1">
        <v>1</v>
      </c>
      <c r="D787" s="1">
        <v>1</v>
      </c>
      <c r="E787" s="1">
        <v>1</v>
      </c>
      <c r="F787" s="1">
        <v>1</v>
      </c>
    </row>
    <row r="788" spans="1:6" x14ac:dyDescent="0.35">
      <c r="A788" s="1">
        <v>1</v>
      </c>
      <c r="B788" s="1">
        <v>1</v>
      </c>
      <c r="C788" s="1">
        <v>9</v>
      </c>
      <c r="D788" s="1">
        <v>9</v>
      </c>
      <c r="E788" s="1">
        <v>1</v>
      </c>
      <c r="F788" s="1">
        <v>1</v>
      </c>
    </row>
    <row r="789" spans="1:6" x14ac:dyDescent="0.35">
      <c r="A789" s="1">
        <v>1</v>
      </c>
      <c r="B789" s="1">
        <v>1</v>
      </c>
      <c r="C789" s="1">
        <v>1</v>
      </c>
      <c r="D789" s="1">
        <v>1</v>
      </c>
      <c r="E789" s="1">
        <v>1</v>
      </c>
      <c r="F789" s="1">
        <v>1</v>
      </c>
    </row>
    <row r="790" spans="1:6" x14ac:dyDescent="0.35">
      <c r="A790" s="1">
        <v>9</v>
      </c>
      <c r="B790" s="1">
        <v>9</v>
      </c>
      <c r="C790" s="1">
        <v>9</v>
      </c>
      <c r="D790" s="1">
        <v>9</v>
      </c>
      <c r="E790" s="1">
        <v>9</v>
      </c>
      <c r="F790" s="1">
        <v>9</v>
      </c>
    </row>
    <row r="791" spans="1:6" x14ac:dyDescent="0.35">
      <c r="A791" s="1">
        <v>1</v>
      </c>
      <c r="B791" s="1">
        <v>1</v>
      </c>
      <c r="C791" s="1">
        <v>1</v>
      </c>
      <c r="D791" s="1">
        <v>1</v>
      </c>
      <c r="E791" s="1">
        <v>1</v>
      </c>
      <c r="F791" s="1">
        <v>1</v>
      </c>
    </row>
    <row r="792" spans="1:6" x14ac:dyDescent="0.35">
      <c r="A792" s="1">
        <v>3</v>
      </c>
      <c r="B792" s="1">
        <v>3</v>
      </c>
      <c r="C792" s="1">
        <v>0.33333333333333298</v>
      </c>
      <c r="D792" s="1">
        <v>3</v>
      </c>
      <c r="E792" s="1">
        <v>0.33333333333333298</v>
      </c>
      <c r="F792" s="1">
        <v>0.2</v>
      </c>
    </row>
    <row r="793" spans="1:6" x14ac:dyDescent="0.35">
      <c r="A793" s="1">
        <v>0.33333333333333298</v>
      </c>
      <c r="B793" s="1">
        <v>3</v>
      </c>
      <c r="C793" s="1">
        <v>0.33333333333333298</v>
      </c>
      <c r="D793" s="1">
        <v>3</v>
      </c>
      <c r="E793" s="1">
        <v>3</v>
      </c>
      <c r="F793" s="1">
        <v>0.33333333333333298</v>
      </c>
    </row>
    <row r="794" spans="1:6" x14ac:dyDescent="0.35">
      <c r="A794" s="1">
        <v>0.14285714285714299</v>
      </c>
      <c r="B794" s="1">
        <v>3</v>
      </c>
      <c r="C794" s="1">
        <v>7</v>
      </c>
      <c r="D794" s="1">
        <v>5</v>
      </c>
      <c r="E794" s="1">
        <v>7</v>
      </c>
      <c r="F794" s="1">
        <v>0.11111111111111099</v>
      </c>
    </row>
    <row r="795" spans="1:6" x14ac:dyDescent="0.35">
      <c r="A795" s="1">
        <v>0.33333333333333298</v>
      </c>
      <c r="B795" s="1">
        <v>3</v>
      </c>
      <c r="C795" s="1">
        <v>0.33333333333333298</v>
      </c>
      <c r="D795" s="1">
        <v>3</v>
      </c>
      <c r="E795" s="1">
        <v>3</v>
      </c>
      <c r="F795" s="1">
        <v>0.33333333333333298</v>
      </c>
    </row>
    <row r="796" spans="1:6" x14ac:dyDescent="0.35">
      <c r="A796" s="1">
        <v>0.33333333333333298</v>
      </c>
      <c r="B796" s="1">
        <v>3</v>
      </c>
      <c r="C796" s="1">
        <v>0.33333333333333298</v>
      </c>
      <c r="D796" s="1">
        <v>3</v>
      </c>
      <c r="E796" s="1">
        <v>0.33333333333333298</v>
      </c>
      <c r="F796" s="1">
        <v>0.33333333333333298</v>
      </c>
    </row>
    <row r="797" spans="1:6" x14ac:dyDescent="0.35">
      <c r="A797" s="1">
        <v>0.11111111111111099</v>
      </c>
      <c r="B797" s="1">
        <v>3</v>
      </c>
      <c r="C797" s="1">
        <v>0.33333333333333298</v>
      </c>
      <c r="D797" s="1">
        <v>1</v>
      </c>
      <c r="E797" s="1">
        <v>0.11111111111111099</v>
      </c>
      <c r="F797" s="1">
        <v>0.14285714285714299</v>
      </c>
    </row>
    <row r="798" spans="1:6" x14ac:dyDescent="0.35">
      <c r="A798" s="1">
        <v>1</v>
      </c>
      <c r="B798" s="1">
        <v>3</v>
      </c>
      <c r="C798" s="1">
        <v>0.33333333333333298</v>
      </c>
      <c r="D798" s="1">
        <v>0.33333333333333298</v>
      </c>
      <c r="E798" s="1">
        <v>0.33333333333333298</v>
      </c>
      <c r="F798" s="1">
        <v>0.33333333333333298</v>
      </c>
    </row>
    <row r="799" spans="1:6" x14ac:dyDescent="0.35">
      <c r="A799" s="1">
        <v>0.14285714285714299</v>
      </c>
      <c r="B799" s="1">
        <v>3</v>
      </c>
      <c r="C799" s="1">
        <v>0.2</v>
      </c>
      <c r="D799" s="1">
        <v>1</v>
      </c>
      <c r="E799" s="1">
        <v>0.11111111111111099</v>
      </c>
      <c r="F799" s="1">
        <v>0.14285714285714299</v>
      </c>
    </row>
    <row r="800" spans="1:6" x14ac:dyDescent="0.35">
      <c r="A800" s="1">
        <v>1</v>
      </c>
      <c r="B800" s="1">
        <v>3</v>
      </c>
      <c r="C800" s="1">
        <v>0.33333333333333298</v>
      </c>
      <c r="D800" s="1">
        <v>3</v>
      </c>
      <c r="E800" s="1">
        <v>0.33333333333333298</v>
      </c>
      <c r="F800" s="1">
        <v>0.33333333333333298</v>
      </c>
    </row>
    <row r="801" spans="1:6" x14ac:dyDescent="0.35">
      <c r="A801" s="1">
        <v>0.33333333333333298</v>
      </c>
      <c r="B801" s="1">
        <v>3</v>
      </c>
      <c r="C801" s="1">
        <v>0.11111111111111099</v>
      </c>
      <c r="D801" s="1">
        <v>7</v>
      </c>
      <c r="E801" s="1">
        <v>5</v>
      </c>
      <c r="F801" s="1">
        <v>0.33333333333333298</v>
      </c>
    </row>
    <row r="802" spans="1:6" x14ac:dyDescent="0.35">
      <c r="A802" s="1">
        <v>0.33333333333333298</v>
      </c>
      <c r="B802" s="1">
        <v>0.14285714285714299</v>
      </c>
      <c r="C802" s="1">
        <v>3</v>
      </c>
      <c r="D802" s="1">
        <v>9</v>
      </c>
      <c r="E802" s="1">
        <v>0.2</v>
      </c>
      <c r="F802" s="1">
        <v>3</v>
      </c>
    </row>
    <row r="803" spans="1:6" x14ac:dyDescent="0.35">
      <c r="A803" s="1">
        <v>0.33333333333333298</v>
      </c>
      <c r="B803" s="1">
        <v>3</v>
      </c>
      <c r="C803" s="1">
        <v>3</v>
      </c>
      <c r="D803" s="1">
        <v>3</v>
      </c>
      <c r="E803" s="1">
        <v>0.33333333333333298</v>
      </c>
      <c r="F803" s="1">
        <v>0.33333333333333298</v>
      </c>
    </row>
    <row r="804" spans="1:6" x14ac:dyDescent="0.35">
      <c r="A804" s="1">
        <v>3</v>
      </c>
      <c r="B804" s="1">
        <v>3</v>
      </c>
      <c r="C804" s="1">
        <v>3</v>
      </c>
      <c r="D804" s="1">
        <v>3</v>
      </c>
      <c r="E804" s="1">
        <v>0.33333333333333298</v>
      </c>
      <c r="F804" s="1">
        <v>3</v>
      </c>
    </row>
    <row r="805" spans="1:6" x14ac:dyDescent="0.35">
      <c r="A805" s="1">
        <v>3</v>
      </c>
      <c r="B805" s="1">
        <v>3</v>
      </c>
      <c r="C805" s="1">
        <v>0.33333333333333298</v>
      </c>
      <c r="D805" s="1">
        <v>3</v>
      </c>
      <c r="E805" s="1">
        <v>3</v>
      </c>
      <c r="F805" s="1">
        <v>0.33333333333333298</v>
      </c>
    </row>
    <row r="806" spans="1:6" x14ac:dyDescent="0.35">
      <c r="A806" s="1">
        <v>1</v>
      </c>
      <c r="B806" s="1">
        <v>3</v>
      </c>
      <c r="C806" s="1">
        <v>5</v>
      </c>
      <c r="D806" s="1">
        <v>3</v>
      </c>
      <c r="E806" s="1">
        <v>7</v>
      </c>
      <c r="F806" s="1">
        <v>7</v>
      </c>
    </row>
    <row r="807" spans="1:6" x14ac:dyDescent="0.35">
      <c r="A807" s="1">
        <v>3</v>
      </c>
      <c r="B807" s="1">
        <v>5</v>
      </c>
      <c r="C807" s="1">
        <v>5</v>
      </c>
      <c r="D807" s="1">
        <v>5</v>
      </c>
      <c r="E807" s="1">
        <v>3</v>
      </c>
      <c r="F807" s="1">
        <v>0.33333333333333298</v>
      </c>
    </row>
    <row r="808" spans="1:6" x14ac:dyDescent="0.35">
      <c r="A808" s="1">
        <v>1</v>
      </c>
      <c r="B808" s="1">
        <v>1</v>
      </c>
      <c r="C808" s="1">
        <v>1</v>
      </c>
      <c r="D808" s="1">
        <v>1</v>
      </c>
      <c r="E808" s="1">
        <v>1</v>
      </c>
      <c r="F808" s="1">
        <v>1</v>
      </c>
    </row>
    <row r="809" spans="1:6" x14ac:dyDescent="0.35">
      <c r="A809" s="1">
        <v>3</v>
      </c>
      <c r="B809" s="1">
        <v>3</v>
      </c>
      <c r="C809" s="1">
        <v>0.2</v>
      </c>
      <c r="D809" s="1">
        <v>3</v>
      </c>
      <c r="E809" s="1">
        <v>3</v>
      </c>
      <c r="F809" s="1">
        <v>0.33333333333333298</v>
      </c>
    </row>
    <row r="810" spans="1:6" x14ac:dyDescent="0.35">
      <c r="A810" s="1">
        <v>1</v>
      </c>
      <c r="B810" s="1">
        <v>1</v>
      </c>
      <c r="C810" s="1">
        <v>1</v>
      </c>
      <c r="D810" s="1">
        <v>1</v>
      </c>
      <c r="E810" s="1">
        <v>1</v>
      </c>
      <c r="F810" s="1">
        <v>1</v>
      </c>
    </row>
    <row r="811" spans="1:6" x14ac:dyDescent="0.35">
      <c r="A811" s="1">
        <v>5</v>
      </c>
      <c r="B811" s="1">
        <v>5</v>
      </c>
      <c r="C811" s="1">
        <v>1</v>
      </c>
      <c r="D811" s="1">
        <v>5</v>
      </c>
      <c r="E811" s="1">
        <v>7</v>
      </c>
      <c r="F811" s="1">
        <v>3</v>
      </c>
    </row>
    <row r="812" spans="1:6" x14ac:dyDescent="0.35">
      <c r="A812" s="1">
        <v>0.14285714285714299</v>
      </c>
      <c r="B812" s="1">
        <v>5</v>
      </c>
      <c r="C812" s="1">
        <v>3</v>
      </c>
      <c r="D812" s="1">
        <v>0.14285714285714299</v>
      </c>
      <c r="E812" s="1">
        <v>0.2</v>
      </c>
      <c r="F812" s="1">
        <v>0.33333333333333298</v>
      </c>
    </row>
    <row r="813" spans="1:6" x14ac:dyDescent="0.35">
      <c r="A813" s="1">
        <v>3</v>
      </c>
      <c r="B813" s="1">
        <v>3</v>
      </c>
      <c r="C813" s="1">
        <v>3</v>
      </c>
      <c r="D813" s="1">
        <v>1</v>
      </c>
      <c r="E813" s="1">
        <v>3</v>
      </c>
      <c r="F813" s="1">
        <v>0.33333333333333298</v>
      </c>
    </row>
    <row r="814" spans="1:6" x14ac:dyDescent="0.35">
      <c r="A814" s="1">
        <v>9</v>
      </c>
      <c r="B814" s="1">
        <v>7</v>
      </c>
      <c r="C814" s="1">
        <v>9</v>
      </c>
      <c r="D814" s="1">
        <v>7</v>
      </c>
      <c r="E814" s="1">
        <v>5</v>
      </c>
      <c r="F814" s="1">
        <v>0.11111111111111099</v>
      </c>
    </row>
    <row r="815" spans="1:6" x14ac:dyDescent="0.35">
      <c r="A815" s="1">
        <v>1</v>
      </c>
      <c r="B815" s="1">
        <v>3</v>
      </c>
      <c r="C815" s="1">
        <v>0.33333333333333298</v>
      </c>
      <c r="D815" s="1">
        <v>3</v>
      </c>
      <c r="E815" s="1">
        <v>0.33333333333333298</v>
      </c>
      <c r="F815" s="1">
        <v>0.33333333333333298</v>
      </c>
    </row>
    <row r="816" spans="1:6" x14ac:dyDescent="0.35">
      <c r="A816" s="1">
        <v>0.2</v>
      </c>
      <c r="B816" s="1">
        <v>0.11111111111111099</v>
      </c>
      <c r="C816" s="1">
        <v>1</v>
      </c>
      <c r="D816" s="1">
        <v>0.14285714285714299</v>
      </c>
      <c r="E816" s="1">
        <v>0.14285714285714299</v>
      </c>
      <c r="F816" s="1">
        <v>0.2</v>
      </c>
    </row>
    <row r="817" spans="1:6" x14ac:dyDescent="0.35">
      <c r="A817" s="1">
        <v>3</v>
      </c>
      <c r="B817" s="1">
        <v>3</v>
      </c>
      <c r="C817" s="1">
        <v>0.33333333333333298</v>
      </c>
      <c r="D817" s="1">
        <v>3</v>
      </c>
      <c r="E817" s="1">
        <v>0.33333333333333298</v>
      </c>
      <c r="F817" s="1">
        <v>0.33333333333333298</v>
      </c>
    </row>
    <row r="818" spans="1:6" x14ac:dyDescent="0.35">
      <c r="A818" s="1">
        <v>1</v>
      </c>
      <c r="B818" s="1">
        <v>3</v>
      </c>
      <c r="C818" s="1">
        <v>0.33333333333333298</v>
      </c>
      <c r="D818" s="1">
        <v>3</v>
      </c>
      <c r="E818" s="1">
        <v>1</v>
      </c>
      <c r="F818" s="1">
        <v>0.33333333333333298</v>
      </c>
    </row>
    <row r="819" spans="1:6" x14ac:dyDescent="0.35">
      <c r="A819" s="1">
        <v>0.2</v>
      </c>
      <c r="B819" s="1">
        <v>0.14285714285714299</v>
      </c>
      <c r="C819" s="1">
        <v>3</v>
      </c>
      <c r="D819" s="1">
        <v>0.2</v>
      </c>
      <c r="E819" s="1">
        <v>9</v>
      </c>
      <c r="F819" s="1">
        <v>0.2</v>
      </c>
    </row>
    <row r="820" spans="1:6" x14ac:dyDescent="0.35">
      <c r="A820" s="1">
        <v>1</v>
      </c>
      <c r="B820" s="1">
        <v>3</v>
      </c>
      <c r="C820" s="1">
        <v>0.33333333333333298</v>
      </c>
      <c r="D820" s="1">
        <v>3</v>
      </c>
      <c r="E820" s="1">
        <v>0.33333333333333298</v>
      </c>
      <c r="F820" s="1">
        <v>0.33333333333333298</v>
      </c>
    </row>
    <row r="821" spans="1:6" x14ac:dyDescent="0.35">
      <c r="A821" s="1">
        <v>0.14285714285714299</v>
      </c>
      <c r="B821" s="1">
        <v>0.33333333333333298</v>
      </c>
      <c r="C821" s="1">
        <v>7</v>
      </c>
      <c r="D821" s="1">
        <v>5</v>
      </c>
      <c r="E821" s="1">
        <v>0.2</v>
      </c>
      <c r="F821" s="1">
        <v>3</v>
      </c>
    </row>
    <row r="822" spans="1:6" x14ac:dyDescent="0.35">
      <c r="A822" s="1">
        <v>1</v>
      </c>
      <c r="B822" s="1">
        <v>3</v>
      </c>
      <c r="C822" s="1">
        <v>1</v>
      </c>
      <c r="D822" s="1">
        <v>3</v>
      </c>
      <c r="E822" s="1">
        <v>1</v>
      </c>
      <c r="F822" s="1">
        <v>0.33333333333333298</v>
      </c>
    </row>
    <row r="823" spans="1:6" x14ac:dyDescent="0.35">
      <c r="A823" s="1">
        <v>1</v>
      </c>
      <c r="B823" s="1">
        <v>3</v>
      </c>
      <c r="C823" s="1">
        <v>1</v>
      </c>
      <c r="D823" s="1">
        <v>3</v>
      </c>
      <c r="E823" s="1">
        <v>1</v>
      </c>
      <c r="F823" s="1">
        <v>0.33333333333333298</v>
      </c>
    </row>
    <row r="824" spans="1:6" x14ac:dyDescent="0.35">
      <c r="A824" s="1">
        <v>7</v>
      </c>
      <c r="B824" s="1">
        <v>3</v>
      </c>
      <c r="C824" s="1">
        <v>0.14285714285714299</v>
      </c>
      <c r="D824" s="1">
        <v>3</v>
      </c>
      <c r="E824" s="1">
        <v>0.11111111111111099</v>
      </c>
      <c r="F824" s="1">
        <v>1</v>
      </c>
    </row>
    <row r="825" spans="1:6" x14ac:dyDescent="0.35">
      <c r="A825" s="1">
        <v>1</v>
      </c>
      <c r="B825" s="1">
        <v>1</v>
      </c>
      <c r="C825" s="1">
        <v>0.14285714285714299</v>
      </c>
      <c r="D825" s="1">
        <v>0.11111111111111099</v>
      </c>
      <c r="E825" s="1">
        <v>0.14285714285714299</v>
      </c>
      <c r="F825" s="1">
        <v>0.33333333333333298</v>
      </c>
    </row>
    <row r="826" spans="1:6" x14ac:dyDescent="0.35">
      <c r="A826" s="1">
        <v>1</v>
      </c>
      <c r="B826" s="1">
        <v>3</v>
      </c>
      <c r="C826" s="1">
        <v>1</v>
      </c>
      <c r="D826" s="1">
        <v>3</v>
      </c>
      <c r="E826" s="1">
        <v>1</v>
      </c>
      <c r="F826" s="1">
        <v>0.33333333333333298</v>
      </c>
    </row>
    <row r="827" spans="1:6" x14ac:dyDescent="0.35">
      <c r="A827" s="1">
        <v>1</v>
      </c>
      <c r="B827" s="1">
        <v>3</v>
      </c>
      <c r="C827" s="1">
        <v>1</v>
      </c>
      <c r="D827" s="1">
        <v>3</v>
      </c>
      <c r="E827" s="1">
        <v>1</v>
      </c>
      <c r="F827" s="1">
        <v>0.33333333333333298</v>
      </c>
    </row>
    <row r="828" spans="1:6" x14ac:dyDescent="0.35">
      <c r="A828" s="1">
        <v>3</v>
      </c>
      <c r="B828" s="1">
        <v>0.14285714285714299</v>
      </c>
      <c r="C828" s="1">
        <v>0.11111111111111099</v>
      </c>
      <c r="D828" s="1">
        <v>0.14285714285714299</v>
      </c>
      <c r="E828" s="1">
        <v>9</v>
      </c>
      <c r="F828" s="1">
        <v>9</v>
      </c>
    </row>
    <row r="829" spans="1:6" x14ac:dyDescent="0.35">
      <c r="A829" s="1">
        <v>3</v>
      </c>
      <c r="B829" s="1">
        <v>5</v>
      </c>
      <c r="C829" s="1">
        <v>0.33333333333333298</v>
      </c>
      <c r="D829" s="1">
        <v>1</v>
      </c>
      <c r="E829" s="1">
        <v>0.33333333333333298</v>
      </c>
      <c r="F829" s="1">
        <v>0.2</v>
      </c>
    </row>
    <row r="830" spans="1:6" x14ac:dyDescent="0.35">
      <c r="A830" s="1">
        <v>3</v>
      </c>
      <c r="B830" s="1">
        <v>5</v>
      </c>
      <c r="C830" s="1">
        <v>0.33333333333333298</v>
      </c>
      <c r="D830" s="1">
        <v>5</v>
      </c>
      <c r="E830" s="1">
        <v>0.33333333333333298</v>
      </c>
      <c r="F830" s="1">
        <v>0.2</v>
      </c>
    </row>
    <row r="831" spans="1:6" x14ac:dyDescent="0.35">
      <c r="A831" s="1">
        <v>7</v>
      </c>
      <c r="B831" s="1">
        <v>7</v>
      </c>
      <c r="C831" s="1">
        <v>7</v>
      </c>
      <c r="D831" s="1">
        <v>7</v>
      </c>
      <c r="E831" s="1">
        <v>7</v>
      </c>
      <c r="F831" s="1">
        <v>7</v>
      </c>
    </row>
    <row r="832" spans="1:6" x14ac:dyDescent="0.35">
      <c r="A832" s="1">
        <v>0.2</v>
      </c>
      <c r="B832" s="1">
        <v>0.33333333333333298</v>
      </c>
      <c r="C832" s="1">
        <v>5</v>
      </c>
      <c r="D832" s="1">
        <v>0.14285714285714299</v>
      </c>
      <c r="E832" s="1">
        <v>5</v>
      </c>
      <c r="F832" s="1">
        <v>1</v>
      </c>
    </row>
    <row r="833" spans="1:6" x14ac:dyDescent="0.35">
      <c r="A833" s="1">
        <v>1</v>
      </c>
      <c r="B833" s="1">
        <v>3</v>
      </c>
      <c r="C833" s="1">
        <v>0.33333333333333298</v>
      </c>
      <c r="D833" s="1">
        <v>3</v>
      </c>
      <c r="E833" s="1">
        <v>1</v>
      </c>
      <c r="F833" s="1">
        <v>0.33333333333333298</v>
      </c>
    </row>
    <row r="834" spans="1:6" x14ac:dyDescent="0.35">
      <c r="A834" s="1">
        <v>3</v>
      </c>
      <c r="B834" s="1">
        <v>3</v>
      </c>
      <c r="C834" s="1">
        <v>3</v>
      </c>
      <c r="D834" s="1">
        <v>3</v>
      </c>
      <c r="E834" s="1">
        <v>3</v>
      </c>
      <c r="F834" s="1">
        <v>3</v>
      </c>
    </row>
    <row r="835" spans="1:6" x14ac:dyDescent="0.35">
      <c r="A835" s="1">
        <v>0.33333333333333298</v>
      </c>
      <c r="B835" s="1">
        <v>3</v>
      </c>
      <c r="C835" s="1">
        <v>0.33333333333333298</v>
      </c>
      <c r="D835" s="1">
        <v>3</v>
      </c>
      <c r="E835" s="1">
        <v>3</v>
      </c>
      <c r="F835" s="1">
        <v>0.2</v>
      </c>
    </row>
    <row r="836" spans="1:6" x14ac:dyDescent="0.35">
      <c r="A836" s="1">
        <v>0.33333333333333298</v>
      </c>
      <c r="B836" s="1">
        <v>3</v>
      </c>
      <c r="C836" s="1">
        <v>3</v>
      </c>
      <c r="D836" s="1">
        <v>3</v>
      </c>
      <c r="E836" s="1">
        <v>5</v>
      </c>
      <c r="F836" s="1">
        <v>0.2</v>
      </c>
    </row>
    <row r="837" spans="1:6" x14ac:dyDescent="0.35">
      <c r="A837" s="1">
        <v>3</v>
      </c>
      <c r="B837" s="1">
        <v>3</v>
      </c>
      <c r="C837" s="1">
        <v>3</v>
      </c>
      <c r="D837" s="1">
        <v>3</v>
      </c>
      <c r="E837" s="1">
        <v>3</v>
      </c>
      <c r="F837" s="1">
        <v>1</v>
      </c>
    </row>
    <row r="838" spans="1:6" x14ac:dyDescent="0.35">
      <c r="A838" s="1">
        <v>7</v>
      </c>
      <c r="B838" s="1">
        <v>7</v>
      </c>
      <c r="C838" s="1">
        <v>7</v>
      </c>
      <c r="D838" s="1">
        <v>7</v>
      </c>
      <c r="E838" s="1">
        <v>7</v>
      </c>
      <c r="F838" s="1">
        <v>7</v>
      </c>
    </row>
    <row r="839" spans="1:6" x14ac:dyDescent="0.35">
      <c r="A839" s="1">
        <v>3</v>
      </c>
      <c r="B839" s="1">
        <v>5</v>
      </c>
      <c r="C839" s="1">
        <v>5</v>
      </c>
      <c r="D839" s="1">
        <v>7</v>
      </c>
      <c r="E839" s="1">
        <v>7</v>
      </c>
      <c r="F839" s="1">
        <v>5</v>
      </c>
    </row>
    <row r="840" spans="1:6" x14ac:dyDescent="0.35">
      <c r="A840" s="1">
        <v>3</v>
      </c>
      <c r="B840" s="1">
        <v>3</v>
      </c>
      <c r="C840" s="1">
        <v>5</v>
      </c>
      <c r="D840" s="1">
        <v>7</v>
      </c>
      <c r="E840" s="1">
        <v>3</v>
      </c>
      <c r="F840" s="1">
        <v>5</v>
      </c>
    </row>
    <row r="841" spans="1:6" x14ac:dyDescent="0.35">
      <c r="A841" s="1">
        <v>3</v>
      </c>
      <c r="B841" s="1">
        <v>3</v>
      </c>
      <c r="C841" s="1">
        <v>3</v>
      </c>
      <c r="D841" s="1">
        <v>3</v>
      </c>
      <c r="E841" s="1">
        <v>3</v>
      </c>
      <c r="F841" s="1">
        <v>0.14285714285714299</v>
      </c>
    </row>
    <row r="842" spans="1:6" x14ac:dyDescent="0.35">
      <c r="A842" s="1">
        <v>3</v>
      </c>
      <c r="B842" s="1">
        <v>0.11111111111111099</v>
      </c>
      <c r="C842" s="1">
        <v>7</v>
      </c>
      <c r="D842" s="1">
        <v>0.33333333333333298</v>
      </c>
      <c r="E842" s="1">
        <v>7</v>
      </c>
      <c r="F842" s="1">
        <v>0.14285714285714299</v>
      </c>
    </row>
    <row r="843" spans="1:6" x14ac:dyDescent="0.35">
      <c r="A843" s="1">
        <v>3</v>
      </c>
      <c r="B843" s="1">
        <v>3</v>
      </c>
      <c r="C843" s="1">
        <v>3</v>
      </c>
      <c r="D843" s="1">
        <v>3</v>
      </c>
      <c r="E843" s="1">
        <v>1</v>
      </c>
      <c r="F843" s="1">
        <v>0.33333333333333298</v>
      </c>
    </row>
    <row r="844" spans="1:6" x14ac:dyDescent="0.35">
      <c r="A844" s="1">
        <v>7</v>
      </c>
      <c r="B844" s="1">
        <v>7</v>
      </c>
      <c r="C844" s="1">
        <v>7</v>
      </c>
      <c r="D844" s="1">
        <v>7</v>
      </c>
      <c r="E844" s="1">
        <v>7</v>
      </c>
      <c r="F844" s="1">
        <v>7</v>
      </c>
    </row>
    <row r="845" spans="1:6" x14ac:dyDescent="0.35">
      <c r="A845" s="1">
        <v>3</v>
      </c>
      <c r="B845" s="1">
        <v>1</v>
      </c>
      <c r="C845" s="1">
        <v>0.33333333333333298</v>
      </c>
      <c r="D845" s="1">
        <v>3</v>
      </c>
      <c r="E845" s="1">
        <v>0.14285714285714299</v>
      </c>
      <c r="F845" s="1">
        <v>0.11111111111111099</v>
      </c>
    </row>
    <row r="846" spans="1:6" x14ac:dyDescent="0.35">
      <c r="A846" s="1">
        <v>3</v>
      </c>
      <c r="B846" s="1">
        <v>5</v>
      </c>
      <c r="C846" s="1">
        <v>3</v>
      </c>
      <c r="D846" s="1">
        <v>3</v>
      </c>
      <c r="E846" s="1">
        <v>5</v>
      </c>
      <c r="F846" s="1">
        <v>0.33333333333333298</v>
      </c>
    </row>
    <row r="847" spans="1:6" x14ac:dyDescent="0.35">
      <c r="A847" s="1">
        <v>0.33333333333333298</v>
      </c>
      <c r="B847" s="1">
        <v>0.33333333333333298</v>
      </c>
      <c r="C847" s="1">
        <v>0.33333333333333298</v>
      </c>
      <c r="D847" s="1">
        <v>3</v>
      </c>
      <c r="E847" s="1">
        <v>1</v>
      </c>
      <c r="F847" s="1">
        <v>0.33333333333333298</v>
      </c>
    </row>
    <row r="848" spans="1:6" x14ac:dyDescent="0.35">
      <c r="A848" s="1">
        <v>3</v>
      </c>
      <c r="B848" s="1">
        <v>1</v>
      </c>
      <c r="C848" s="1">
        <v>0.14285714285714299</v>
      </c>
      <c r="D848" s="1">
        <v>5</v>
      </c>
      <c r="E848" s="1">
        <v>1</v>
      </c>
      <c r="F848" s="1">
        <v>0.33333333333333298</v>
      </c>
    </row>
    <row r="849" spans="1:6" x14ac:dyDescent="0.35">
      <c r="A849" s="1">
        <v>0.11111111111111099</v>
      </c>
      <c r="B849" s="1">
        <v>3</v>
      </c>
      <c r="C849" s="1">
        <v>3</v>
      </c>
      <c r="D849" s="1">
        <v>0.11111111111111099</v>
      </c>
      <c r="E849" s="1">
        <v>7</v>
      </c>
      <c r="F849" s="1">
        <v>5</v>
      </c>
    </row>
    <row r="850" spans="1:6" x14ac:dyDescent="0.35">
      <c r="A850" s="1">
        <v>0.11111111111111099</v>
      </c>
      <c r="B850" s="1">
        <v>7</v>
      </c>
      <c r="C850" s="1">
        <v>9</v>
      </c>
      <c r="D850" s="1">
        <v>0.11111111111111099</v>
      </c>
      <c r="E850" s="1">
        <v>0.11111111111111099</v>
      </c>
      <c r="F850" s="1">
        <v>0.14285714285714299</v>
      </c>
    </row>
    <row r="851" spans="1:6" x14ac:dyDescent="0.35">
      <c r="A851" s="1">
        <v>3</v>
      </c>
      <c r="B851" s="1">
        <v>0.11111111111111099</v>
      </c>
      <c r="C851" s="1">
        <v>9</v>
      </c>
      <c r="D851" s="1">
        <v>7</v>
      </c>
      <c r="E851" s="1">
        <v>5</v>
      </c>
      <c r="F851" s="1">
        <v>0.33333333333333298</v>
      </c>
    </row>
    <row r="852" spans="1:6" x14ac:dyDescent="0.35">
      <c r="A852" s="1">
        <v>3</v>
      </c>
      <c r="B852" s="1">
        <v>0.33333333333333298</v>
      </c>
      <c r="C852" s="1">
        <v>0.11111111111111099</v>
      </c>
      <c r="D852" s="1">
        <v>7</v>
      </c>
      <c r="E852" s="1">
        <v>5</v>
      </c>
      <c r="F852" s="1">
        <v>0.33333333333333298</v>
      </c>
    </row>
    <row r="853" spans="1:6" x14ac:dyDescent="0.35">
      <c r="A853" s="1">
        <v>3</v>
      </c>
      <c r="B853" s="1">
        <v>5</v>
      </c>
      <c r="C853" s="1">
        <v>0.33333333333333298</v>
      </c>
      <c r="D853" s="1">
        <v>0.14285714285714299</v>
      </c>
      <c r="E853" s="1">
        <v>5</v>
      </c>
      <c r="F853" s="1">
        <v>3</v>
      </c>
    </row>
    <row r="854" spans="1:6" x14ac:dyDescent="0.35">
      <c r="A854" s="1">
        <v>5</v>
      </c>
      <c r="B854" s="1">
        <v>0.2</v>
      </c>
      <c r="C854" s="1">
        <v>0.14285714285714299</v>
      </c>
      <c r="D854" s="1">
        <v>3</v>
      </c>
      <c r="E854" s="1">
        <v>1</v>
      </c>
      <c r="F854" s="1">
        <v>5</v>
      </c>
    </row>
    <row r="855" spans="1:6" x14ac:dyDescent="0.35">
      <c r="A855" s="1">
        <v>5</v>
      </c>
      <c r="B855" s="1">
        <v>5</v>
      </c>
      <c r="C855" s="1">
        <v>0.11111111111111099</v>
      </c>
      <c r="D855" s="1">
        <v>0.11111111111111099</v>
      </c>
      <c r="E855" s="1">
        <v>0.11111111111111099</v>
      </c>
      <c r="F855" s="1">
        <v>0.33333333333333298</v>
      </c>
    </row>
    <row r="856" spans="1:6" x14ac:dyDescent="0.35">
      <c r="A856" s="1">
        <v>0.33333333333333298</v>
      </c>
      <c r="B856" s="1">
        <v>0.11111111111111099</v>
      </c>
      <c r="C856" s="1">
        <v>0.11111111111111099</v>
      </c>
      <c r="D856" s="1">
        <v>5</v>
      </c>
      <c r="E856" s="1">
        <v>7</v>
      </c>
      <c r="F856" s="1">
        <v>1</v>
      </c>
    </row>
    <row r="857" spans="1:6" x14ac:dyDescent="0.35">
      <c r="A857" s="1">
        <v>7</v>
      </c>
      <c r="B857" s="1">
        <v>7</v>
      </c>
      <c r="C857" s="1">
        <v>0.2</v>
      </c>
      <c r="D857" s="1">
        <v>1</v>
      </c>
      <c r="E857" s="1">
        <v>5</v>
      </c>
      <c r="F857" s="1">
        <v>0.2</v>
      </c>
    </row>
    <row r="858" spans="1:6" x14ac:dyDescent="0.35">
      <c r="A858" s="1">
        <v>9</v>
      </c>
      <c r="B858" s="1">
        <v>0.2</v>
      </c>
      <c r="C858" s="1">
        <v>3</v>
      </c>
      <c r="D858" s="1">
        <v>7</v>
      </c>
      <c r="E858" s="1">
        <v>0.33333333333333298</v>
      </c>
      <c r="F858" s="1">
        <v>5</v>
      </c>
    </row>
    <row r="859" spans="1:6" x14ac:dyDescent="0.35">
      <c r="A859" s="1">
        <v>0.11111111111111099</v>
      </c>
      <c r="B859" s="1">
        <v>0.2</v>
      </c>
      <c r="C859" s="1">
        <v>1</v>
      </c>
      <c r="D859" s="1">
        <v>3</v>
      </c>
      <c r="E859" s="1">
        <v>1</v>
      </c>
      <c r="F859" s="1">
        <v>0.33333333333333298</v>
      </c>
    </row>
    <row r="860" spans="1:6" x14ac:dyDescent="0.35">
      <c r="A860" s="1">
        <v>3</v>
      </c>
      <c r="B860" s="1">
        <v>7</v>
      </c>
      <c r="C860" s="1">
        <v>3</v>
      </c>
      <c r="D860" s="1">
        <v>1</v>
      </c>
      <c r="E860" s="1">
        <v>7</v>
      </c>
      <c r="F860" s="1">
        <v>7</v>
      </c>
    </row>
    <row r="861" spans="1:6" x14ac:dyDescent="0.35">
      <c r="A861" s="1">
        <v>3</v>
      </c>
      <c r="B861" s="1">
        <v>3</v>
      </c>
      <c r="C861" s="1">
        <v>5</v>
      </c>
      <c r="D861" s="1">
        <v>5</v>
      </c>
      <c r="E861" s="1">
        <v>7</v>
      </c>
      <c r="F861" s="1">
        <v>0.33333333333333298</v>
      </c>
    </row>
    <row r="862" spans="1:6" x14ac:dyDescent="0.35">
      <c r="A862" s="1">
        <v>5</v>
      </c>
      <c r="B862" s="1">
        <v>5</v>
      </c>
      <c r="C862" s="1">
        <v>0.11111111111111099</v>
      </c>
      <c r="D862" s="1">
        <v>7</v>
      </c>
      <c r="E862" s="1">
        <v>7</v>
      </c>
      <c r="F862" s="1">
        <v>0.11111111111111099</v>
      </c>
    </row>
    <row r="863" spans="1:6" x14ac:dyDescent="0.35">
      <c r="A863" s="1">
        <v>0.2</v>
      </c>
      <c r="B863" s="1">
        <v>9</v>
      </c>
      <c r="C863" s="1">
        <v>5</v>
      </c>
      <c r="D863" s="1">
        <v>5</v>
      </c>
      <c r="E863" s="1">
        <v>0.33333333333333298</v>
      </c>
      <c r="F863" s="1">
        <v>0.33333333333333298</v>
      </c>
    </row>
    <row r="864" spans="1:6" x14ac:dyDescent="0.35">
      <c r="A864" s="1">
        <v>3</v>
      </c>
      <c r="B864" s="1">
        <v>5</v>
      </c>
      <c r="C864" s="1">
        <v>5</v>
      </c>
      <c r="D864" s="1">
        <v>1</v>
      </c>
      <c r="E864" s="1">
        <v>5</v>
      </c>
      <c r="F864" s="1">
        <v>7</v>
      </c>
    </row>
    <row r="865" spans="1:6" x14ac:dyDescent="0.35">
      <c r="A865" s="1">
        <v>0.11111111111111099</v>
      </c>
      <c r="B865" s="1">
        <v>5</v>
      </c>
      <c r="C865" s="1">
        <v>5</v>
      </c>
      <c r="D865" s="1">
        <v>3</v>
      </c>
      <c r="E865" s="1">
        <v>7</v>
      </c>
      <c r="F865" s="1">
        <v>5</v>
      </c>
    </row>
    <row r="866" spans="1:6" x14ac:dyDescent="0.35">
      <c r="A866" s="1">
        <v>9</v>
      </c>
      <c r="B866" s="1">
        <v>9</v>
      </c>
      <c r="C866" s="1">
        <v>1</v>
      </c>
      <c r="D866" s="1">
        <v>1</v>
      </c>
      <c r="E866" s="1">
        <v>1</v>
      </c>
      <c r="F866" s="1">
        <v>9</v>
      </c>
    </row>
    <row r="867" spans="1:6" x14ac:dyDescent="0.35">
      <c r="A867" s="1">
        <v>1</v>
      </c>
      <c r="B867" s="1">
        <v>9</v>
      </c>
      <c r="C867" s="1">
        <v>0.11111111111111099</v>
      </c>
      <c r="D867" s="1">
        <v>9</v>
      </c>
      <c r="E867" s="1">
        <v>0.11111111111111099</v>
      </c>
      <c r="F867" s="1">
        <v>1</v>
      </c>
    </row>
    <row r="868" spans="1:6" x14ac:dyDescent="0.35">
      <c r="A868" s="1">
        <v>7</v>
      </c>
      <c r="B868" s="1">
        <v>7</v>
      </c>
      <c r="C868" s="1">
        <v>7</v>
      </c>
      <c r="D868" s="1">
        <v>7</v>
      </c>
      <c r="E868" s="1">
        <v>7</v>
      </c>
      <c r="F868" s="1">
        <v>0.14285714285714299</v>
      </c>
    </row>
    <row r="869" spans="1:6" x14ac:dyDescent="0.35">
      <c r="A869" s="1">
        <v>0.11111111111111099</v>
      </c>
      <c r="B869" s="1">
        <v>9</v>
      </c>
      <c r="C869" s="1">
        <v>9</v>
      </c>
      <c r="D869" s="1">
        <v>9</v>
      </c>
      <c r="E869" s="1">
        <v>9</v>
      </c>
      <c r="F869" s="1">
        <v>0.11111111111111099</v>
      </c>
    </row>
    <row r="870" spans="1:6" x14ac:dyDescent="0.35">
      <c r="A870" s="1">
        <v>0.11111111111111099</v>
      </c>
      <c r="B870" s="1">
        <v>9</v>
      </c>
      <c r="C870" s="1">
        <v>1</v>
      </c>
      <c r="D870" s="1">
        <v>9</v>
      </c>
      <c r="E870" s="1">
        <v>9</v>
      </c>
      <c r="F870" s="1">
        <v>1</v>
      </c>
    </row>
    <row r="871" spans="1:6" x14ac:dyDescent="0.35">
      <c r="A871" s="1">
        <v>7</v>
      </c>
      <c r="B871" s="1">
        <v>7</v>
      </c>
      <c r="C871" s="1">
        <v>0.14285714285714299</v>
      </c>
      <c r="D871" s="1">
        <v>7</v>
      </c>
      <c r="E871" s="1">
        <v>0.14285714285714299</v>
      </c>
      <c r="F871" s="1">
        <v>0.14285714285714299</v>
      </c>
    </row>
    <row r="872" spans="1:6" x14ac:dyDescent="0.35">
      <c r="A872" s="1">
        <v>1</v>
      </c>
      <c r="B872" s="1">
        <v>1</v>
      </c>
      <c r="C872" s="1">
        <v>1</v>
      </c>
      <c r="D872" s="1">
        <v>1</v>
      </c>
      <c r="E872" s="1">
        <v>1</v>
      </c>
      <c r="F872" s="1">
        <v>1</v>
      </c>
    </row>
    <row r="873" spans="1:6" x14ac:dyDescent="0.35">
      <c r="A873" s="1">
        <v>7</v>
      </c>
      <c r="B873" s="1">
        <v>1</v>
      </c>
      <c r="C873" s="1">
        <v>7</v>
      </c>
      <c r="D873" s="1">
        <v>7</v>
      </c>
      <c r="E873" s="1">
        <v>9</v>
      </c>
      <c r="F873" s="1">
        <v>7</v>
      </c>
    </row>
    <row r="874" spans="1:6" x14ac:dyDescent="0.35">
      <c r="A874" s="1">
        <v>0.14285714285714299</v>
      </c>
      <c r="B874" s="1">
        <v>7</v>
      </c>
      <c r="C874" s="1">
        <v>0.14285714285714299</v>
      </c>
      <c r="D874" s="1">
        <v>7</v>
      </c>
      <c r="E874" s="1">
        <v>7</v>
      </c>
      <c r="F874" s="1">
        <v>7</v>
      </c>
    </row>
    <row r="875" spans="1:6" x14ac:dyDescent="0.35">
      <c r="A875" s="1">
        <v>5</v>
      </c>
      <c r="B875" s="1">
        <v>7</v>
      </c>
      <c r="C875" s="1">
        <v>3</v>
      </c>
      <c r="D875" s="1">
        <v>9</v>
      </c>
      <c r="E875" s="1">
        <v>9</v>
      </c>
      <c r="F875" s="1">
        <v>0.14285714285714299</v>
      </c>
    </row>
    <row r="876" spans="1:6" x14ac:dyDescent="0.35">
      <c r="A876" s="1">
        <v>1</v>
      </c>
      <c r="B876" s="1">
        <v>1</v>
      </c>
      <c r="C876" s="1">
        <v>1</v>
      </c>
      <c r="D876" s="1">
        <v>1</v>
      </c>
      <c r="E876" s="1">
        <v>1</v>
      </c>
      <c r="F876" s="1">
        <v>1</v>
      </c>
    </row>
    <row r="877" spans="1:6" x14ac:dyDescent="0.35">
      <c r="A877" s="1">
        <v>7</v>
      </c>
      <c r="B877" s="1">
        <v>1</v>
      </c>
      <c r="C877" s="1">
        <v>7</v>
      </c>
      <c r="D877" s="1">
        <v>7</v>
      </c>
      <c r="E877" s="1">
        <v>7</v>
      </c>
      <c r="F877" s="1">
        <v>1</v>
      </c>
    </row>
    <row r="878" spans="1:6" x14ac:dyDescent="0.35">
      <c r="A878" s="1">
        <v>7</v>
      </c>
      <c r="B878" s="1">
        <v>3</v>
      </c>
      <c r="C878" s="1">
        <v>9</v>
      </c>
      <c r="D878" s="1">
        <v>9</v>
      </c>
      <c r="E878" s="1">
        <v>9</v>
      </c>
      <c r="F878" s="1">
        <v>1</v>
      </c>
    </row>
    <row r="879" spans="1:6" x14ac:dyDescent="0.35">
      <c r="A879" s="1">
        <v>9</v>
      </c>
      <c r="B879" s="1">
        <v>9</v>
      </c>
      <c r="C879" s="1">
        <v>1</v>
      </c>
      <c r="D879" s="1">
        <v>9</v>
      </c>
      <c r="E879" s="1">
        <v>9</v>
      </c>
      <c r="F879" s="1">
        <v>1</v>
      </c>
    </row>
    <row r="880" spans="1:6" x14ac:dyDescent="0.35">
      <c r="A880" s="1">
        <v>9</v>
      </c>
      <c r="B880" s="1">
        <v>9</v>
      </c>
      <c r="C880" s="1">
        <v>9</v>
      </c>
      <c r="D880" s="1">
        <v>9</v>
      </c>
      <c r="E880" s="1">
        <v>9</v>
      </c>
      <c r="F880" s="1">
        <v>9</v>
      </c>
    </row>
    <row r="881" spans="1:6" x14ac:dyDescent="0.35">
      <c r="A881" s="1">
        <v>7</v>
      </c>
      <c r="B881" s="1">
        <v>7</v>
      </c>
      <c r="C881" s="1">
        <v>7</v>
      </c>
      <c r="D881" s="1">
        <v>7</v>
      </c>
      <c r="E881" s="1">
        <v>7</v>
      </c>
      <c r="F881" s="1">
        <v>0.14285714285714299</v>
      </c>
    </row>
    <row r="882" spans="1:6" x14ac:dyDescent="0.35">
      <c r="A882" s="1">
        <v>1</v>
      </c>
      <c r="B882" s="1">
        <v>1</v>
      </c>
      <c r="C882" s="1">
        <v>1</v>
      </c>
      <c r="D882" s="1">
        <v>1</v>
      </c>
      <c r="E882" s="1">
        <v>1</v>
      </c>
      <c r="F882" s="1">
        <v>1</v>
      </c>
    </row>
    <row r="883" spans="1:6" x14ac:dyDescent="0.35">
      <c r="A883" s="1">
        <v>0.14285714285714299</v>
      </c>
      <c r="B883" s="1">
        <v>0.14285714285714299</v>
      </c>
      <c r="C883" s="1">
        <v>7</v>
      </c>
      <c r="D883" s="1">
        <v>0.14285714285714299</v>
      </c>
      <c r="E883" s="1">
        <v>0.14285714285714299</v>
      </c>
      <c r="F883" s="1">
        <v>7</v>
      </c>
    </row>
    <row r="884" spans="1:6" x14ac:dyDescent="0.35">
      <c r="A884" s="1">
        <v>1</v>
      </c>
      <c r="B884" s="1">
        <v>1</v>
      </c>
      <c r="C884" s="1">
        <v>1</v>
      </c>
      <c r="D884" s="1">
        <v>1</v>
      </c>
      <c r="E884" s="1">
        <v>1</v>
      </c>
      <c r="F884" s="1">
        <v>1</v>
      </c>
    </row>
    <row r="885" spans="1:6" x14ac:dyDescent="0.35">
      <c r="A885" s="1">
        <v>0.11111111111111099</v>
      </c>
      <c r="B885" s="1">
        <v>0.11111111111111099</v>
      </c>
      <c r="C885" s="1">
        <v>9</v>
      </c>
      <c r="D885" s="1">
        <v>0.11111111111111099</v>
      </c>
      <c r="E885" s="1">
        <v>0.11111111111111099</v>
      </c>
      <c r="F885" s="1">
        <v>9</v>
      </c>
    </row>
    <row r="886" spans="1:6" x14ac:dyDescent="0.35">
      <c r="A886" s="1">
        <v>0.11111111111111099</v>
      </c>
      <c r="B886" s="1">
        <v>0.11111111111111099</v>
      </c>
      <c r="C886" s="1">
        <v>0.11111111111111099</v>
      </c>
      <c r="D886" s="1">
        <v>0.11111111111111099</v>
      </c>
      <c r="E886" s="1">
        <v>0.11111111111111099</v>
      </c>
      <c r="F886" s="1">
        <v>0.11111111111111099</v>
      </c>
    </row>
    <row r="887" spans="1:6" x14ac:dyDescent="0.35">
      <c r="A887" s="1">
        <v>1</v>
      </c>
      <c r="B887" s="1">
        <v>1</v>
      </c>
      <c r="C887" s="1">
        <v>1</v>
      </c>
      <c r="D887" s="1">
        <v>1</v>
      </c>
      <c r="E887" s="1">
        <v>1</v>
      </c>
      <c r="F887" s="1">
        <v>1</v>
      </c>
    </row>
    <row r="888" spans="1:6" x14ac:dyDescent="0.35">
      <c r="A888" s="1">
        <v>7</v>
      </c>
      <c r="B888" s="1">
        <v>7</v>
      </c>
      <c r="C888" s="1">
        <v>0.14285714285714299</v>
      </c>
      <c r="D888" s="1">
        <v>7</v>
      </c>
      <c r="E888" s="1">
        <v>0.14285714285714299</v>
      </c>
      <c r="F888" s="1">
        <v>0.14285714285714299</v>
      </c>
    </row>
    <row r="889" spans="1:6" x14ac:dyDescent="0.35">
      <c r="A889" s="1">
        <v>1</v>
      </c>
      <c r="B889" s="1">
        <v>1</v>
      </c>
      <c r="C889" s="1">
        <v>1</v>
      </c>
      <c r="D889" s="1">
        <v>1</v>
      </c>
      <c r="E889" s="1">
        <v>1</v>
      </c>
      <c r="F889" s="1">
        <v>1</v>
      </c>
    </row>
    <row r="890" spans="1:6" x14ac:dyDescent="0.35">
      <c r="A890" s="1">
        <v>0.14285714285714299</v>
      </c>
      <c r="B890" s="1">
        <v>7</v>
      </c>
      <c r="C890" s="1">
        <v>0.14285714285714299</v>
      </c>
      <c r="D890" s="1">
        <v>7</v>
      </c>
      <c r="E890" s="1">
        <v>0.14285714285714299</v>
      </c>
      <c r="F890" s="1">
        <v>7</v>
      </c>
    </row>
    <row r="891" spans="1:6" x14ac:dyDescent="0.35">
      <c r="A891" s="1">
        <v>7</v>
      </c>
      <c r="B891" s="1">
        <v>0.14285714285714299</v>
      </c>
      <c r="C891" s="1">
        <v>7</v>
      </c>
      <c r="D891" s="1">
        <v>0.14285714285714299</v>
      </c>
      <c r="E891" s="1">
        <v>7</v>
      </c>
      <c r="F891" s="1">
        <v>0.14285714285714299</v>
      </c>
    </row>
    <row r="892" spans="1:6" x14ac:dyDescent="0.35">
      <c r="A892" s="1">
        <v>1</v>
      </c>
      <c r="B892" s="1">
        <v>1</v>
      </c>
      <c r="C892" s="1">
        <v>1</v>
      </c>
      <c r="D892" s="1">
        <v>1</v>
      </c>
      <c r="E892" s="1">
        <v>1</v>
      </c>
      <c r="F892" s="1">
        <v>1</v>
      </c>
    </row>
    <row r="893" spans="1:6" x14ac:dyDescent="0.35">
      <c r="A893" s="1">
        <v>1</v>
      </c>
      <c r="B893" s="1">
        <v>1</v>
      </c>
      <c r="C893" s="1">
        <v>1</v>
      </c>
      <c r="D893" s="1">
        <v>1</v>
      </c>
      <c r="E893" s="1">
        <v>1</v>
      </c>
      <c r="F893" s="1">
        <v>1</v>
      </c>
    </row>
    <row r="894" spans="1:6" x14ac:dyDescent="0.35">
      <c r="A894" s="1">
        <v>0.11111111111111099</v>
      </c>
      <c r="B894" s="1">
        <v>9</v>
      </c>
      <c r="C894" s="1">
        <v>0.11111111111111099</v>
      </c>
      <c r="D894" s="1">
        <v>9</v>
      </c>
      <c r="E894" s="1">
        <v>9</v>
      </c>
      <c r="F894" s="1">
        <v>0.11111111111111099</v>
      </c>
    </row>
    <row r="895" spans="1:6" x14ac:dyDescent="0.35">
      <c r="A895" s="1">
        <v>0.11111111111111099</v>
      </c>
      <c r="B895" s="1">
        <v>9</v>
      </c>
      <c r="C895" s="1">
        <v>0.11111111111111099</v>
      </c>
      <c r="D895" s="1">
        <v>9</v>
      </c>
      <c r="E895" s="1">
        <v>9</v>
      </c>
      <c r="F895" s="1">
        <v>0.11111111111111099</v>
      </c>
    </row>
    <row r="896" spans="1:6" x14ac:dyDescent="0.35">
      <c r="A896" s="1">
        <v>1</v>
      </c>
      <c r="B896" s="1">
        <v>1</v>
      </c>
      <c r="C896" s="1">
        <v>1</v>
      </c>
      <c r="D896" s="1">
        <v>1</v>
      </c>
      <c r="E896" s="1">
        <v>1</v>
      </c>
      <c r="F896" s="1">
        <v>1</v>
      </c>
    </row>
    <row r="897" spans="1:6" x14ac:dyDescent="0.35">
      <c r="A897" s="1">
        <v>0.14285714285714299</v>
      </c>
      <c r="B897" s="1">
        <v>7</v>
      </c>
      <c r="C897" s="1">
        <v>0.14285714285714299</v>
      </c>
      <c r="D897" s="1">
        <v>7</v>
      </c>
      <c r="E897" s="1">
        <v>5</v>
      </c>
      <c r="F897" s="1">
        <v>0.14285714285714299</v>
      </c>
    </row>
    <row r="898" spans="1:6" x14ac:dyDescent="0.35">
      <c r="A898" s="1">
        <v>1</v>
      </c>
      <c r="B898" s="1">
        <v>1</v>
      </c>
      <c r="C898" s="1">
        <v>1</v>
      </c>
      <c r="D898" s="1">
        <v>1</v>
      </c>
      <c r="E898" s="1">
        <v>1</v>
      </c>
      <c r="F898" s="1">
        <v>1</v>
      </c>
    </row>
    <row r="899" spans="1:6" x14ac:dyDescent="0.35">
      <c r="A899" s="1">
        <v>1</v>
      </c>
      <c r="B899" s="1">
        <v>1</v>
      </c>
      <c r="C899" s="1">
        <v>1</v>
      </c>
      <c r="D899" s="1">
        <v>1</v>
      </c>
      <c r="E899" s="1">
        <v>1</v>
      </c>
      <c r="F899" s="1">
        <v>1</v>
      </c>
    </row>
    <row r="900" spans="1:6" x14ac:dyDescent="0.35">
      <c r="A900" s="1">
        <v>0.11111111111111099</v>
      </c>
      <c r="B900" s="1">
        <v>9</v>
      </c>
      <c r="C900" s="1">
        <v>0.11111111111111099</v>
      </c>
      <c r="D900" s="1">
        <v>9</v>
      </c>
      <c r="E900" s="1">
        <v>0.11111111111111099</v>
      </c>
      <c r="F900" s="1">
        <v>0.11111111111111099</v>
      </c>
    </row>
    <row r="901" spans="1:6" x14ac:dyDescent="0.35">
      <c r="A901" s="1">
        <v>1</v>
      </c>
      <c r="B901" s="1">
        <v>0.2</v>
      </c>
      <c r="C901" s="1">
        <v>1</v>
      </c>
      <c r="D901" s="1">
        <v>1</v>
      </c>
      <c r="E901" s="1">
        <v>1</v>
      </c>
      <c r="F901" s="1">
        <v>1</v>
      </c>
    </row>
    <row r="902" spans="1:6" x14ac:dyDescent="0.35">
      <c r="A902" s="1">
        <v>1</v>
      </c>
      <c r="B902" s="1">
        <v>1</v>
      </c>
      <c r="C902" s="1">
        <v>1</v>
      </c>
      <c r="D902" s="1">
        <v>1</v>
      </c>
      <c r="E902" s="1">
        <v>1</v>
      </c>
      <c r="F902" s="1">
        <v>1</v>
      </c>
    </row>
    <row r="903" spans="1:6" x14ac:dyDescent="0.35">
      <c r="A903" s="1">
        <v>1</v>
      </c>
      <c r="B903" s="1">
        <v>1</v>
      </c>
      <c r="C903" s="1">
        <v>1</v>
      </c>
      <c r="D903" s="1">
        <v>1</v>
      </c>
      <c r="E903" s="1">
        <v>1</v>
      </c>
      <c r="F903" s="1">
        <v>1</v>
      </c>
    </row>
    <row r="904" spans="1:6" x14ac:dyDescent="0.35">
      <c r="A904" s="1">
        <v>3</v>
      </c>
      <c r="B904" s="1">
        <v>3</v>
      </c>
      <c r="C904" s="1">
        <v>0.14285714285714299</v>
      </c>
      <c r="D904" s="1">
        <v>5</v>
      </c>
      <c r="E904" s="1">
        <v>0.14285714285714299</v>
      </c>
      <c r="F904" s="1">
        <v>0.14285714285714299</v>
      </c>
    </row>
    <row r="905" spans="1:6" x14ac:dyDescent="0.35">
      <c r="A905" s="1">
        <v>5</v>
      </c>
      <c r="B905" s="1">
        <v>5</v>
      </c>
      <c r="C905" s="1">
        <v>7</v>
      </c>
      <c r="D905" s="1">
        <v>5</v>
      </c>
      <c r="E905" s="1">
        <v>5</v>
      </c>
      <c r="F905" s="1">
        <v>1</v>
      </c>
    </row>
    <row r="906" spans="1:6" x14ac:dyDescent="0.35">
      <c r="A906" s="1">
        <v>0.2</v>
      </c>
      <c r="B906" s="1">
        <v>3</v>
      </c>
      <c r="C906" s="1">
        <v>3</v>
      </c>
      <c r="D906" s="1">
        <v>0.14285714285714299</v>
      </c>
      <c r="E906" s="1">
        <v>7</v>
      </c>
      <c r="F906" s="1">
        <v>3</v>
      </c>
    </row>
    <row r="907" spans="1:6" x14ac:dyDescent="0.35">
      <c r="A907" s="1">
        <v>1</v>
      </c>
      <c r="B907" s="1">
        <v>1</v>
      </c>
      <c r="C907" s="1">
        <v>1</v>
      </c>
      <c r="D907" s="1">
        <v>1</v>
      </c>
      <c r="E907" s="1">
        <v>1</v>
      </c>
      <c r="F907" s="1">
        <v>1</v>
      </c>
    </row>
    <row r="908" spans="1:6" x14ac:dyDescent="0.35">
      <c r="A908" s="1">
        <v>0.14285714285714299</v>
      </c>
      <c r="B908" s="1">
        <v>3</v>
      </c>
      <c r="C908" s="1">
        <v>0.2</v>
      </c>
      <c r="D908" s="1">
        <v>7</v>
      </c>
      <c r="E908" s="1">
        <v>5</v>
      </c>
      <c r="F908" s="1">
        <v>0.2</v>
      </c>
    </row>
    <row r="909" spans="1:6" x14ac:dyDescent="0.35">
      <c r="A909" s="1">
        <v>1</v>
      </c>
      <c r="B909" s="1">
        <v>0.2</v>
      </c>
      <c r="C909" s="1">
        <v>3</v>
      </c>
      <c r="D909" s="1">
        <v>0.14285714285714299</v>
      </c>
      <c r="E909" s="1">
        <v>3</v>
      </c>
      <c r="F909" s="1">
        <v>7</v>
      </c>
    </row>
    <row r="910" spans="1:6" x14ac:dyDescent="0.35">
      <c r="A910" s="1">
        <v>0.2</v>
      </c>
      <c r="B910" s="1">
        <v>3</v>
      </c>
      <c r="C910" s="1">
        <v>3</v>
      </c>
      <c r="D910" s="1">
        <v>0.14285714285714299</v>
      </c>
      <c r="E910" s="1">
        <v>7</v>
      </c>
      <c r="F910" s="1">
        <v>1</v>
      </c>
    </row>
    <row r="911" spans="1:6" x14ac:dyDescent="0.35">
      <c r="A911" s="1">
        <v>1</v>
      </c>
      <c r="B911" s="1">
        <v>1</v>
      </c>
      <c r="C911" s="1">
        <v>1</v>
      </c>
      <c r="D911" s="1">
        <v>1</v>
      </c>
      <c r="E911" s="1">
        <v>1</v>
      </c>
      <c r="F911" s="1">
        <v>1</v>
      </c>
    </row>
    <row r="912" spans="1:6" x14ac:dyDescent="0.35">
      <c r="A912" s="1">
        <v>1</v>
      </c>
      <c r="B912" s="1">
        <v>5</v>
      </c>
      <c r="C912" s="1">
        <v>0.14285714285714299</v>
      </c>
      <c r="D912" s="1">
        <v>5</v>
      </c>
      <c r="E912" s="1">
        <v>0.14285714285714299</v>
      </c>
      <c r="F912" s="1">
        <v>0.11111111111111099</v>
      </c>
    </row>
    <row r="913" spans="1:6" x14ac:dyDescent="0.35">
      <c r="A913" s="1">
        <v>5</v>
      </c>
      <c r="B913" s="1">
        <v>7</v>
      </c>
      <c r="C913" s="1">
        <v>7</v>
      </c>
      <c r="D913" s="1">
        <v>5</v>
      </c>
      <c r="E913" s="1">
        <v>5</v>
      </c>
      <c r="F913" s="1">
        <v>0.2</v>
      </c>
    </row>
    <row r="914" spans="1:6" x14ac:dyDescent="0.35">
      <c r="A914" s="1">
        <v>0.2</v>
      </c>
      <c r="B914" s="1">
        <v>3</v>
      </c>
      <c r="C914" s="1">
        <v>3</v>
      </c>
      <c r="D914" s="1">
        <v>5</v>
      </c>
      <c r="E914" s="1">
        <v>5</v>
      </c>
      <c r="F914" s="1">
        <v>1</v>
      </c>
    </row>
    <row r="915" spans="1:6" x14ac:dyDescent="0.35">
      <c r="A915" s="1">
        <v>0.2</v>
      </c>
      <c r="B915" s="1">
        <v>7</v>
      </c>
      <c r="C915" s="1">
        <v>0.14285714285714299</v>
      </c>
      <c r="D915" s="1">
        <v>7</v>
      </c>
      <c r="E915" s="1">
        <v>0.14285714285714299</v>
      </c>
      <c r="F915" s="1">
        <v>0.11111111111111099</v>
      </c>
    </row>
    <row r="916" spans="1:6" x14ac:dyDescent="0.35">
      <c r="A916" s="1">
        <v>5</v>
      </c>
      <c r="B916" s="1">
        <v>7</v>
      </c>
      <c r="C916" s="1">
        <v>7</v>
      </c>
      <c r="D916" s="1">
        <v>3</v>
      </c>
      <c r="E916" s="1">
        <v>3</v>
      </c>
      <c r="F916" s="1">
        <v>1</v>
      </c>
    </row>
    <row r="917" spans="1:6" x14ac:dyDescent="0.35">
      <c r="A917" s="1">
        <v>5</v>
      </c>
      <c r="B917" s="1">
        <v>7</v>
      </c>
      <c r="C917" s="1">
        <v>7</v>
      </c>
      <c r="D917" s="1">
        <v>5</v>
      </c>
      <c r="E917" s="1">
        <v>5</v>
      </c>
      <c r="F917" s="1">
        <v>0.33333333333333298</v>
      </c>
    </row>
    <row r="918" spans="1:6" x14ac:dyDescent="0.35">
      <c r="A918" s="1">
        <v>0.14285714285714299</v>
      </c>
      <c r="B918" s="1">
        <v>3</v>
      </c>
      <c r="C918" s="1">
        <v>3</v>
      </c>
      <c r="D918" s="1">
        <v>7</v>
      </c>
      <c r="E918" s="1">
        <v>7</v>
      </c>
      <c r="F918" s="1">
        <v>3</v>
      </c>
    </row>
    <row r="919" spans="1:6" x14ac:dyDescent="0.35">
      <c r="A919" s="1">
        <v>0.2</v>
      </c>
      <c r="B919" s="1">
        <v>3</v>
      </c>
      <c r="C919" s="1">
        <v>0.2</v>
      </c>
      <c r="D919" s="1">
        <v>5</v>
      </c>
      <c r="E919" s="1">
        <v>0.2</v>
      </c>
      <c r="F919" s="1">
        <v>0.2</v>
      </c>
    </row>
    <row r="920" spans="1:6" x14ac:dyDescent="0.35">
      <c r="A920" s="1">
        <v>1</v>
      </c>
      <c r="B920" s="1">
        <v>0.2</v>
      </c>
      <c r="C920" s="1">
        <v>1</v>
      </c>
      <c r="D920" s="1">
        <v>0.2</v>
      </c>
      <c r="E920" s="1">
        <v>1</v>
      </c>
      <c r="F920" s="1">
        <v>5</v>
      </c>
    </row>
    <row r="921" spans="1:6" x14ac:dyDescent="0.35">
      <c r="A921" s="1">
        <v>0.33333333333333298</v>
      </c>
      <c r="B921" s="1">
        <v>3</v>
      </c>
      <c r="C921" s="1">
        <v>0.14285714285714299</v>
      </c>
      <c r="D921" s="1">
        <v>3</v>
      </c>
      <c r="E921" s="1">
        <v>0.14285714285714299</v>
      </c>
      <c r="F921" s="1">
        <v>0.14285714285714299</v>
      </c>
    </row>
    <row r="922" spans="1:6" x14ac:dyDescent="0.35">
      <c r="A922" s="1">
        <v>0.14285714285714299</v>
      </c>
      <c r="B922" s="1">
        <v>0.2</v>
      </c>
      <c r="C922" s="1">
        <v>3</v>
      </c>
      <c r="D922" s="1">
        <v>7</v>
      </c>
      <c r="E922" s="1">
        <v>7</v>
      </c>
      <c r="F922" s="1">
        <v>3</v>
      </c>
    </row>
    <row r="923" spans="1:6" x14ac:dyDescent="0.35">
      <c r="A923" s="1">
        <v>5</v>
      </c>
      <c r="B923" s="1">
        <v>5</v>
      </c>
      <c r="C923" s="1">
        <v>3</v>
      </c>
      <c r="D923" s="1">
        <v>5</v>
      </c>
      <c r="E923" s="1">
        <v>0.2</v>
      </c>
      <c r="F923" s="1">
        <v>0.14285714285714299</v>
      </c>
    </row>
    <row r="924" spans="1:6" x14ac:dyDescent="0.35">
      <c r="A924" s="1">
        <v>3</v>
      </c>
      <c r="B924" s="1">
        <v>5</v>
      </c>
      <c r="C924" s="1">
        <v>0.14285714285714299</v>
      </c>
      <c r="D924" s="1">
        <v>5</v>
      </c>
      <c r="E924" s="1">
        <v>0.14285714285714299</v>
      </c>
      <c r="F924" s="1">
        <v>0.11111111111111099</v>
      </c>
    </row>
    <row r="925" spans="1:6" x14ac:dyDescent="0.35">
      <c r="A925" s="1">
        <v>7</v>
      </c>
      <c r="B925" s="1">
        <v>7</v>
      </c>
      <c r="C925" s="1">
        <v>7</v>
      </c>
      <c r="D925" s="1">
        <v>5</v>
      </c>
      <c r="E925" s="1">
        <v>5</v>
      </c>
      <c r="F925" s="1">
        <v>3</v>
      </c>
    </row>
    <row r="926" spans="1:6" x14ac:dyDescent="0.35">
      <c r="A926" s="1">
        <v>1</v>
      </c>
      <c r="B926" s="1">
        <v>1</v>
      </c>
      <c r="C926" s="1">
        <v>1</v>
      </c>
      <c r="D926" s="1">
        <v>1</v>
      </c>
      <c r="E926" s="1">
        <v>1</v>
      </c>
      <c r="F926" s="1">
        <v>1</v>
      </c>
    </row>
    <row r="927" spans="1:6" x14ac:dyDescent="0.35">
      <c r="A927" s="1">
        <v>1</v>
      </c>
      <c r="B927" s="1">
        <v>1</v>
      </c>
      <c r="C927" s="1">
        <v>1</v>
      </c>
      <c r="D927" s="1">
        <v>1</v>
      </c>
      <c r="E927" s="1">
        <v>1</v>
      </c>
      <c r="F927" s="1">
        <v>1</v>
      </c>
    </row>
    <row r="928" spans="1:6" x14ac:dyDescent="0.35">
      <c r="A928" s="1">
        <v>1</v>
      </c>
      <c r="B928" s="1">
        <v>1</v>
      </c>
      <c r="C928" s="1">
        <v>1</v>
      </c>
      <c r="D928" s="1">
        <v>1</v>
      </c>
      <c r="E928" s="1">
        <v>1</v>
      </c>
      <c r="F928" s="1">
        <v>1</v>
      </c>
    </row>
    <row r="929" spans="1:6" x14ac:dyDescent="0.35">
      <c r="A929" s="1">
        <v>9</v>
      </c>
      <c r="B929" s="1">
        <v>0.33333333333333298</v>
      </c>
      <c r="C929" s="1">
        <v>0.33333333333333298</v>
      </c>
      <c r="D929" s="1">
        <v>3</v>
      </c>
      <c r="E929" s="1">
        <v>0.33333333333333298</v>
      </c>
      <c r="F929" s="1">
        <v>0.33333333333333298</v>
      </c>
    </row>
    <row r="930" spans="1:6" x14ac:dyDescent="0.35">
      <c r="A930" s="1">
        <v>1</v>
      </c>
      <c r="B930" s="1">
        <v>7</v>
      </c>
      <c r="C930" s="1">
        <v>5</v>
      </c>
      <c r="D930" s="1">
        <v>5</v>
      </c>
      <c r="E930" s="1">
        <v>1</v>
      </c>
      <c r="F930" s="1">
        <v>1</v>
      </c>
    </row>
    <row r="931" spans="1:6" x14ac:dyDescent="0.35">
      <c r="A931" s="1">
        <v>1</v>
      </c>
      <c r="B931" s="1">
        <v>9</v>
      </c>
      <c r="C931" s="1">
        <v>1</v>
      </c>
      <c r="D931" s="1">
        <v>7</v>
      </c>
      <c r="E931" s="1">
        <v>1</v>
      </c>
      <c r="F931" s="1">
        <v>0.33333333333333298</v>
      </c>
    </row>
    <row r="932" spans="1:6" x14ac:dyDescent="0.35">
      <c r="A932" s="1">
        <v>3</v>
      </c>
      <c r="B932" s="1">
        <v>5</v>
      </c>
      <c r="C932" s="1">
        <v>1</v>
      </c>
      <c r="D932" s="1">
        <v>3</v>
      </c>
      <c r="E932" s="1">
        <v>3</v>
      </c>
      <c r="F932" s="1">
        <v>3</v>
      </c>
    </row>
    <row r="933" spans="1:6" x14ac:dyDescent="0.35">
      <c r="A933" s="1">
        <v>1</v>
      </c>
      <c r="B933" s="1">
        <v>7</v>
      </c>
      <c r="C933" s="1">
        <v>1</v>
      </c>
      <c r="D933" s="1">
        <v>7</v>
      </c>
      <c r="E933" s="1">
        <v>5</v>
      </c>
      <c r="F933" s="1">
        <v>0.2</v>
      </c>
    </row>
    <row r="934" spans="1:6" x14ac:dyDescent="0.35">
      <c r="A934" s="1">
        <v>7</v>
      </c>
      <c r="B934" s="1">
        <v>5</v>
      </c>
      <c r="C934" s="1">
        <v>5</v>
      </c>
      <c r="D934" s="1">
        <v>7</v>
      </c>
      <c r="E934" s="1">
        <v>1</v>
      </c>
      <c r="F934" s="1">
        <v>1</v>
      </c>
    </row>
    <row r="935" spans="1:6" x14ac:dyDescent="0.35">
      <c r="A935" s="1">
        <v>1</v>
      </c>
      <c r="B935" s="1">
        <v>5</v>
      </c>
      <c r="C935" s="1">
        <v>5</v>
      </c>
      <c r="D935" s="1">
        <v>7</v>
      </c>
      <c r="E935" s="1">
        <v>0.33333333333333298</v>
      </c>
      <c r="F935" s="1">
        <v>0.33333333333333298</v>
      </c>
    </row>
    <row r="936" spans="1:6" x14ac:dyDescent="0.35">
      <c r="A936" s="1">
        <v>1</v>
      </c>
      <c r="B936" s="1">
        <v>3</v>
      </c>
      <c r="C936" s="1">
        <v>5</v>
      </c>
      <c r="D936" s="1">
        <v>5</v>
      </c>
      <c r="E936" s="1">
        <v>5</v>
      </c>
      <c r="F936" s="1">
        <v>7</v>
      </c>
    </row>
    <row r="937" spans="1:6" x14ac:dyDescent="0.35">
      <c r="A937" s="1">
        <v>1</v>
      </c>
      <c r="B937" s="1">
        <v>7</v>
      </c>
      <c r="C937" s="1">
        <v>5</v>
      </c>
      <c r="D937" s="1">
        <v>7</v>
      </c>
      <c r="E937" s="1">
        <v>7</v>
      </c>
      <c r="F937" s="1">
        <v>0.14285714285714299</v>
      </c>
    </row>
    <row r="938" spans="1:6" x14ac:dyDescent="0.35">
      <c r="A938" s="1">
        <v>0.2</v>
      </c>
      <c r="B938" s="1">
        <v>7</v>
      </c>
      <c r="C938" s="1">
        <v>7</v>
      </c>
      <c r="D938" s="1">
        <v>7</v>
      </c>
      <c r="E938" s="1">
        <v>9</v>
      </c>
      <c r="F938" s="1">
        <v>0.33333333333333298</v>
      </c>
    </row>
    <row r="939" spans="1:6" x14ac:dyDescent="0.35">
      <c r="A939" s="1">
        <v>1</v>
      </c>
      <c r="B939" s="1">
        <v>7</v>
      </c>
      <c r="C939" s="1">
        <v>1</v>
      </c>
      <c r="D939" s="1">
        <v>7</v>
      </c>
      <c r="E939" s="1">
        <v>9</v>
      </c>
      <c r="F939" s="1">
        <v>0.33333333333333298</v>
      </c>
    </row>
    <row r="940" spans="1:6" x14ac:dyDescent="0.35">
      <c r="A940" s="1">
        <v>1</v>
      </c>
      <c r="B940" s="1">
        <v>7</v>
      </c>
      <c r="C940" s="1">
        <v>1</v>
      </c>
      <c r="D940" s="1">
        <v>7</v>
      </c>
      <c r="E940" s="1">
        <v>7</v>
      </c>
      <c r="F940" s="1">
        <v>0.2</v>
      </c>
    </row>
    <row r="941" spans="1:6" x14ac:dyDescent="0.35">
      <c r="A941" s="1">
        <v>1</v>
      </c>
      <c r="B941" s="1">
        <v>7</v>
      </c>
      <c r="C941" s="1">
        <v>1</v>
      </c>
      <c r="D941" s="1">
        <v>5</v>
      </c>
      <c r="E941" s="1">
        <v>3</v>
      </c>
      <c r="F941" s="1">
        <v>0.33333333333333298</v>
      </c>
    </row>
    <row r="942" spans="1:6" x14ac:dyDescent="0.35">
      <c r="A942" s="1">
        <v>7</v>
      </c>
      <c r="B942" s="1">
        <v>7</v>
      </c>
      <c r="C942" s="1">
        <v>7</v>
      </c>
      <c r="D942" s="1">
        <v>7</v>
      </c>
      <c r="E942" s="1">
        <v>7</v>
      </c>
      <c r="F942" s="1">
        <v>0.33333333333333298</v>
      </c>
    </row>
    <row r="943" spans="1:6" x14ac:dyDescent="0.35">
      <c r="A943" s="1">
        <v>0.33333333333333298</v>
      </c>
      <c r="B943" s="1">
        <v>0.33333333333333298</v>
      </c>
      <c r="C943" s="1">
        <v>1</v>
      </c>
      <c r="D943" s="1">
        <v>1</v>
      </c>
      <c r="E943" s="1">
        <v>0.33333333333333298</v>
      </c>
      <c r="F943" s="1">
        <v>0.33333333333333298</v>
      </c>
    </row>
    <row r="944" spans="1:6" x14ac:dyDescent="0.35">
      <c r="A944" s="1">
        <v>5</v>
      </c>
      <c r="B944" s="1">
        <v>7</v>
      </c>
      <c r="C944" s="1">
        <v>9</v>
      </c>
      <c r="D944" s="1">
        <v>5</v>
      </c>
      <c r="E944" s="1">
        <v>7</v>
      </c>
      <c r="F944" s="1">
        <v>1</v>
      </c>
    </row>
    <row r="945" spans="1:6" x14ac:dyDescent="0.35">
      <c r="A945" s="1">
        <v>0.33333333333333298</v>
      </c>
      <c r="B945" s="1">
        <v>0.33333333333333298</v>
      </c>
      <c r="C945" s="1">
        <v>3</v>
      </c>
      <c r="D945" s="1">
        <v>3</v>
      </c>
      <c r="E945" s="1">
        <v>0.33333333333333298</v>
      </c>
      <c r="F945" s="1">
        <v>1</v>
      </c>
    </row>
    <row r="946" spans="1:6" x14ac:dyDescent="0.35">
      <c r="A946" s="1">
        <v>1</v>
      </c>
      <c r="B946" s="1">
        <v>7</v>
      </c>
      <c r="C946" s="1">
        <v>5</v>
      </c>
      <c r="D946" s="1">
        <v>5</v>
      </c>
      <c r="E946" s="1">
        <v>5</v>
      </c>
      <c r="F946" s="1">
        <v>0.2</v>
      </c>
    </row>
    <row r="947" spans="1:6" x14ac:dyDescent="0.35">
      <c r="A947" s="1">
        <v>1</v>
      </c>
      <c r="B947" s="1">
        <v>1</v>
      </c>
      <c r="C947" s="1">
        <v>1</v>
      </c>
      <c r="D947" s="1">
        <v>1</v>
      </c>
      <c r="E947" s="1">
        <v>1</v>
      </c>
      <c r="F947" s="1">
        <v>1</v>
      </c>
    </row>
    <row r="948" spans="1:6" x14ac:dyDescent="0.35">
      <c r="A948" s="1">
        <v>7</v>
      </c>
      <c r="B948" s="1">
        <v>9</v>
      </c>
      <c r="C948" s="1">
        <v>9</v>
      </c>
      <c r="D948" s="1">
        <v>7</v>
      </c>
      <c r="E948" s="1">
        <v>7</v>
      </c>
      <c r="F948" s="1">
        <v>0.2</v>
      </c>
    </row>
    <row r="949" spans="1:6" x14ac:dyDescent="0.35">
      <c r="A949" s="1">
        <v>1</v>
      </c>
      <c r="B949" s="1">
        <v>5</v>
      </c>
      <c r="C949" s="1">
        <v>0.2</v>
      </c>
      <c r="D949" s="1">
        <v>7</v>
      </c>
      <c r="E949" s="1">
        <v>1</v>
      </c>
      <c r="F949" s="1">
        <v>0.14285714285714299</v>
      </c>
    </row>
    <row r="950" spans="1:6" x14ac:dyDescent="0.35">
      <c r="A950" s="1">
        <v>5</v>
      </c>
      <c r="B950" s="1">
        <v>7</v>
      </c>
      <c r="C950" s="1">
        <v>7</v>
      </c>
      <c r="D950" s="1">
        <v>1</v>
      </c>
      <c r="E950" s="1">
        <v>7</v>
      </c>
      <c r="F950" s="1">
        <v>0.33333333333333298</v>
      </c>
    </row>
    <row r="951" spans="1:6" x14ac:dyDescent="0.35">
      <c r="A951" s="1">
        <v>5</v>
      </c>
      <c r="B951" s="1">
        <v>7</v>
      </c>
      <c r="C951" s="1">
        <v>0.2</v>
      </c>
      <c r="D951" s="1">
        <v>7</v>
      </c>
      <c r="E951" s="1">
        <v>0.2</v>
      </c>
      <c r="F951" s="1">
        <v>0.11111111111111099</v>
      </c>
    </row>
    <row r="952" spans="1:6" x14ac:dyDescent="0.35">
      <c r="A952" s="1">
        <v>1</v>
      </c>
      <c r="B952" s="1">
        <v>5</v>
      </c>
      <c r="C952" s="1">
        <v>1</v>
      </c>
      <c r="D952" s="1">
        <v>7</v>
      </c>
      <c r="E952" s="1">
        <v>1</v>
      </c>
      <c r="F952" s="1">
        <v>0.11111111111111099</v>
      </c>
    </row>
    <row r="953" spans="1:6" x14ac:dyDescent="0.35">
      <c r="A953" s="1">
        <v>1</v>
      </c>
      <c r="B953" s="1">
        <v>9</v>
      </c>
      <c r="C953" s="1">
        <v>0.2</v>
      </c>
      <c r="D953" s="1">
        <v>7</v>
      </c>
      <c r="E953" s="1">
        <v>1</v>
      </c>
      <c r="F953" s="1">
        <v>0.2</v>
      </c>
    </row>
    <row r="954" spans="1:6" x14ac:dyDescent="0.35">
      <c r="A954" s="1">
        <v>1</v>
      </c>
      <c r="B954" s="1">
        <v>7</v>
      </c>
      <c r="C954" s="1">
        <v>0.14285714285714299</v>
      </c>
      <c r="D954" s="1">
        <v>7</v>
      </c>
      <c r="E954" s="1">
        <v>0.2</v>
      </c>
      <c r="F954" s="1">
        <v>0.11111111111111099</v>
      </c>
    </row>
    <row r="955" spans="1:6" x14ac:dyDescent="0.35">
      <c r="A955" s="1">
        <v>1</v>
      </c>
      <c r="B955" s="1">
        <v>5</v>
      </c>
      <c r="C955" s="1">
        <v>0.14285714285714299</v>
      </c>
      <c r="D955" s="1">
        <v>7</v>
      </c>
      <c r="E955" s="1">
        <v>0.2</v>
      </c>
      <c r="F955" s="1">
        <v>0.11111111111111099</v>
      </c>
    </row>
    <row r="956" spans="1:6" x14ac:dyDescent="0.35">
      <c r="A956" s="1">
        <v>1</v>
      </c>
      <c r="B956" s="1">
        <v>7</v>
      </c>
      <c r="C956" s="1">
        <v>1</v>
      </c>
      <c r="D956" s="1">
        <v>9</v>
      </c>
      <c r="E956" s="1">
        <v>1</v>
      </c>
      <c r="F956" s="1">
        <v>0.2</v>
      </c>
    </row>
    <row r="957" spans="1:6" x14ac:dyDescent="0.35">
      <c r="A957" s="1">
        <v>1</v>
      </c>
      <c r="B957" s="1">
        <v>5</v>
      </c>
      <c r="C957" s="1">
        <v>1</v>
      </c>
      <c r="D957" s="1">
        <v>7</v>
      </c>
      <c r="E957" s="1">
        <v>1</v>
      </c>
      <c r="F957" s="1">
        <v>0.11111111111111099</v>
      </c>
    </row>
    <row r="958" spans="1:6" x14ac:dyDescent="0.35">
      <c r="A958" s="1">
        <v>1</v>
      </c>
      <c r="B958" s="1">
        <v>3</v>
      </c>
      <c r="C958" s="1">
        <v>1</v>
      </c>
      <c r="D958" s="1">
        <v>5</v>
      </c>
      <c r="E958" s="1">
        <v>0.2</v>
      </c>
      <c r="F958" s="1">
        <v>0.14285714285714299</v>
      </c>
    </row>
    <row r="959" spans="1:6" x14ac:dyDescent="0.35">
      <c r="A959" s="1">
        <v>0.2</v>
      </c>
      <c r="B959" s="1">
        <v>7</v>
      </c>
      <c r="C959" s="1">
        <v>7</v>
      </c>
      <c r="D959" s="1">
        <v>9</v>
      </c>
      <c r="E959" s="1">
        <v>1</v>
      </c>
      <c r="F959" s="1">
        <v>0.2</v>
      </c>
    </row>
    <row r="960" spans="1:6" x14ac:dyDescent="0.35">
      <c r="A960" s="1">
        <v>3</v>
      </c>
      <c r="B960" s="1">
        <v>3</v>
      </c>
      <c r="C960" s="1">
        <v>1</v>
      </c>
      <c r="D960" s="1">
        <v>3</v>
      </c>
      <c r="E960" s="1">
        <v>0.33333333333333298</v>
      </c>
      <c r="F960" s="1">
        <v>5</v>
      </c>
    </row>
    <row r="961" spans="1:6" x14ac:dyDescent="0.35">
      <c r="A961" s="1">
        <v>1</v>
      </c>
      <c r="B961" s="1">
        <v>5</v>
      </c>
      <c r="C961" s="1">
        <v>3</v>
      </c>
      <c r="D961" s="1">
        <v>3</v>
      </c>
      <c r="E961" s="1">
        <v>0.33333333333333298</v>
      </c>
      <c r="F961" s="1">
        <v>1</v>
      </c>
    </row>
    <row r="962" spans="1:6" x14ac:dyDescent="0.35">
      <c r="A962" s="1">
        <v>1</v>
      </c>
      <c r="B962" s="1">
        <v>7</v>
      </c>
      <c r="C962" s="1">
        <v>0.2</v>
      </c>
      <c r="D962" s="1">
        <v>7</v>
      </c>
      <c r="E962" s="1">
        <v>0.33333333333333298</v>
      </c>
      <c r="F962" s="1">
        <v>0.11111111111111099</v>
      </c>
    </row>
    <row r="963" spans="1:6" x14ac:dyDescent="0.35">
      <c r="A963" s="1">
        <v>1</v>
      </c>
      <c r="B963" s="1">
        <v>5</v>
      </c>
      <c r="C963" s="1">
        <v>1</v>
      </c>
      <c r="D963" s="1">
        <v>9</v>
      </c>
      <c r="E963" s="1">
        <v>0.33333333333333298</v>
      </c>
      <c r="F963" s="1">
        <v>0.11111111111111099</v>
      </c>
    </row>
    <row r="964" spans="1:6" x14ac:dyDescent="0.35">
      <c r="A964" s="1">
        <v>3</v>
      </c>
      <c r="B964" s="1">
        <v>1</v>
      </c>
      <c r="C964" s="1">
        <v>1</v>
      </c>
      <c r="D964" s="1">
        <v>1</v>
      </c>
      <c r="E964" s="1">
        <v>3</v>
      </c>
      <c r="F964" s="1">
        <v>1</v>
      </c>
    </row>
    <row r="965" spans="1:6" x14ac:dyDescent="0.35">
      <c r="A965" s="1">
        <v>1</v>
      </c>
      <c r="B965" s="1">
        <v>5</v>
      </c>
      <c r="C965" s="1">
        <v>1</v>
      </c>
      <c r="D965" s="1">
        <v>5</v>
      </c>
      <c r="E965" s="1">
        <v>1</v>
      </c>
      <c r="F965" s="1">
        <v>0.14285714285714299</v>
      </c>
    </row>
    <row r="966" spans="1:6" x14ac:dyDescent="0.35">
      <c r="A966" s="1">
        <v>0.2</v>
      </c>
      <c r="B966" s="1">
        <v>3</v>
      </c>
      <c r="C966" s="1">
        <v>0.2</v>
      </c>
      <c r="D966" s="1">
        <v>7</v>
      </c>
      <c r="E966" s="1">
        <v>1</v>
      </c>
      <c r="F966" s="1">
        <v>0.14285714285714299</v>
      </c>
    </row>
    <row r="967" spans="1:6" x14ac:dyDescent="0.35">
      <c r="A967" s="1">
        <v>0.33333333333333298</v>
      </c>
      <c r="B967" s="1">
        <v>1</v>
      </c>
      <c r="C967" s="1">
        <v>1</v>
      </c>
      <c r="D967" s="1">
        <v>1</v>
      </c>
      <c r="E967" s="1">
        <v>3</v>
      </c>
      <c r="F967" s="1">
        <v>1</v>
      </c>
    </row>
    <row r="968" spans="1:6" x14ac:dyDescent="0.35">
      <c r="A968" s="1">
        <v>1</v>
      </c>
      <c r="B968" s="1">
        <v>1</v>
      </c>
      <c r="C968" s="1">
        <v>0.2</v>
      </c>
      <c r="D968" s="1">
        <v>1</v>
      </c>
      <c r="E968" s="1">
        <v>3</v>
      </c>
      <c r="F968" s="1">
        <v>3</v>
      </c>
    </row>
    <row r="969" spans="1:6" x14ac:dyDescent="0.35">
      <c r="A969" s="1">
        <v>0.11111111111111099</v>
      </c>
      <c r="B969" s="1">
        <v>9</v>
      </c>
      <c r="C969" s="1">
        <v>9</v>
      </c>
      <c r="D969" s="1">
        <v>9</v>
      </c>
      <c r="E969" s="1">
        <v>9</v>
      </c>
      <c r="F969" s="1">
        <v>7</v>
      </c>
    </row>
    <row r="970" spans="1:6" x14ac:dyDescent="0.35">
      <c r="A970" s="1">
        <v>1</v>
      </c>
      <c r="B970" s="1">
        <v>1</v>
      </c>
      <c r="C970" s="1">
        <v>0.14285714285714299</v>
      </c>
      <c r="D970" s="1">
        <v>1</v>
      </c>
      <c r="E970" s="1">
        <v>0.11111111111111099</v>
      </c>
      <c r="F970" s="1">
        <v>0.11111111111111099</v>
      </c>
    </row>
    <row r="971" spans="1:6" x14ac:dyDescent="0.35">
      <c r="A971" s="1">
        <v>0.14285714285714299</v>
      </c>
      <c r="B971" s="1">
        <v>5</v>
      </c>
      <c r="C971" s="1">
        <v>3</v>
      </c>
      <c r="D971" s="1">
        <v>7</v>
      </c>
      <c r="E971" s="1">
        <v>7</v>
      </c>
      <c r="F971" s="1">
        <v>1</v>
      </c>
    </row>
    <row r="972" spans="1:6" x14ac:dyDescent="0.35">
      <c r="A972" s="1">
        <v>0.14285714285714299</v>
      </c>
      <c r="B972" s="1">
        <v>1</v>
      </c>
      <c r="C972" s="1">
        <v>1</v>
      </c>
      <c r="D972" s="1">
        <v>9</v>
      </c>
      <c r="E972" s="1">
        <v>7</v>
      </c>
      <c r="F972" s="1">
        <v>1</v>
      </c>
    </row>
    <row r="973" spans="1:6" x14ac:dyDescent="0.35">
      <c r="A973" s="1">
        <v>7</v>
      </c>
      <c r="B973" s="1">
        <v>7</v>
      </c>
      <c r="C973" s="1">
        <v>7</v>
      </c>
      <c r="D973" s="1">
        <v>1</v>
      </c>
      <c r="E973" s="1">
        <v>1</v>
      </c>
      <c r="F973" s="1">
        <v>1</v>
      </c>
    </row>
    <row r="974" spans="1:6" x14ac:dyDescent="0.35">
      <c r="A974" s="1">
        <v>0.14285714285714299</v>
      </c>
      <c r="B974" s="1">
        <v>0.2</v>
      </c>
      <c r="C974" s="1">
        <v>0.2</v>
      </c>
      <c r="D974" s="1">
        <v>7</v>
      </c>
      <c r="E974" s="1">
        <v>7</v>
      </c>
      <c r="F974" s="1">
        <v>1</v>
      </c>
    </row>
    <row r="975" spans="1:6" x14ac:dyDescent="0.35">
      <c r="A975" s="1">
        <v>7</v>
      </c>
      <c r="B975" s="1">
        <v>9</v>
      </c>
      <c r="C975" s="1">
        <v>9</v>
      </c>
      <c r="D975" s="1">
        <v>1</v>
      </c>
      <c r="E975" s="1">
        <v>1</v>
      </c>
      <c r="F975" s="1">
        <v>1</v>
      </c>
    </row>
    <row r="976" spans="1:6" x14ac:dyDescent="0.35">
      <c r="A976" s="1">
        <v>0.33333333333333298</v>
      </c>
      <c r="B976" s="1">
        <v>3</v>
      </c>
      <c r="C976" s="1">
        <v>0.14285714285714299</v>
      </c>
      <c r="D976" s="1">
        <v>5</v>
      </c>
      <c r="E976" s="1">
        <v>0.2</v>
      </c>
      <c r="F976" s="1">
        <v>0.14285714285714299</v>
      </c>
    </row>
    <row r="977" spans="1:6" x14ac:dyDescent="0.35">
      <c r="A977" s="1">
        <v>1</v>
      </c>
      <c r="B977" s="1">
        <v>0.2</v>
      </c>
      <c r="C977" s="1">
        <v>1</v>
      </c>
      <c r="D977" s="1">
        <v>0.2</v>
      </c>
      <c r="E977" s="1">
        <v>1</v>
      </c>
      <c r="F977" s="1">
        <v>7</v>
      </c>
    </row>
    <row r="978" spans="1:6" x14ac:dyDescent="0.35">
      <c r="A978" s="1">
        <v>5</v>
      </c>
      <c r="B978" s="1">
        <v>0.33333333333333298</v>
      </c>
      <c r="C978" s="1">
        <v>7</v>
      </c>
      <c r="D978" s="1">
        <v>0.14285714285714299</v>
      </c>
      <c r="E978" s="1">
        <v>5</v>
      </c>
      <c r="F978" s="1">
        <v>7</v>
      </c>
    </row>
    <row r="979" spans="1:6" x14ac:dyDescent="0.35">
      <c r="A979" s="1">
        <v>1</v>
      </c>
      <c r="B979" s="1">
        <v>0.11111111111111099</v>
      </c>
      <c r="C979" s="1">
        <v>1</v>
      </c>
      <c r="D979" s="1">
        <v>0.14285714285714299</v>
      </c>
      <c r="E979" s="1">
        <v>1</v>
      </c>
      <c r="F979" s="1">
        <v>9</v>
      </c>
    </row>
    <row r="980" spans="1:6" x14ac:dyDescent="0.35">
      <c r="A980" s="1">
        <v>5</v>
      </c>
      <c r="B980" s="1">
        <v>7</v>
      </c>
      <c r="C980" s="1">
        <v>7</v>
      </c>
      <c r="D980" s="1">
        <v>5</v>
      </c>
      <c r="E980" s="1">
        <v>5</v>
      </c>
      <c r="F980" s="1">
        <v>5</v>
      </c>
    </row>
    <row r="981" spans="1:6" x14ac:dyDescent="0.35">
      <c r="A981" s="1">
        <v>0.2</v>
      </c>
      <c r="B981" s="1">
        <v>1</v>
      </c>
      <c r="C981" s="1">
        <v>1</v>
      </c>
      <c r="D981" s="1">
        <v>9</v>
      </c>
      <c r="E981" s="1">
        <v>9</v>
      </c>
      <c r="F981" s="1">
        <v>1</v>
      </c>
    </row>
    <row r="982" spans="1:6" x14ac:dyDescent="0.35">
      <c r="A982" s="1">
        <v>0.14285714285714299</v>
      </c>
      <c r="B982" s="1">
        <v>0.2</v>
      </c>
      <c r="C982" s="1">
        <v>1</v>
      </c>
      <c r="D982" s="1">
        <v>5</v>
      </c>
      <c r="E982" s="1">
        <v>7</v>
      </c>
      <c r="F982" s="1">
        <v>7</v>
      </c>
    </row>
    <row r="983" spans="1:6" x14ac:dyDescent="0.35">
      <c r="A983" s="1">
        <v>1</v>
      </c>
      <c r="B983" s="1">
        <v>1</v>
      </c>
      <c r="C983" s="1">
        <v>1</v>
      </c>
      <c r="D983" s="1">
        <v>1</v>
      </c>
      <c r="E983" s="1">
        <v>9</v>
      </c>
      <c r="F983" s="1">
        <v>9</v>
      </c>
    </row>
    <row r="984" spans="1:6" x14ac:dyDescent="0.35">
      <c r="A984" s="1">
        <v>1</v>
      </c>
      <c r="B984" s="1">
        <v>1</v>
      </c>
      <c r="C984" s="1">
        <v>0.2</v>
      </c>
      <c r="D984" s="1">
        <v>1</v>
      </c>
      <c r="E984" s="1">
        <v>0.14285714285714299</v>
      </c>
      <c r="F984" s="1">
        <v>0.11111111111111099</v>
      </c>
    </row>
    <row r="985" spans="1:6" x14ac:dyDescent="0.35">
      <c r="A985" s="1">
        <v>1</v>
      </c>
      <c r="B985" s="1">
        <v>0.33333333333333298</v>
      </c>
      <c r="C985" s="1">
        <v>0.14285714285714299</v>
      </c>
      <c r="D985" s="1">
        <v>0.33333333333333298</v>
      </c>
      <c r="E985" s="1">
        <v>0.14285714285714299</v>
      </c>
      <c r="F985" s="1">
        <v>0.2</v>
      </c>
    </row>
    <row r="986" spans="1:6" x14ac:dyDescent="0.35">
      <c r="A986" s="1">
        <v>7</v>
      </c>
      <c r="B986" s="1">
        <v>9</v>
      </c>
      <c r="C986" s="1">
        <v>5</v>
      </c>
      <c r="D986" s="1">
        <v>1</v>
      </c>
      <c r="E986" s="1">
        <v>0.33333333333333298</v>
      </c>
      <c r="F986" s="1">
        <v>0.33333333333333298</v>
      </c>
    </row>
    <row r="987" spans="1:6" x14ac:dyDescent="0.35">
      <c r="A987" s="1">
        <v>1</v>
      </c>
      <c r="B987" s="1">
        <v>3</v>
      </c>
      <c r="C987" s="1">
        <v>0.14285714285714299</v>
      </c>
      <c r="D987" s="1">
        <v>1</v>
      </c>
      <c r="E987" s="1">
        <v>0.2</v>
      </c>
      <c r="F987" s="1">
        <v>0.11111111111111099</v>
      </c>
    </row>
    <row r="988" spans="1:6" x14ac:dyDescent="0.35">
      <c r="A988" s="1">
        <v>5</v>
      </c>
      <c r="B988" s="1">
        <v>3</v>
      </c>
      <c r="C988" s="1">
        <v>7</v>
      </c>
      <c r="D988" s="1">
        <v>0.2</v>
      </c>
      <c r="E988" s="1">
        <v>3</v>
      </c>
      <c r="F988" s="1">
        <v>5</v>
      </c>
    </row>
    <row r="989" spans="1:6" x14ac:dyDescent="0.35">
      <c r="A989" s="1">
        <v>1</v>
      </c>
      <c r="B989" s="1">
        <v>0.2</v>
      </c>
      <c r="C989" s="1">
        <v>0.14285714285714299</v>
      </c>
      <c r="D989" s="1">
        <v>0.2</v>
      </c>
      <c r="E989" s="1">
        <v>0.14285714285714299</v>
      </c>
      <c r="F989" s="1">
        <v>0.11111111111111099</v>
      </c>
    </row>
    <row r="990" spans="1:6" x14ac:dyDescent="0.35">
      <c r="A990" s="1">
        <v>3</v>
      </c>
      <c r="B990" s="1">
        <v>0.2</v>
      </c>
      <c r="C990" s="1">
        <v>0.14285714285714299</v>
      </c>
      <c r="D990" s="1">
        <v>0.2</v>
      </c>
      <c r="E990" s="1">
        <v>0.14285714285714299</v>
      </c>
      <c r="F990" s="1">
        <v>0.14285714285714299</v>
      </c>
    </row>
    <row r="991" spans="1:6" x14ac:dyDescent="0.35">
      <c r="A991" s="1">
        <v>0.2</v>
      </c>
      <c r="B991" s="1">
        <v>1</v>
      </c>
      <c r="C991" s="1">
        <v>1</v>
      </c>
      <c r="D991" s="1">
        <v>9</v>
      </c>
      <c r="E991" s="1">
        <v>7</v>
      </c>
      <c r="F991" s="1">
        <v>1</v>
      </c>
    </row>
    <row r="992" spans="1:6" x14ac:dyDescent="0.35">
      <c r="A992" s="1">
        <v>0.2</v>
      </c>
      <c r="B992" s="1">
        <v>3</v>
      </c>
      <c r="C992" s="1">
        <v>5</v>
      </c>
      <c r="D992" s="1">
        <v>7</v>
      </c>
      <c r="E992" s="1">
        <v>7</v>
      </c>
      <c r="F992" s="1">
        <v>5</v>
      </c>
    </row>
    <row r="993" spans="1:6" x14ac:dyDescent="0.35">
      <c r="A993" s="1">
        <v>1</v>
      </c>
      <c r="B993" s="1">
        <v>1</v>
      </c>
      <c r="C993" s="1">
        <v>0.14285714285714299</v>
      </c>
      <c r="D993" s="1">
        <v>1</v>
      </c>
      <c r="E993" s="1">
        <v>0.2</v>
      </c>
      <c r="F993" s="1">
        <v>0.11111111111111099</v>
      </c>
    </row>
    <row r="994" spans="1:6" x14ac:dyDescent="0.35">
      <c r="A994" s="1">
        <v>7</v>
      </c>
      <c r="B994" s="1">
        <v>9</v>
      </c>
      <c r="C994" s="1">
        <v>9</v>
      </c>
      <c r="D994" s="1">
        <v>1</v>
      </c>
      <c r="E994" s="1">
        <v>1</v>
      </c>
      <c r="F994" s="1">
        <v>1</v>
      </c>
    </row>
    <row r="995" spans="1:6" x14ac:dyDescent="0.35">
      <c r="A995" s="1">
        <v>0.33333333333333298</v>
      </c>
      <c r="B995" s="1">
        <v>0.14285714285714299</v>
      </c>
      <c r="C995" s="1">
        <v>0.33333333333333298</v>
      </c>
      <c r="D995" s="1">
        <v>0.14285714285714299</v>
      </c>
      <c r="E995" s="1">
        <v>3</v>
      </c>
      <c r="F995" s="1">
        <v>7</v>
      </c>
    </row>
    <row r="996" spans="1:6" x14ac:dyDescent="0.35">
      <c r="A996" s="1">
        <v>0.14285714285714299</v>
      </c>
      <c r="B996" s="1">
        <v>0.2</v>
      </c>
      <c r="C996" s="1">
        <v>1</v>
      </c>
      <c r="D996" s="1">
        <v>5</v>
      </c>
      <c r="E996" s="1">
        <v>7</v>
      </c>
      <c r="F996" s="1">
        <v>5</v>
      </c>
    </row>
    <row r="997" spans="1:6" x14ac:dyDescent="0.35">
      <c r="A997" s="1">
        <v>0.2</v>
      </c>
      <c r="B997" s="1">
        <v>1</v>
      </c>
      <c r="C997" s="1">
        <v>1</v>
      </c>
      <c r="D997" s="1">
        <v>9</v>
      </c>
      <c r="E997" s="1">
        <v>9</v>
      </c>
      <c r="F997" s="1">
        <v>1</v>
      </c>
    </row>
    <row r="998" spans="1:6" x14ac:dyDescent="0.35">
      <c r="A998" s="1">
        <v>5</v>
      </c>
      <c r="B998" s="1">
        <v>5</v>
      </c>
      <c r="C998" s="1">
        <v>0.2</v>
      </c>
      <c r="D998" s="1">
        <v>5</v>
      </c>
      <c r="E998" s="1">
        <v>0.2</v>
      </c>
      <c r="F998" s="1">
        <v>0.14285714285714299</v>
      </c>
    </row>
    <row r="999" spans="1:6" x14ac:dyDescent="0.35">
      <c r="A999" s="1">
        <v>1</v>
      </c>
      <c r="B999" s="1">
        <v>3</v>
      </c>
      <c r="C999" s="1">
        <v>0.14285714285714299</v>
      </c>
      <c r="D999" s="1">
        <v>3</v>
      </c>
      <c r="E999" s="1">
        <v>0.14285714285714299</v>
      </c>
      <c r="F999" s="1">
        <v>0.11111111111111099</v>
      </c>
    </row>
    <row r="1000" spans="1:6" x14ac:dyDescent="0.35">
      <c r="A1000" s="1">
        <v>7</v>
      </c>
      <c r="B1000" s="1">
        <v>7</v>
      </c>
      <c r="C1000" s="1">
        <v>7</v>
      </c>
      <c r="D1000" s="1">
        <v>0.2</v>
      </c>
      <c r="E1000" s="1">
        <v>3</v>
      </c>
      <c r="F1000" s="1">
        <v>5</v>
      </c>
    </row>
    <row r="1001" spans="1:6" x14ac:dyDescent="0.35">
      <c r="A1001" s="1">
        <v>1</v>
      </c>
      <c r="B1001" s="1">
        <v>3</v>
      </c>
      <c r="C1001" s="1">
        <v>0.14285714285714299</v>
      </c>
      <c r="D1001" s="1">
        <v>5</v>
      </c>
      <c r="E1001" s="1">
        <v>0.14285714285714299</v>
      </c>
      <c r="F1001" s="1">
        <v>0.11111111111111099</v>
      </c>
    </row>
    <row r="1002" spans="1:6" x14ac:dyDescent="0.35">
      <c r="A1002" s="1">
        <v>0.14285714285714299</v>
      </c>
      <c r="B1002" s="1">
        <v>1</v>
      </c>
      <c r="C1002" s="1">
        <v>1</v>
      </c>
      <c r="D1002" s="1">
        <v>9</v>
      </c>
      <c r="E1002" s="1">
        <v>9</v>
      </c>
      <c r="F1002" s="1">
        <v>1</v>
      </c>
    </row>
    <row r="1003" spans="1:6" x14ac:dyDescent="0.35">
      <c r="A1003" s="1">
        <v>0.2</v>
      </c>
      <c r="B1003" s="1">
        <v>3</v>
      </c>
      <c r="C1003" s="1">
        <v>0.14285714285714299</v>
      </c>
      <c r="D1003" s="1">
        <v>0.33333333333333298</v>
      </c>
      <c r="E1003" s="1">
        <v>0.2</v>
      </c>
      <c r="F1003" s="1">
        <v>0.14285714285714299</v>
      </c>
    </row>
    <row r="1004" spans="1:6" x14ac:dyDescent="0.35">
      <c r="A1004" s="1">
        <v>1</v>
      </c>
      <c r="B1004" s="1">
        <v>1</v>
      </c>
      <c r="C1004" s="1">
        <v>0.14285714285714299</v>
      </c>
      <c r="D1004" s="1">
        <v>1</v>
      </c>
      <c r="E1004" s="1">
        <v>0.14285714285714299</v>
      </c>
      <c r="F1004" s="1">
        <v>0.11111111111111099</v>
      </c>
    </row>
    <row r="1005" spans="1:6" x14ac:dyDescent="0.35">
      <c r="A1005" s="1">
        <v>0.14285714285714299</v>
      </c>
      <c r="B1005" s="1">
        <v>3</v>
      </c>
      <c r="C1005" s="1">
        <v>1</v>
      </c>
      <c r="D1005" s="1">
        <v>9</v>
      </c>
      <c r="E1005" s="1">
        <v>7</v>
      </c>
      <c r="F1005" s="1">
        <v>1</v>
      </c>
    </row>
    <row r="1006" spans="1:6" x14ac:dyDescent="0.35">
      <c r="A1006" s="1">
        <v>0.14285714285714299</v>
      </c>
      <c r="B1006" s="1">
        <v>5</v>
      </c>
      <c r="C1006" s="1">
        <v>5</v>
      </c>
      <c r="D1006" s="1">
        <v>7</v>
      </c>
      <c r="E1006" s="1">
        <v>7</v>
      </c>
      <c r="F1006" s="1">
        <v>0.33333333333333298</v>
      </c>
    </row>
    <row r="1007" spans="1:6" x14ac:dyDescent="0.35">
      <c r="A1007" s="1">
        <v>1</v>
      </c>
      <c r="B1007" s="1">
        <v>1</v>
      </c>
      <c r="C1007" s="1">
        <v>0.14285714285714299</v>
      </c>
      <c r="D1007" s="1">
        <v>1</v>
      </c>
      <c r="E1007" s="1">
        <v>0.14285714285714299</v>
      </c>
      <c r="F1007" s="1">
        <v>0.11111111111111099</v>
      </c>
    </row>
    <row r="1008" spans="1:6" x14ac:dyDescent="0.35">
      <c r="A1008" s="1">
        <v>1</v>
      </c>
      <c r="B1008" s="1">
        <v>1</v>
      </c>
      <c r="C1008" s="1">
        <v>0.14285714285714299</v>
      </c>
      <c r="D1008" s="1">
        <v>1</v>
      </c>
      <c r="E1008" s="1">
        <v>0.14285714285714299</v>
      </c>
      <c r="F1008" s="1">
        <v>0.14285714285714299</v>
      </c>
    </row>
    <row r="1009" spans="1:6" x14ac:dyDescent="0.35">
      <c r="A1009" s="1">
        <v>5</v>
      </c>
      <c r="B1009" s="1">
        <v>7</v>
      </c>
      <c r="C1009" s="1">
        <v>7</v>
      </c>
      <c r="D1009" s="1">
        <v>5</v>
      </c>
      <c r="E1009" s="1">
        <v>5</v>
      </c>
      <c r="F1009" s="1">
        <v>3</v>
      </c>
    </row>
    <row r="1010" spans="1:6" x14ac:dyDescent="0.35">
      <c r="A1010" s="1">
        <v>5</v>
      </c>
      <c r="B1010" s="1">
        <v>5</v>
      </c>
      <c r="C1010" s="1">
        <v>0.2</v>
      </c>
      <c r="D1010" s="1">
        <v>5</v>
      </c>
      <c r="E1010" s="1">
        <v>0.2</v>
      </c>
      <c r="F1010" s="1">
        <v>0.14285714285714299</v>
      </c>
    </row>
    <row r="1011" spans="1:6" x14ac:dyDescent="0.35">
      <c r="A1011" s="1">
        <v>7</v>
      </c>
      <c r="B1011" s="1">
        <v>7</v>
      </c>
      <c r="C1011" s="1">
        <v>7</v>
      </c>
      <c r="D1011" s="1">
        <v>7</v>
      </c>
      <c r="E1011" s="1">
        <v>7</v>
      </c>
      <c r="F1011" s="1">
        <v>7</v>
      </c>
    </row>
    <row r="1012" spans="1:6" x14ac:dyDescent="0.35">
      <c r="A1012" s="1">
        <v>1</v>
      </c>
      <c r="B1012" s="1">
        <v>1</v>
      </c>
      <c r="C1012" s="1">
        <v>1</v>
      </c>
      <c r="D1012" s="1">
        <v>1</v>
      </c>
      <c r="E1012" s="1">
        <v>1</v>
      </c>
      <c r="F1012" s="1">
        <v>1</v>
      </c>
    </row>
    <row r="1013" spans="1:6" x14ac:dyDescent="0.35">
      <c r="A1013" s="1">
        <v>0.33333333333333298</v>
      </c>
      <c r="B1013" s="1">
        <v>1</v>
      </c>
      <c r="C1013" s="1">
        <v>1</v>
      </c>
      <c r="D1013" s="1">
        <v>7</v>
      </c>
      <c r="E1013" s="1">
        <v>1</v>
      </c>
      <c r="F1013" s="1">
        <v>1</v>
      </c>
    </row>
    <row r="1014" spans="1:6" x14ac:dyDescent="0.35">
      <c r="A1014" s="1">
        <v>1</v>
      </c>
      <c r="B1014" s="1">
        <v>1</v>
      </c>
      <c r="C1014" s="1">
        <v>0.14285714285714299</v>
      </c>
      <c r="D1014" s="1">
        <v>1</v>
      </c>
      <c r="E1014" s="1">
        <v>0.14285714285714299</v>
      </c>
      <c r="F1014" s="1">
        <v>0.11111111111111099</v>
      </c>
    </row>
    <row r="1015" spans="1:6" x14ac:dyDescent="0.35">
      <c r="A1015" s="1">
        <v>5</v>
      </c>
      <c r="B1015" s="1">
        <v>7</v>
      </c>
      <c r="C1015" s="1">
        <v>3</v>
      </c>
      <c r="D1015" s="1">
        <v>5</v>
      </c>
      <c r="E1015" s="1">
        <v>0.2</v>
      </c>
      <c r="F1015" s="1">
        <v>0.2</v>
      </c>
    </row>
    <row r="1016" spans="1:6" x14ac:dyDescent="0.35">
      <c r="A1016" s="1">
        <v>0.11111111111111099</v>
      </c>
      <c r="B1016" s="1">
        <v>1</v>
      </c>
      <c r="C1016" s="1">
        <v>1</v>
      </c>
      <c r="D1016" s="1">
        <v>9</v>
      </c>
      <c r="E1016" s="1">
        <v>9</v>
      </c>
      <c r="F1016" s="1">
        <v>1</v>
      </c>
    </row>
    <row r="1017" spans="1:6" x14ac:dyDescent="0.35">
      <c r="A1017" s="1">
        <v>1</v>
      </c>
      <c r="B1017" s="1">
        <v>1</v>
      </c>
      <c r="C1017" s="1">
        <v>0.14285714285714299</v>
      </c>
      <c r="D1017" s="1">
        <v>1</v>
      </c>
      <c r="E1017" s="1">
        <v>0.2</v>
      </c>
      <c r="F1017" s="1">
        <v>0.11111111111111099</v>
      </c>
    </row>
    <row r="1018" spans="1:6" x14ac:dyDescent="0.35">
      <c r="A1018" s="1">
        <v>5</v>
      </c>
      <c r="B1018" s="1">
        <v>9</v>
      </c>
      <c r="C1018" s="1">
        <v>7</v>
      </c>
      <c r="D1018" s="1">
        <v>1</v>
      </c>
      <c r="E1018" s="1">
        <v>1</v>
      </c>
      <c r="F1018" s="1">
        <v>1</v>
      </c>
    </row>
    <row r="1019" spans="1:6" x14ac:dyDescent="0.35">
      <c r="A1019" s="1">
        <v>0.14285714285714299</v>
      </c>
      <c r="B1019" s="1">
        <v>1</v>
      </c>
      <c r="C1019" s="1">
        <v>1</v>
      </c>
      <c r="D1019" s="1">
        <v>9</v>
      </c>
      <c r="E1019" s="1">
        <v>9</v>
      </c>
      <c r="F1019" s="1">
        <v>1</v>
      </c>
    </row>
    <row r="1020" spans="1:6" x14ac:dyDescent="0.35">
      <c r="A1020" s="1">
        <v>1</v>
      </c>
      <c r="B1020" s="1">
        <v>1</v>
      </c>
      <c r="C1020" s="1">
        <v>0.14285714285714299</v>
      </c>
      <c r="D1020" s="1">
        <v>1</v>
      </c>
      <c r="E1020" s="1">
        <v>0.2</v>
      </c>
      <c r="F1020" s="1">
        <v>0.11111111111111099</v>
      </c>
    </row>
    <row r="1021" spans="1:6" x14ac:dyDescent="0.35">
      <c r="A1021" s="1">
        <v>1</v>
      </c>
      <c r="B1021" s="1">
        <v>0.33333333333333298</v>
      </c>
      <c r="C1021" s="1">
        <v>0.11111111111111099</v>
      </c>
      <c r="D1021" s="1">
        <v>0.33333333333333298</v>
      </c>
      <c r="E1021" s="1">
        <v>0.14285714285714299</v>
      </c>
      <c r="F1021" s="1">
        <v>0.2</v>
      </c>
    </row>
    <row r="1022" spans="1:6" x14ac:dyDescent="0.35">
      <c r="A1022" s="1">
        <v>5</v>
      </c>
      <c r="B1022" s="1">
        <v>5</v>
      </c>
      <c r="C1022" s="1">
        <v>7</v>
      </c>
      <c r="D1022" s="1">
        <v>1</v>
      </c>
      <c r="E1022" s="1">
        <v>1</v>
      </c>
      <c r="F1022" s="1">
        <v>1</v>
      </c>
    </row>
    <row r="1023" spans="1:6" x14ac:dyDescent="0.35">
      <c r="A1023" s="1">
        <v>0.2</v>
      </c>
      <c r="B1023" s="1">
        <v>1</v>
      </c>
      <c r="C1023" s="1">
        <v>1</v>
      </c>
      <c r="D1023" s="1">
        <v>9</v>
      </c>
      <c r="E1023" s="1">
        <v>5</v>
      </c>
      <c r="F1023" s="1">
        <v>1</v>
      </c>
    </row>
    <row r="1024" spans="1:6" x14ac:dyDescent="0.35">
      <c r="A1024" s="1">
        <v>0.2</v>
      </c>
      <c r="B1024" s="1">
        <v>1</v>
      </c>
      <c r="C1024" s="1">
        <v>0.2</v>
      </c>
      <c r="D1024" s="1">
        <v>7</v>
      </c>
      <c r="E1024" s="1">
        <v>1</v>
      </c>
      <c r="F1024" s="1">
        <v>0.14285714285714299</v>
      </c>
    </row>
    <row r="1025" spans="1:6" x14ac:dyDescent="0.35">
      <c r="A1025" s="1">
        <v>1</v>
      </c>
      <c r="B1025" s="1">
        <v>7</v>
      </c>
      <c r="C1025" s="1">
        <v>5</v>
      </c>
      <c r="D1025" s="1">
        <v>7</v>
      </c>
      <c r="E1025" s="1">
        <v>3</v>
      </c>
      <c r="F1025" s="1">
        <v>1</v>
      </c>
    </row>
    <row r="1026" spans="1:6" x14ac:dyDescent="0.35">
      <c r="A1026" s="1">
        <v>0.14285714285714299</v>
      </c>
      <c r="B1026" s="1">
        <v>5</v>
      </c>
      <c r="C1026" s="1">
        <v>3</v>
      </c>
      <c r="D1026" s="1">
        <v>7</v>
      </c>
      <c r="E1026" s="1">
        <v>7</v>
      </c>
      <c r="F1026" s="1">
        <v>3</v>
      </c>
    </row>
    <row r="1027" spans="1:6" x14ac:dyDescent="0.35">
      <c r="A1027" s="1">
        <v>0.2</v>
      </c>
      <c r="B1027" s="1">
        <v>1</v>
      </c>
      <c r="C1027" s="1">
        <v>0.14285714285714299</v>
      </c>
      <c r="D1027" s="1">
        <v>7</v>
      </c>
      <c r="E1027" s="1">
        <v>1</v>
      </c>
      <c r="F1027" s="1">
        <v>0.11111111111111099</v>
      </c>
    </row>
    <row r="1028" spans="1:6" x14ac:dyDescent="0.35">
      <c r="A1028" s="1">
        <v>0.14285714285714299</v>
      </c>
      <c r="B1028" s="1">
        <v>3</v>
      </c>
      <c r="C1028" s="1">
        <v>3</v>
      </c>
      <c r="D1028" s="1">
        <v>7</v>
      </c>
      <c r="E1028" s="1">
        <v>7</v>
      </c>
      <c r="F1028" s="1">
        <v>1</v>
      </c>
    </row>
    <row r="1029" spans="1:6" x14ac:dyDescent="0.35">
      <c r="A1029" s="1">
        <v>3</v>
      </c>
      <c r="B1029" s="1">
        <v>0.2</v>
      </c>
      <c r="C1029" s="1">
        <v>3</v>
      </c>
      <c r="D1029" s="1">
        <v>0.2</v>
      </c>
      <c r="E1029" s="1">
        <v>3</v>
      </c>
      <c r="F1029" s="1">
        <v>7</v>
      </c>
    </row>
    <row r="1030" spans="1:6" x14ac:dyDescent="0.35">
      <c r="A1030" s="1">
        <v>0.2</v>
      </c>
      <c r="B1030" s="1">
        <v>0.2</v>
      </c>
      <c r="C1030" s="1">
        <v>3</v>
      </c>
      <c r="D1030" s="1">
        <v>0.2</v>
      </c>
      <c r="E1030" s="1">
        <v>3</v>
      </c>
      <c r="F1030" s="1">
        <v>7</v>
      </c>
    </row>
    <row r="1031" spans="1:6" x14ac:dyDescent="0.35">
      <c r="A1031" s="1">
        <v>1</v>
      </c>
      <c r="B1031" s="1">
        <v>9</v>
      </c>
      <c r="C1031" s="1">
        <v>5</v>
      </c>
      <c r="D1031" s="1">
        <v>7</v>
      </c>
      <c r="E1031" s="1">
        <v>5</v>
      </c>
      <c r="F1031" s="1">
        <v>1</v>
      </c>
    </row>
    <row r="1032" spans="1:6" x14ac:dyDescent="0.35">
      <c r="A1032" s="1">
        <v>1</v>
      </c>
      <c r="B1032" s="1">
        <v>1</v>
      </c>
      <c r="C1032" s="1">
        <v>0.2</v>
      </c>
      <c r="D1032" s="1">
        <v>1</v>
      </c>
      <c r="E1032" s="1">
        <v>0.33333333333333298</v>
      </c>
      <c r="F1032" s="1">
        <v>0.11111111111111099</v>
      </c>
    </row>
    <row r="1033" spans="1:6" x14ac:dyDescent="0.35">
      <c r="A1033" s="1">
        <v>0.2</v>
      </c>
      <c r="B1033" s="1">
        <v>3</v>
      </c>
      <c r="C1033" s="1">
        <v>0.33333333333333298</v>
      </c>
      <c r="D1033" s="1">
        <v>7</v>
      </c>
      <c r="E1033" s="1">
        <v>7</v>
      </c>
      <c r="F1033" s="1">
        <v>0.2</v>
      </c>
    </row>
    <row r="1034" spans="1:6" x14ac:dyDescent="0.35">
      <c r="A1034" s="1">
        <v>5</v>
      </c>
      <c r="B1034" s="1">
        <v>1</v>
      </c>
      <c r="C1034" s="1">
        <v>7</v>
      </c>
      <c r="D1034" s="1">
        <v>0.2</v>
      </c>
      <c r="E1034" s="1">
        <v>1</v>
      </c>
      <c r="F1034" s="1">
        <v>5</v>
      </c>
    </row>
    <row r="1035" spans="1:6" x14ac:dyDescent="0.35">
      <c r="A1035" s="1">
        <v>1</v>
      </c>
      <c r="B1035" s="1">
        <v>3</v>
      </c>
      <c r="C1035" s="1">
        <v>0.2</v>
      </c>
      <c r="D1035" s="1">
        <v>3</v>
      </c>
      <c r="E1035" s="1">
        <v>0.2</v>
      </c>
      <c r="F1035" s="1">
        <v>0.2</v>
      </c>
    </row>
    <row r="1036" spans="1:6" x14ac:dyDescent="0.35">
      <c r="A1036" s="1">
        <v>1</v>
      </c>
      <c r="B1036" s="1">
        <v>9</v>
      </c>
      <c r="C1036" s="1">
        <v>5</v>
      </c>
      <c r="D1036" s="1">
        <v>5</v>
      </c>
      <c r="E1036" s="1">
        <v>5</v>
      </c>
      <c r="F1036" s="1">
        <v>1</v>
      </c>
    </row>
    <row r="1037" spans="1:6" x14ac:dyDescent="0.35">
      <c r="A1037" s="1">
        <v>1</v>
      </c>
      <c r="B1037" s="1">
        <v>0.33333333333333298</v>
      </c>
      <c r="C1037" s="1">
        <v>0.2</v>
      </c>
      <c r="D1037" s="1">
        <v>0.33333333333333298</v>
      </c>
      <c r="E1037" s="1">
        <v>0.33333333333333298</v>
      </c>
      <c r="F1037" s="1">
        <v>1</v>
      </c>
    </row>
    <row r="1038" spans="1:6" x14ac:dyDescent="0.35">
      <c r="A1038" s="1">
        <v>1</v>
      </c>
      <c r="B1038" s="1">
        <v>0.14285714285714299</v>
      </c>
      <c r="C1038" s="1">
        <v>1</v>
      </c>
      <c r="D1038" s="1">
        <v>0.14285714285714299</v>
      </c>
      <c r="E1038" s="1">
        <v>1</v>
      </c>
      <c r="F1038" s="1">
        <v>7</v>
      </c>
    </row>
    <row r="1039" spans="1:6" x14ac:dyDescent="0.35">
      <c r="A1039" s="1">
        <v>3</v>
      </c>
      <c r="B1039" s="1">
        <v>5</v>
      </c>
      <c r="C1039" s="1">
        <v>1</v>
      </c>
      <c r="D1039" s="1">
        <v>1</v>
      </c>
      <c r="E1039" s="1">
        <v>0.33333333333333298</v>
      </c>
      <c r="F1039" s="1">
        <v>0.2</v>
      </c>
    </row>
    <row r="1040" spans="1:6" x14ac:dyDescent="0.35">
      <c r="A1040" s="1">
        <v>0.2</v>
      </c>
      <c r="B1040" s="1">
        <v>0.2</v>
      </c>
      <c r="C1040" s="1">
        <v>3</v>
      </c>
      <c r="D1040" s="1">
        <v>0.2</v>
      </c>
      <c r="E1040" s="1">
        <v>5</v>
      </c>
      <c r="F1040" s="1">
        <v>7</v>
      </c>
    </row>
    <row r="1041" spans="1:6" x14ac:dyDescent="0.35">
      <c r="A1041" s="1">
        <v>1</v>
      </c>
      <c r="B1041" s="1">
        <v>5</v>
      </c>
      <c r="C1041" s="1">
        <v>1</v>
      </c>
      <c r="D1041" s="1">
        <v>7</v>
      </c>
      <c r="E1041" s="1">
        <v>1</v>
      </c>
      <c r="F1041" s="1">
        <v>0.14285714285714299</v>
      </c>
    </row>
    <row r="1042" spans="1:6" x14ac:dyDescent="0.35">
      <c r="A1042" s="1">
        <v>0.14285714285714299</v>
      </c>
      <c r="B1042" s="1">
        <v>0.2</v>
      </c>
      <c r="C1042" s="1">
        <v>0.2</v>
      </c>
      <c r="D1042" s="1">
        <v>7</v>
      </c>
      <c r="E1042" s="1">
        <v>7</v>
      </c>
      <c r="F1042" s="1">
        <v>1</v>
      </c>
    </row>
    <row r="1043" spans="1:6" x14ac:dyDescent="0.35">
      <c r="A1043" s="1">
        <v>7</v>
      </c>
      <c r="B1043" s="1">
        <v>7</v>
      </c>
      <c r="C1043" s="1">
        <v>7</v>
      </c>
      <c r="D1043" s="1">
        <v>3</v>
      </c>
      <c r="E1043" s="1">
        <v>3</v>
      </c>
      <c r="F1043" s="1">
        <v>0.33333333333333298</v>
      </c>
    </row>
    <row r="1044" spans="1:6" x14ac:dyDescent="0.35">
      <c r="A1044" s="1">
        <v>1</v>
      </c>
      <c r="B1044" s="1">
        <v>7</v>
      </c>
      <c r="C1044" s="1">
        <v>7</v>
      </c>
      <c r="D1044" s="1">
        <v>7</v>
      </c>
      <c r="E1044" s="1">
        <v>7</v>
      </c>
      <c r="F1044" s="1">
        <v>1</v>
      </c>
    </row>
    <row r="1045" spans="1:6" x14ac:dyDescent="0.35">
      <c r="A1045" s="1">
        <v>1</v>
      </c>
      <c r="B1045" s="1">
        <v>1</v>
      </c>
      <c r="C1045" s="1">
        <v>0.2</v>
      </c>
      <c r="D1045" s="1">
        <v>1</v>
      </c>
      <c r="E1045" s="1">
        <v>0.2</v>
      </c>
      <c r="F1045" s="1">
        <v>0.14285714285714299</v>
      </c>
    </row>
    <row r="1046" spans="1:6" x14ac:dyDescent="0.35">
      <c r="A1046" s="1">
        <v>1</v>
      </c>
      <c r="B1046" s="1">
        <v>0.2</v>
      </c>
      <c r="C1046" s="1">
        <v>0.14285714285714299</v>
      </c>
      <c r="D1046" s="1">
        <v>3</v>
      </c>
      <c r="E1046" s="1">
        <v>0.14285714285714299</v>
      </c>
      <c r="F1046" s="1">
        <v>0.14285714285714299</v>
      </c>
    </row>
    <row r="1047" spans="1:6" x14ac:dyDescent="0.35">
      <c r="A1047" s="1">
        <v>5</v>
      </c>
      <c r="B1047" s="1">
        <v>7</v>
      </c>
      <c r="C1047" s="1">
        <v>5</v>
      </c>
      <c r="D1047" s="1">
        <v>1</v>
      </c>
      <c r="E1047" s="1">
        <v>1</v>
      </c>
      <c r="F1047" s="1">
        <v>1</v>
      </c>
    </row>
    <row r="1048" spans="1:6" x14ac:dyDescent="0.35">
      <c r="A1048" s="1">
        <v>1</v>
      </c>
      <c r="B1048" s="1">
        <v>1</v>
      </c>
      <c r="C1048" s="1">
        <v>0.2</v>
      </c>
      <c r="D1048" s="1">
        <v>1</v>
      </c>
      <c r="E1048" s="1">
        <v>0.2</v>
      </c>
      <c r="F1048" s="1">
        <v>0.14285714285714299</v>
      </c>
    </row>
    <row r="1049" spans="1:6" x14ac:dyDescent="0.35">
      <c r="A1049" s="1">
        <v>3</v>
      </c>
      <c r="B1049" s="1">
        <v>0.33333333333333298</v>
      </c>
      <c r="C1049" s="1">
        <v>1</v>
      </c>
      <c r="D1049" s="1">
        <v>0.33333333333333298</v>
      </c>
      <c r="E1049" s="1">
        <v>1</v>
      </c>
      <c r="F1049" s="1">
        <v>3</v>
      </c>
    </row>
    <row r="1050" spans="1:6" x14ac:dyDescent="0.35">
      <c r="A1050" s="1">
        <v>0.2</v>
      </c>
      <c r="B1050" s="1">
        <v>1</v>
      </c>
      <c r="C1050" s="1">
        <v>1</v>
      </c>
      <c r="D1050" s="1">
        <v>9</v>
      </c>
      <c r="E1050" s="1">
        <v>7</v>
      </c>
      <c r="F1050" s="1">
        <v>1</v>
      </c>
    </row>
    <row r="1051" spans="1:6" x14ac:dyDescent="0.35">
      <c r="A1051" s="1">
        <v>0.2</v>
      </c>
      <c r="B1051" s="1">
        <v>3</v>
      </c>
      <c r="C1051" s="1">
        <v>0.2</v>
      </c>
      <c r="D1051" s="1">
        <v>3</v>
      </c>
      <c r="E1051" s="1">
        <v>0.2</v>
      </c>
      <c r="F1051" s="1">
        <v>0.14285714285714299</v>
      </c>
    </row>
    <row r="1052" spans="1:6" x14ac:dyDescent="0.35">
      <c r="A1052" s="1">
        <v>0.14285714285714299</v>
      </c>
      <c r="B1052" s="1">
        <v>1</v>
      </c>
      <c r="C1052" s="1">
        <v>1</v>
      </c>
      <c r="D1052" s="1">
        <v>9</v>
      </c>
      <c r="E1052" s="1">
        <v>9</v>
      </c>
      <c r="F1052" s="1">
        <v>1</v>
      </c>
    </row>
    <row r="1053" spans="1:6" x14ac:dyDescent="0.35">
      <c r="A1053" s="1">
        <v>0.33333333333333298</v>
      </c>
      <c r="B1053" s="1">
        <v>0.2</v>
      </c>
      <c r="C1053" s="1">
        <v>3</v>
      </c>
      <c r="D1053" s="1">
        <v>0.2</v>
      </c>
      <c r="E1053" s="1">
        <v>3</v>
      </c>
      <c r="F1053" s="1">
        <v>5</v>
      </c>
    </row>
    <row r="1054" spans="1:6" x14ac:dyDescent="0.35">
      <c r="A1054" s="1">
        <v>0.33333333333333298</v>
      </c>
      <c r="B1054" s="1">
        <v>3</v>
      </c>
      <c r="C1054" s="1">
        <v>0.14285714285714299</v>
      </c>
      <c r="D1054" s="1">
        <v>3</v>
      </c>
      <c r="E1054" s="1">
        <v>0.14285714285714299</v>
      </c>
      <c r="F1054" s="1">
        <v>0.14285714285714299</v>
      </c>
    </row>
    <row r="1055" spans="1:6" x14ac:dyDescent="0.35">
      <c r="A1055" s="1">
        <v>0.14285714285714299</v>
      </c>
      <c r="B1055" s="1">
        <v>0.33333333333333298</v>
      </c>
      <c r="C1055" s="1">
        <v>3</v>
      </c>
      <c r="D1055" s="1">
        <v>0.33333333333333298</v>
      </c>
      <c r="E1055" s="1">
        <v>0.2</v>
      </c>
      <c r="F1055" s="1">
        <v>0.14285714285714299</v>
      </c>
    </row>
    <row r="1056" spans="1:6" x14ac:dyDescent="0.35">
      <c r="A1056" s="1">
        <v>1</v>
      </c>
      <c r="B1056" s="1">
        <v>9</v>
      </c>
      <c r="C1056" s="1">
        <v>0.2</v>
      </c>
      <c r="D1056" s="1">
        <v>0.14285714285714299</v>
      </c>
      <c r="E1056" s="1">
        <v>0.14285714285714299</v>
      </c>
      <c r="F1056" s="1">
        <v>7</v>
      </c>
    </row>
    <row r="1057" spans="1:6" x14ac:dyDescent="0.35">
      <c r="A1057" s="1">
        <v>3</v>
      </c>
      <c r="B1057" s="1">
        <v>1</v>
      </c>
      <c r="C1057" s="1">
        <v>7</v>
      </c>
      <c r="D1057" s="1">
        <v>0.33333333333333298</v>
      </c>
      <c r="E1057" s="1">
        <v>7</v>
      </c>
      <c r="F1057" s="1">
        <v>3</v>
      </c>
    </row>
    <row r="1058" spans="1:6" x14ac:dyDescent="0.35">
      <c r="A1058" s="1">
        <v>0.2</v>
      </c>
      <c r="B1058" s="1">
        <v>3</v>
      </c>
      <c r="C1058" s="1">
        <v>3</v>
      </c>
      <c r="D1058" s="1">
        <v>1</v>
      </c>
      <c r="E1058" s="1">
        <v>0.2</v>
      </c>
      <c r="F1058" s="1">
        <v>3</v>
      </c>
    </row>
    <row r="1059" spans="1:6" x14ac:dyDescent="0.35">
      <c r="A1059" s="1">
        <v>7</v>
      </c>
      <c r="B1059" s="1">
        <v>7</v>
      </c>
      <c r="C1059" s="1">
        <v>7</v>
      </c>
      <c r="D1059" s="1">
        <v>7</v>
      </c>
      <c r="E1059" s="1">
        <v>7</v>
      </c>
      <c r="F1059" s="1">
        <v>7</v>
      </c>
    </row>
    <row r="1060" spans="1:6" x14ac:dyDescent="0.35">
      <c r="A1060" s="1">
        <v>0.2</v>
      </c>
      <c r="B1060" s="1">
        <v>0.14285714285714299</v>
      </c>
      <c r="C1060" s="1">
        <v>0.2</v>
      </c>
      <c r="D1060" s="1">
        <v>3</v>
      </c>
      <c r="E1060" s="1">
        <v>5</v>
      </c>
      <c r="F1060" s="1">
        <v>7</v>
      </c>
    </row>
    <row r="1061" spans="1:6" x14ac:dyDescent="0.35">
      <c r="A1061" s="1">
        <v>1</v>
      </c>
      <c r="B1061" s="1">
        <v>1</v>
      </c>
      <c r="C1061" s="1">
        <v>3</v>
      </c>
      <c r="D1061" s="1">
        <v>3</v>
      </c>
      <c r="E1061" s="1">
        <v>3</v>
      </c>
      <c r="F1061" s="1">
        <v>3</v>
      </c>
    </row>
    <row r="1062" spans="1:6" x14ac:dyDescent="0.35">
      <c r="A1062" s="1">
        <v>0.33333333333333298</v>
      </c>
      <c r="B1062" s="1">
        <v>0.33333333333333298</v>
      </c>
      <c r="C1062" s="1">
        <v>3</v>
      </c>
      <c r="D1062" s="1">
        <v>3</v>
      </c>
      <c r="E1062" s="1">
        <v>3</v>
      </c>
      <c r="F1062" s="1">
        <v>0.33333333333333298</v>
      </c>
    </row>
    <row r="1063" spans="1:6" x14ac:dyDescent="0.35">
      <c r="A1063" s="1">
        <v>9</v>
      </c>
      <c r="B1063" s="1">
        <v>9</v>
      </c>
      <c r="C1063" s="1">
        <v>9</v>
      </c>
      <c r="D1063" s="1">
        <v>7</v>
      </c>
      <c r="E1063" s="1">
        <v>7</v>
      </c>
      <c r="F1063" s="1">
        <v>9</v>
      </c>
    </row>
    <row r="1064" spans="1:6" x14ac:dyDescent="0.35">
      <c r="A1064" s="1">
        <v>9</v>
      </c>
      <c r="B1064" s="1">
        <v>5</v>
      </c>
      <c r="C1064" s="1">
        <v>3</v>
      </c>
      <c r="D1064" s="1">
        <v>7</v>
      </c>
      <c r="E1064" s="1">
        <v>9</v>
      </c>
      <c r="F1064" s="1">
        <v>5</v>
      </c>
    </row>
    <row r="1065" spans="1:6" x14ac:dyDescent="0.35">
      <c r="A1065" s="1">
        <v>3</v>
      </c>
      <c r="B1065" s="1">
        <v>7</v>
      </c>
      <c r="C1065" s="1">
        <v>9</v>
      </c>
      <c r="D1065" s="1">
        <v>7</v>
      </c>
      <c r="E1065" s="1">
        <v>5</v>
      </c>
      <c r="F1065" s="1">
        <v>3</v>
      </c>
    </row>
    <row r="1066" spans="1:6" x14ac:dyDescent="0.35">
      <c r="A1066" s="1">
        <v>1</v>
      </c>
      <c r="B1066" s="1">
        <v>3</v>
      </c>
      <c r="C1066" s="1">
        <v>5</v>
      </c>
      <c r="D1066" s="1">
        <v>7</v>
      </c>
      <c r="E1066" s="1">
        <v>0.14285714285714299</v>
      </c>
      <c r="F1066" s="1">
        <v>0.2</v>
      </c>
    </row>
    <row r="1067" spans="1:6" x14ac:dyDescent="0.35">
      <c r="A1067" s="1">
        <v>0.11111111111111099</v>
      </c>
      <c r="B1067" s="1">
        <v>0.2</v>
      </c>
      <c r="C1067" s="1">
        <v>0.33333333333333298</v>
      </c>
      <c r="D1067" s="1">
        <v>3</v>
      </c>
      <c r="E1067" s="1">
        <v>1</v>
      </c>
      <c r="F1067" s="1">
        <v>3</v>
      </c>
    </row>
    <row r="1068" spans="1:6" x14ac:dyDescent="0.35">
      <c r="A1068" s="1">
        <v>0.2</v>
      </c>
      <c r="B1068" s="1">
        <v>1</v>
      </c>
      <c r="C1068" s="1">
        <v>1</v>
      </c>
      <c r="D1068" s="1">
        <v>3</v>
      </c>
      <c r="E1068" s="1">
        <v>1</v>
      </c>
      <c r="F1068" s="1">
        <v>1</v>
      </c>
    </row>
    <row r="1069" spans="1:6" x14ac:dyDescent="0.35">
      <c r="A1069" s="1">
        <v>0.14285714285714299</v>
      </c>
      <c r="B1069" s="1">
        <v>3</v>
      </c>
      <c r="C1069" s="1">
        <v>7</v>
      </c>
      <c r="D1069" s="1">
        <v>0.14285714285714299</v>
      </c>
      <c r="E1069" s="1">
        <v>0.11111111111111099</v>
      </c>
      <c r="F1069" s="1">
        <v>0.2</v>
      </c>
    </row>
    <row r="1070" spans="1:6" x14ac:dyDescent="0.35">
      <c r="A1070" s="1">
        <v>7</v>
      </c>
      <c r="B1070" s="1">
        <v>7</v>
      </c>
      <c r="C1070" s="1">
        <v>5</v>
      </c>
      <c r="D1070" s="1">
        <v>0.33333333333333298</v>
      </c>
      <c r="E1070" s="1">
        <v>0.2</v>
      </c>
      <c r="F1070" s="1">
        <v>0.2</v>
      </c>
    </row>
    <row r="1071" spans="1:6" x14ac:dyDescent="0.35">
      <c r="A1071" s="1">
        <v>5</v>
      </c>
      <c r="B1071" s="1">
        <v>0.2</v>
      </c>
      <c r="C1071" s="1">
        <v>0.2</v>
      </c>
      <c r="D1071" s="1">
        <v>0.33333333333333298</v>
      </c>
      <c r="E1071" s="1">
        <v>3</v>
      </c>
      <c r="F1071" s="1">
        <v>5</v>
      </c>
    </row>
    <row r="1072" spans="1:6" x14ac:dyDescent="0.35">
      <c r="A1072" s="1">
        <v>7</v>
      </c>
      <c r="B1072" s="1">
        <v>1</v>
      </c>
      <c r="C1072" s="1">
        <v>1</v>
      </c>
      <c r="D1072" s="1">
        <v>1</v>
      </c>
      <c r="E1072" s="1">
        <v>1</v>
      </c>
      <c r="F1072" s="1">
        <v>1</v>
      </c>
    </row>
    <row r="1073" spans="1:6" x14ac:dyDescent="0.35">
      <c r="A1073" s="1">
        <v>0.33333333333333298</v>
      </c>
      <c r="B1073" s="1">
        <v>1</v>
      </c>
      <c r="C1073" s="1">
        <v>1</v>
      </c>
      <c r="D1073" s="1">
        <v>1</v>
      </c>
      <c r="E1073" s="1">
        <v>1</v>
      </c>
      <c r="F1073" s="1">
        <v>1</v>
      </c>
    </row>
    <row r="1074" spans="1:6" x14ac:dyDescent="0.35">
      <c r="A1074" s="1">
        <v>1</v>
      </c>
      <c r="B1074" s="1">
        <v>1</v>
      </c>
      <c r="C1074" s="1">
        <v>1</v>
      </c>
      <c r="D1074" s="1">
        <v>1</v>
      </c>
      <c r="E1074" s="1">
        <v>0.33333333333333298</v>
      </c>
      <c r="F1074" s="1">
        <v>3</v>
      </c>
    </row>
    <row r="1075" spans="1:6" x14ac:dyDescent="0.35">
      <c r="A1075" s="1">
        <v>9</v>
      </c>
      <c r="B1075" s="1">
        <v>7</v>
      </c>
      <c r="C1075" s="1">
        <v>7</v>
      </c>
      <c r="D1075" s="1">
        <v>7</v>
      </c>
      <c r="E1075" s="1">
        <v>5</v>
      </c>
      <c r="F1075" s="1">
        <v>5</v>
      </c>
    </row>
    <row r="1076" spans="1:6" x14ac:dyDescent="0.35">
      <c r="A1076" s="1">
        <v>9</v>
      </c>
      <c r="B1076" s="1">
        <v>5</v>
      </c>
      <c r="C1076" s="1">
        <v>5</v>
      </c>
      <c r="D1076" s="1">
        <v>7</v>
      </c>
      <c r="E1076" s="1">
        <v>5</v>
      </c>
      <c r="F1076" s="1">
        <v>0.33333333333333298</v>
      </c>
    </row>
    <row r="1077" spans="1:6" x14ac:dyDescent="0.35">
      <c r="A1077" s="1">
        <v>9</v>
      </c>
      <c r="B1077" s="1">
        <v>9</v>
      </c>
      <c r="C1077" s="1">
        <v>9</v>
      </c>
      <c r="D1077" s="1">
        <v>7</v>
      </c>
      <c r="E1077" s="1">
        <v>0.33333333333333298</v>
      </c>
      <c r="F1077" s="1">
        <v>5</v>
      </c>
    </row>
    <row r="1078" spans="1:6" x14ac:dyDescent="0.35">
      <c r="A1078" s="1">
        <v>9</v>
      </c>
      <c r="B1078" s="1">
        <v>7</v>
      </c>
      <c r="C1078" s="1">
        <v>9</v>
      </c>
      <c r="D1078" s="1">
        <v>9</v>
      </c>
      <c r="E1078" s="1">
        <v>9</v>
      </c>
      <c r="F1078" s="1">
        <v>9</v>
      </c>
    </row>
    <row r="1079" spans="1:6" x14ac:dyDescent="0.35">
      <c r="A1079" s="1">
        <v>9</v>
      </c>
      <c r="B1079" s="1">
        <v>7</v>
      </c>
      <c r="C1079" s="1">
        <v>9</v>
      </c>
      <c r="D1079" s="1">
        <v>7</v>
      </c>
      <c r="E1079" s="1">
        <v>5</v>
      </c>
      <c r="F1079" s="1">
        <v>0.33333333333333298</v>
      </c>
    </row>
    <row r="1080" spans="1:6" x14ac:dyDescent="0.35">
      <c r="A1080" s="1">
        <v>9</v>
      </c>
      <c r="B1080" s="1">
        <v>7</v>
      </c>
      <c r="C1080" s="1">
        <v>5</v>
      </c>
      <c r="D1080" s="1">
        <v>3</v>
      </c>
      <c r="E1080" s="1">
        <v>0.2</v>
      </c>
      <c r="F1080" s="1">
        <v>0.2</v>
      </c>
    </row>
    <row r="1081" spans="1:6" x14ac:dyDescent="0.35">
      <c r="A1081" s="1">
        <v>9</v>
      </c>
      <c r="B1081" s="1">
        <v>9</v>
      </c>
      <c r="C1081" s="1">
        <v>7</v>
      </c>
      <c r="D1081" s="1">
        <v>5</v>
      </c>
      <c r="E1081" s="1">
        <v>7</v>
      </c>
      <c r="F1081" s="1">
        <v>1</v>
      </c>
    </row>
    <row r="1082" spans="1:6" x14ac:dyDescent="0.35">
      <c r="A1082" s="1">
        <v>9</v>
      </c>
      <c r="B1082" s="1">
        <v>7</v>
      </c>
      <c r="C1082" s="1">
        <v>9</v>
      </c>
      <c r="D1082" s="1">
        <v>7</v>
      </c>
      <c r="E1082" s="1">
        <v>5</v>
      </c>
      <c r="F1082" s="1">
        <v>3</v>
      </c>
    </row>
    <row r="1083" spans="1:6" x14ac:dyDescent="0.35">
      <c r="A1083" s="1">
        <v>7</v>
      </c>
      <c r="B1083" s="1">
        <v>3</v>
      </c>
      <c r="C1083" s="1">
        <v>3</v>
      </c>
      <c r="D1083" s="1">
        <v>1</v>
      </c>
      <c r="E1083" s="1">
        <v>1</v>
      </c>
      <c r="F1083" s="1">
        <v>0.33333333333333298</v>
      </c>
    </row>
    <row r="1084" spans="1:6" x14ac:dyDescent="0.35">
      <c r="A1084" s="1">
        <v>9</v>
      </c>
      <c r="B1084" s="1">
        <v>5</v>
      </c>
      <c r="C1084" s="1">
        <v>9</v>
      </c>
      <c r="D1084" s="1">
        <v>7</v>
      </c>
      <c r="E1084" s="1">
        <v>5</v>
      </c>
      <c r="F1084" s="1">
        <v>5</v>
      </c>
    </row>
    <row r="1085" spans="1:6" x14ac:dyDescent="0.35">
      <c r="A1085" s="1">
        <v>0.33333333333333298</v>
      </c>
      <c r="B1085" s="1">
        <v>3</v>
      </c>
      <c r="C1085" s="1">
        <v>3</v>
      </c>
      <c r="D1085" s="1">
        <v>1</v>
      </c>
      <c r="E1085" s="1">
        <v>1</v>
      </c>
      <c r="F1085" s="1">
        <v>1</v>
      </c>
    </row>
    <row r="1086" spans="1:6" x14ac:dyDescent="0.35">
      <c r="A1086" s="1">
        <v>3</v>
      </c>
      <c r="B1086" s="1">
        <v>3</v>
      </c>
      <c r="C1086" s="1">
        <v>1</v>
      </c>
      <c r="D1086" s="1">
        <v>3</v>
      </c>
      <c r="E1086" s="1">
        <v>1</v>
      </c>
      <c r="F1086" s="1">
        <v>3</v>
      </c>
    </row>
    <row r="1087" spans="1:6" x14ac:dyDescent="0.35">
      <c r="A1087" s="1">
        <v>1</v>
      </c>
      <c r="B1087" s="1">
        <v>1</v>
      </c>
      <c r="C1087" s="1">
        <v>1</v>
      </c>
      <c r="D1087" s="1">
        <v>1</v>
      </c>
      <c r="E1087" s="1">
        <v>1</v>
      </c>
      <c r="F1087" s="1">
        <v>3</v>
      </c>
    </row>
    <row r="1088" spans="1:6" x14ac:dyDescent="0.35">
      <c r="A1088" s="1">
        <v>9</v>
      </c>
      <c r="B1088" s="1">
        <v>9</v>
      </c>
      <c r="C1088" s="1">
        <v>9</v>
      </c>
      <c r="D1088" s="1">
        <v>9</v>
      </c>
      <c r="E1088" s="1">
        <v>9</v>
      </c>
      <c r="F1088" s="1">
        <v>9</v>
      </c>
    </row>
    <row r="1089" spans="1:6" x14ac:dyDescent="0.35">
      <c r="A1089" s="1">
        <v>3</v>
      </c>
      <c r="B1089" s="1">
        <v>3</v>
      </c>
      <c r="C1089" s="1">
        <v>3</v>
      </c>
      <c r="D1089" s="1">
        <v>0.33333333333333298</v>
      </c>
      <c r="E1089" s="1">
        <v>3</v>
      </c>
      <c r="F1089" s="1">
        <v>3</v>
      </c>
    </row>
    <row r="1090" spans="1:6" x14ac:dyDescent="0.35">
      <c r="A1090" s="1">
        <v>9</v>
      </c>
      <c r="B1090" s="1">
        <v>9</v>
      </c>
      <c r="C1090" s="1">
        <v>5</v>
      </c>
      <c r="D1090" s="1">
        <v>7</v>
      </c>
      <c r="E1090" s="1">
        <v>7</v>
      </c>
      <c r="F1090" s="1">
        <v>5</v>
      </c>
    </row>
    <row r="1091" spans="1:6" x14ac:dyDescent="0.35">
      <c r="A1091" s="1">
        <v>5</v>
      </c>
      <c r="B1091" s="1">
        <v>1</v>
      </c>
      <c r="C1091" s="1">
        <v>1</v>
      </c>
      <c r="D1091" s="1">
        <v>1</v>
      </c>
      <c r="E1091" s="1">
        <v>0.33333333333333298</v>
      </c>
      <c r="F1091" s="1">
        <v>1</v>
      </c>
    </row>
    <row r="1092" spans="1:6" x14ac:dyDescent="0.35">
      <c r="A1092" s="1">
        <v>9</v>
      </c>
      <c r="B1092" s="1">
        <v>9</v>
      </c>
      <c r="C1092" s="1">
        <v>9</v>
      </c>
      <c r="D1092" s="1">
        <v>9</v>
      </c>
      <c r="E1092" s="1">
        <v>9</v>
      </c>
      <c r="F1092" s="1">
        <v>9</v>
      </c>
    </row>
    <row r="1093" spans="1:6" x14ac:dyDescent="0.35">
      <c r="A1093" s="1">
        <v>1</v>
      </c>
      <c r="B1093" s="1">
        <v>1</v>
      </c>
      <c r="C1093" s="1">
        <v>1</v>
      </c>
      <c r="D1093" s="1">
        <v>0.33333333333333298</v>
      </c>
      <c r="E1093" s="1">
        <v>1</v>
      </c>
      <c r="F1093" s="1">
        <v>1</v>
      </c>
    </row>
    <row r="1094" spans="1:6" x14ac:dyDescent="0.35">
      <c r="A1094" s="1">
        <v>9</v>
      </c>
      <c r="B1094" s="1">
        <v>9</v>
      </c>
      <c r="C1094" s="1">
        <v>9</v>
      </c>
      <c r="D1094" s="1">
        <v>7</v>
      </c>
      <c r="E1094" s="1">
        <v>7</v>
      </c>
      <c r="F1094" s="1">
        <v>9</v>
      </c>
    </row>
    <row r="1095" spans="1:6" x14ac:dyDescent="0.35">
      <c r="A1095" s="1">
        <v>3</v>
      </c>
      <c r="B1095" s="1">
        <v>0.33333333333333298</v>
      </c>
      <c r="C1095" s="1">
        <v>0.33333333333333298</v>
      </c>
      <c r="D1095" s="1">
        <v>1</v>
      </c>
      <c r="E1095" s="1">
        <v>1</v>
      </c>
      <c r="F1095" s="1">
        <v>1</v>
      </c>
    </row>
    <row r="1096" spans="1:6" x14ac:dyDescent="0.35">
      <c r="A1096" s="1">
        <v>9</v>
      </c>
      <c r="B1096" s="1">
        <v>9</v>
      </c>
      <c r="C1096" s="1">
        <v>9</v>
      </c>
      <c r="D1096" s="1">
        <v>7</v>
      </c>
      <c r="E1096" s="1">
        <v>9</v>
      </c>
      <c r="F1096" s="1">
        <v>9</v>
      </c>
    </row>
    <row r="1097" spans="1:6" x14ac:dyDescent="0.35">
      <c r="A1097" s="1">
        <v>9</v>
      </c>
      <c r="B1097" s="1">
        <v>9</v>
      </c>
      <c r="C1097" s="1">
        <v>5</v>
      </c>
      <c r="D1097" s="1">
        <v>9</v>
      </c>
      <c r="E1097" s="1">
        <v>7</v>
      </c>
      <c r="F1097" s="1">
        <v>9</v>
      </c>
    </row>
    <row r="1098" spans="1:6" x14ac:dyDescent="0.35">
      <c r="A1098" s="1">
        <v>9</v>
      </c>
      <c r="B1098" s="1">
        <v>9</v>
      </c>
      <c r="C1098" s="1">
        <v>9</v>
      </c>
      <c r="D1098" s="1">
        <v>9</v>
      </c>
      <c r="E1098" s="1">
        <v>9</v>
      </c>
      <c r="F1098" s="1">
        <v>9</v>
      </c>
    </row>
    <row r="1099" spans="1:6" x14ac:dyDescent="0.35">
      <c r="A1099" s="1">
        <v>1</v>
      </c>
      <c r="B1099" s="1">
        <v>3</v>
      </c>
      <c r="C1099" s="1">
        <v>1</v>
      </c>
      <c r="D1099" s="1">
        <v>1</v>
      </c>
      <c r="E1099" s="1">
        <v>1</v>
      </c>
      <c r="F1099" s="1">
        <v>1</v>
      </c>
    </row>
    <row r="1100" spans="1:6" x14ac:dyDescent="0.35">
      <c r="A1100" s="1">
        <v>9</v>
      </c>
      <c r="B1100" s="1">
        <v>9</v>
      </c>
      <c r="C1100" s="1">
        <v>9</v>
      </c>
      <c r="D1100" s="1">
        <v>7</v>
      </c>
      <c r="E1100" s="1">
        <v>9</v>
      </c>
      <c r="F1100" s="1">
        <v>9</v>
      </c>
    </row>
    <row r="1101" spans="1:6" x14ac:dyDescent="0.35">
      <c r="A1101" s="1">
        <v>9</v>
      </c>
      <c r="B1101" s="1">
        <v>7</v>
      </c>
      <c r="C1101" s="1">
        <v>1</v>
      </c>
      <c r="D1101" s="1">
        <v>7</v>
      </c>
      <c r="E1101" s="1">
        <v>7</v>
      </c>
      <c r="F1101" s="1">
        <v>5</v>
      </c>
    </row>
    <row r="1102" spans="1:6" x14ac:dyDescent="0.35">
      <c r="A1102" s="1">
        <v>9</v>
      </c>
      <c r="B1102" s="1">
        <v>7</v>
      </c>
      <c r="C1102" s="1">
        <v>9</v>
      </c>
      <c r="D1102" s="1">
        <v>7</v>
      </c>
      <c r="E1102" s="1">
        <v>7</v>
      </c>
      <c r="F1102" s="1">
        <v>7</v>
      </c>
    </row>
    <row r="1103" spans="1:6" x14ac:dyDescent="0.35">
      <c r="A1103" s="1">
        <v>9</v>
      </c>
      <c r="B1103" s="1">
        <v>9</v>
      </c>
      <c r="C1103" s="1">
        <v>9</v>
      </c>
      <c r="D1103" s="1">
        <v>9</v>
      </c>
      <c r="E1103" s="1">
        <v>0.14285714285714299</v>
      </c>
      <c r="F1103" s="1">
        <v>3</v>
      </c>
    </row>
    <row r="1104" spans="1:6" x14ac:dyDescent="0.35">
      <c r="A1104" s="1">
        <v>9</v>
      </c>
      <c r="B1104" s="1">
        <v>7</v>
      </c>
      <c r="C1104" s="1">
        <v>9</v>
      </c>
      <c r="D1104" s="1">
        <v>9</v>
      </c>
      <c r="E1104" s="1">
        <v>9</v>
      </c>
      <c r="F1104" s="1">
        <v>7</v>
      </c>
    </row>
    <row r="1105" spans="1:6" x14ac:dyDescent="0.35">
      <c r="A1105" s="1">
        <v>9</v>
      </c>
      <c r="B1105" s="1">
        <v>9</v>
      </c>
      <c r="C1105" s="1">
        <v>9</v>
      </c>
      <c r="D1105" s="1">
        <v>9</v>
      </c>
      <c r="E1105" s="1">
        <v>9</v>
      </c>
      <c r="F1105" s="1">
        <v>9</v>
      </c>
    </row>
    <row r="1106" spans="1:6" x14ac:dyDescent="0.35">
      <c r="A1106" s="1">
        <v>9</v>
      </c>
      <c r="B1106" s="1">
        <v>9</v>
      </c>
      <c r="C1106" s="1">
        <v>9</v>
      </c>
      <c r="D1106" s="1">
        <v>9</v>
      </c>
      <c r="E1106" s="1">
        <v>7</v>
      </c>
      <c r="F1106" s="1">
        <v>7</v>
      </c>
    </row>
    <row r="1107" spans="1:6" x14ac:dyDescent="0.35">
      <c r="A1107" s="1">
        <v>9</v>
      </c>
      <c r="B1107" s="1">
        <v>9</v>
      </c>
      <c r="C1107" s="1">
        <v>9</v>
      </c>
      <c r="D1107" s="1">
        <v>5</v>
      </c>
      <c r="E1107" s="1">
        <v>9</v>
      </c>
      <c r="F1107" s="1">
        <v>9</v>
      </c>
    </row>
    <row r="1108" spans="1:6" x14ac:dyDescent="0.35">
      <c r="A1108" s="1">
        <v>9</v>
      </c>
      <c r="B1108" s="1">
        <v>9</v>
      </c>
      <c r="C1108" s="1">
        <v>9</v>
      </c>
      <c r="D1108" s="1">
        <v>9</v>
      </c>
      <c r="E1108" s="1">
        <v>9</v>
      </c>
      <c r="F1108" s="1">
        <v>9</v>
      </c>
    </row>
    <row r="1109" spans="1:6" x14ac:dyDescent="0.35">
      <c r="A1109" s="1">
        <v>9</v>
      </c>
      <c r="B1109" s="1">
        <v>9</v>
      </c>
      <c r="C1109" s="1">
        <v>9</v>
      </c>
      <c r="D1109" s="1">
        <v>7</v>
      </c>
      <c r="E1109" s="1">
        <v>5</v>
      </c>
      <c r="F1109" s="1">
        <v>5</v>
      </c>
    </row>
    <row r="1110" spans="1:6" x14ac:dyDescent="0.35">
      <c r="A1110" s="1">
        <v>9</v>
      </c>
      <c r="B1110" s="1">
        <v>5</v>
      </c>
      <c r="C1110" s="1">
        <v>3</v>
      </c>
      <c r="D1110" s="1">
        <v>9</v>
      </c>
      <c r="E1110" s="1">
        <v>9</v>
      </c>
      <c r="F1110" s="1">
        <v>5</v>
      </c>
    </row>
    <row r="1111" spans="1:6" x14ac:dyDescent="0.35">
      <c r="A1111" s="1">
        <v>9</v>
      </c>
      <c r="B1111" s="1">
        <v>7</v>
      </c>
      <c r="C1111" s="1">
        <v>5</v>
      </c>
      <c r="D1111" s="1">
        <v>0.33333333333333298</v>
      </c>
      <c r="E1111" s="1">
        <v>5</v>
      </c>
      <c r="F1111" s="1">
        <v>0.33333333333333298</v>
      </c>
    </row>
    <row r="1112" spans="1:6" x14ac:dyDescent="0.35">
      <c r="A1112" s="1">
        <v>9</v>
      </c>
      <c r="B1112" s="1">
        <v>9</v>
      </c>
      <c r="C1112" s="1">
        <v>9</v>
      </c>
      <c r="D1112" s="1">
        <v>3</v>
      </c>
      <c r="E1112" s="1">
        <v>5</v>
      </c>
      <c r="F1112" s="1">
        <v>9</v>
      </c>
    </row>
    <row r="1113" spans="1:6" x14ac:dyDescent="0.35">
      <c r="A1113" s="1">
        <v>9</v>
      </c>
      <c r="B1113" s="1">
        <v>7</v>
      </c>
      <c r="C1113" s="1">
        <v>9</v>
      </c>
      <c r="D1113" s="1">
        <v>7</v>
      </c>
      <c r="E1113" s="1">
        <v>7</v>
      </c>
      <c r="F1113" s="1">
        <v>5</v>
      </c>
    </row>
    <row r="1114" spans="1:6" x14ac:dyDescent="0.35">
      <c r="A1114" s="1">
        <v>9</v>
      </c>
      <c r="B1114" s="1">
        <v>9</v>
      </c>
      <c r="C1114" s="1">
        <v>9</v>
      </c>
      <c r="D1114" s="1">
        <v>5</v>
      </c>
      <c r="E1114" s="1">
        <v>5</v>
      </c>
      <c r="F1114" s="1">
        <v>7</v>
      </c>
    </row>
    <row r="1115" spans="1:6" x14ac:dyDescent="0.35">
      <c r="A1115" s="1">
        <v>9</v>
      </c>
      <c r="B1115" s="1">
        <v>7</v>
      </c>
      <c r="C1115" s="1">
        <v>7</v>
      </c>
      <c r="D1115" s="1">
        <v>5</v>
      </c>
      <c r="E1115" s="1">
        <v>7</v>
      </c>
      <c r="F1115" s="1">
        <v>9</v>
      </c>
    </row>
    <row r="1116" spans="1:6" x14ac:dyDescent="0.35">
      <c r="A1116" s="1">
        <v>9</v>
      </c>
      <c r="B1116" s="1">
        <v>7</v>
      </c>
      <c r="C1116" s="1">
        <v>9</v>
      </c>
      <c r="D1116" s="1">
        <v>9</v>
      </c>
      <c r="E1116" s="1">
        <v>7</v>
      </c>
      <c r="F1116" s="1">
        <v>9</v>
      </c>
    </row>
    <row r="1117" spans="1:6" x14ac:dyDescent="0.35">
      <c r="A1117" s="1">
        <v>9</v>
      </c>
      <c r="B1117" s="1">
        <v>9</v>
      </c>
      <c r="C1117" s="1">
        <v>9</v>
      </c>
      <c r="D1117" s="1">
        <v>9</v>
      </c>
      <c r="E1117" s="1">
        <v>9</v>
      </c>
      <c r="F1117" s="1">
        <v>9</v>
      </c>
    </row>
    <row r="1118" spans="1:6" x14ac:dyDescent="0.35">
      <c r="A1118" s="1">
        <v>9</v>
      </c>
      <c r="B1118" s="1">
        <v>9</v>
      </c>
      <c r="C1118" s="1">
        <v>7</v>
      </c>
      <c r="D1118" s="1">
        <v>7</v>
      </c>
      <c r="E1118" s="1">
        <v>3</v>
      </c>
      <c r="F1118" s="1">
        <v>3</v>
      </c>
    </row>
    <row r="1119" spans="1:6" x14ac:dyDescent="0.35">
      <c r="A1119" s="1">
        <v>5</v>
      </c>
      <c r="B1119" s="1">
        <v>3</v>
      </c>
      <c r="C1119" s="1">
        <v>9</v>
      </c>
      <c r="D1119" s="1">
        <v>9</v>
      </c>
      <c r="E1119" s="1">
        <v>9</v>
      </c>
      <c r="F1119" s="1">
        <v>9</v>
      </c>
    </row>
    <row r="1120" spans="1:6" x14ac:dyDescent="0.35">
      <c r="A1120" s="1">
        <v>3</v>
      </c>
      <c r="B1120" s="1">
        <v>5</v>
      </c>
      <c r="C1120" s="1">
        <v>7</v>
      </c>
      <c r="D1120" s="1">
        <v>7</v>
      </c>
      <c r="E1120" s="1">
        <v>3</v>
      </c>
      <c r="F1120" s="1">
        <v>7</v>
      </c>
    </row>
    <row r="1121" spans="1:6" x14ac:dyDescent="0.35">
      <c r="A1121" s="1">
        <v>9</v>
      </c>
      <c r="B1121" s="1">
        <v>7</v>
      </c>
      <c r="C1121" s="1">
        <v>5</v>
      </c>
      <c r="D1121" s="1">
        <v>3</v>
      </c>
      <c r="E1121" s="1">
        <v>1</v>
      </c>
      <c r="F1121" s="1">
        <v>0.33333333333333298</v>
      </c>
    </row>
    <row r="1122" spans="1:6" x14ac:dyDescent="0.35">
      <c r="A1122" s="1">
        <v>0.11111111111111099</v>
      </c>
      <c r="B1122" s="1">
        <v>0.2</v>
      </c>
      <c r="C1122" s="1">
        <v>0.14285714285714299</v>
      </c>
      <c r="D1122" s="1">
        <v>0.33333333333333298</v>
      </c>
      <c r="E1122" s="1">
        <v>1</v>
      </c>
      <c r="F1122" s="1">
        <v>0.2</v>
      </c>
    </row>
    <row r="1123" spans="1:6" x14ac:dyDescent="0.35">
      <c r="A1123" s="1">
        <v>3</v>
      </c>
      <c r="B1123" s="1">
        <v>0.33333333333333298</v>
      </c>
      <c r="C1123" s="1">
        <v>1</v>
      </c>
      <c r="D1123" s="1">
        <v>0.2</v>
      </c>
      <c r="E1123" s="1">
        <v>0.14285714285714299</v>
      </c>
      <c r="F1123" s="1">
        <v>0.11111111111111099</v>
      </c>
    </row>
    <row r="1124" spans="1:6" x14ac:dyDescent="0.35">
      <c r="A1124" s="1">
        <v>5</v>
      </c>
      <c r="B1124" s="1">
        <v>1</v>
      </c>
      <c r="C1124" s="1">
        <v>9</v>
      </c>
      <c r="D1124" s="1">
        <v>0.33333333333333298</v>
      </c>
      <c r="E1124" s="1">
        <v>1</v>
      </c>
      <c r="F1124" s="1">
        <v>0.14285714285714299</v>
      </c>
    </row>
    <row r="1125" spans="1:6" x14ac:dyDescent="0.35">
      <c r="A1125" s="1">
        <v>0.2</v>
      </c>
      <c r="B1125" s="1">
        <v>0.2</v>
      </c>
      <c r="C1125" s="1">
        <v>0.11111111111111099</v>
      </c>
      <c r="D1125" s="1">
        <v>5</v>
      </c>
      <c r="E1125" s="1">
        <v>0.33333333333333298</v>
      </c>
      <c r="F1125" s="1">
        <v>0.2</v>
      </c>
    </row>
    <row r="1126" spans="1:6" x14ac:dyDescent="0.35">
      <c r="A1126" s="1">
        <v>5</v>
      </c>
      <c r="B1126" s="1">
        <v>5</v>
      </c>
      <c r="C1126" s="1">
        <v>7</v>
      </c>
      <c r="D1126" s="1">
        <v>9</v>
      </c>
      <c r="E1126" s="1">
        <v>0.14285714285714299</v>
      </c>
      <c r="F1126" s="1">
        <v>0.2</v>
      </c>
    </row>
    <row r="1127" spans="1:6" x14ac:dyDescent="0.35">
      <c r="A1127" s="1">
        <v>0.14285714285714299</v>
      </c>
      <c r="B1127" s="1">
        <v>0.33333333333333298</v>
      </c>
      <c r="C1127" s="1">
        <v>0.33333333333333298</v>
      </c>
      <c r="D1127" s="1">
        <v>0.14285714285714299</v>
      </c>
      <c r="E1127" s="1">
        <v>0.14285714285714299</v>
      </c>
      <c r="F1127" s="1">
        <v>1</v>
      </c>
    </row>
    <row r="1128" spans="1:6" x14ac:dyDescent="0.35">
      <c r="A1128" s="1">
        <v>0.33333333333333298</v>
      </c>
      <c r="B1128" s="1">
        <v>3</v>
      </c>
      <c r="C1128" s="1">
        <v>0.14285714285714299</v>
      </c>
      <c r="D1128" s="1">
        <v>7</v>
      </c>
      <c r="E1128" s="1">
        <v>0.14285714285714299</v>
      </c>
      <c r="F1128" s="1">
        <v>7</v>
      </c>
    </row>
    <row r="1129" spans="1:6" x14ac:dyDescent="0.35">
      <c r="A1129" s="1">
        <v>0.2</v>
      </c>
      <c r="B1129" s="1">
        <v>7</v>
      </c>
      <c r="C1129" s="1">
        <v>1</v>
      </c>
      <c r="D1129" s="1">
        <v>9</v>
      </c>
      <c r="E1129" s="1">
        <v>0.2</v>
      </c>
      <c r="F1129" s="1">
        <v>0.2</v>
      </c>
    </row>
    <row r="1130" spans="1:6" x14ac:dyDescent="0.35">
      <c r="A1130" s="1">
        <v>3</v>
      </c>
      <c r="B1130" s="1">
        <v>7</v>
      </c>
      <c r="C1130" s="1">
        <v>5</v>
      </c>
      <c r="D1130" s="1">
        <v>9</v>
      </c>
      <c r="E1130" s="1">
        <v>9</v>
      </c>
      <c r="F1130" s="1">
        <v>3</v>
      </c>
    </row>
    <row r="1131" spans="1:6" x14ac:dyDescent="0.35">
      <c r="A1131" s="1">
        <v>0.33333333333333298</v>
      </c>
      <c r="B1131" s="1">
        <v>0.2</v>
      </c>
      <c r="C1131" s="1">
        <v>0.11111111111111099</v>
      </c>
      <c r="D1131" s="1">
        <v>0.14285714285714299</v>
      </c>
      <c r="E1131" s="1">
        <v>1</v>
      </c>
      <c r="F1131" s="1">
        <v>0.14285714285714299</v>
      </c>
    </row>
    <row r="1132" spans="1:6" x14ac:dyDescent="0.35">
      <c r="A1132" s="1">
        <v>0.2</v>
      </c>
      <c r="B1132" s="1">
        <v>0.14285714285714299</v>
      </c>
      <c r="C1132" s="1">
        <v>0.33333333333333298</v>
      </c>
      <c r="D1132" s="1">
        <v>0.14285714285714299</v>
      </c>
      <c r="E1132" s="1">
        <v>0.33333333333333298</v>
      </c>
      <c r="F1132" s="1">
        <v>3</v>
      </c>
    </row>
    <row r="1133" spans="1:6" x14ac:dyDescent="0.35">
      <c r="A1133" s="1">
        <v>0.2</v>
      </c>
      <c r="B1133" s="1">
        <v>3</v>
      </c>
      <c r="C1133" s="1">
        <v>5</v>
      </c>
      <c r="D1133" s="1">
        <v>7</v>
      </c>
      <c r="E1133" s="1">
        <v>1</v>
      </c>
      <c r="F1133" s="1">
        <v>0.2</v>
      </c>
    </row>
    <row r="1134" spans="1:6" x14ac:dyDescent="0.35">
      <c r="A1134" s="1">
        <v>3</v>
      </c>
      <c r="B1134" s="1">
        <v>7</v>
      </c>
      <c r="C1134" s="1">
        <v>7</v>
      </c>
      <c r="D1134" s="1">
        <v>9</v>
      </c>
      <c r="E1134" s="1">
        <v>0.2</v>
      </c>
      <c r="F1134" s="1">
        <v>0.2</v>
      </c>
    </row>
    <row r="1135" spans="1:6" x14ac:dyDescent="0.35">
      <c r="A1135" s="1">
        <v>3</v>
      </c>
      <c r="B1135" s="1">
        <v>0.14285714285714299</v>
      </c>
      <c r="C1135" s="1">
        <v>0.14285714285714299</v>
      </c>
      <c r="D1135" s="1">
        <v>0.14285714285714299</v>
      </c>
      <c r="E1135" s="1">
        <v>7</v>
      </c>
      <c r="F1135" s="1">
        <v>0.33333333333333298</v>
      </c>
    </row>
    <row r="1136" spans="1:6" x14ac:dyDescent="0.35">
      <c r="A1136" s="1">
        <v>0.33333333333333298</v>
      </c>
      <c r="B1136" s="1">
        <v>1</v>
      </c>
      <c r="C1136" s="1">
        <v>5</v>
      </c>
      <c r="D1136" s="1">
        <v>0.14285714285714299</v>
      </c>
      <c r="E1136" s="1">
        <v>0.11111111111111099</v>
      </c>
      <c r="F1136" s="1">
        <v>0.2</v>
      </c>
    </row>
    <row r="1137" spans="1:6" x14ac:dyDescent="0.35">
      <c r="A1137" s="1">
        <v>0.14285714285714299</v>
      </c>
      <c r="B1137" s="1">
        <v>0.11111111111111099</v>
      </c>
      <c r="C1137" s="1">
        <v>0.2</v>
      </c>
      <c r="D1137" s="1">
        <v>0.33333333333333298</v>
      </c>
      <c r="E1137" s="1">
        <v>1</v>
      </c>
      <c r="F1137" s="1">
        <v>0.14285714285714299</v>
      </c>
    </row>
    <row r="1138" spans="1:6" x14ac:dyDescent="0.35">
      <c r="A1138" s="1">
        <v>0.11111111111111099</v>
      </c>
      <c r="B1138" s="1">
        <v>0.14285714285714299</v>
      </c>
      <c r="C1138" s="1">
        <v>1</v>
      </c>
      <c r="D1138" s="1">
        <v>0.33333333333333298</v>
      </c>
      <c r="E1138" s="1">
        <v>7</v>
      </c>
      <c r="F1138" s="1">
        <v>5</v>
      </c>
    </row>
    <row r="1139" spans="1:6" x14ac:dyDescent="0.35">
      <c r="A1139" s="1">
        <v>0.2</v>
      </c>
      <c r="B1139" s="1">
        <v>0.14285714285714299</v>
      </c>
      <c r="C1139" s="1">
        <v>1</v>
      </c>
      <c r="D1139" s="1">
        <v>0.2</v>
      </c>
      <c r="E1139" s="1">
        <v>5</v>
      </c>
      <c r="F1139" s="1">
        <v>9</v>
      </c>
    </row>
    <row r="1140" spans="1:6" x14ac:dyDescent="0.35">
      <c r="A1140" s="1">
        <v>0.2</v>
      </c>
      <c r="B1140" s="1">
        <v>3</v>
      </c>
      <c r="C1140" s="1">
        <v>0.11111111111111099</v>
      </c>
      <c r="D1140" s="1">
        <v>5</v>
      </c>
      <c r="E1140" s="1">
        <v>0.14285714285714299</v>
      </c>
      <c r="F1140" s="1">
        <v>7</v>
      </c>
    </row>
    <row r="1141" spans="1:6" x14ac:dyDescent="0.35">
      <c r="A1141" s="1">
        <v>0.14285714285714299</v>
      </c>
      <c r="B1141" s="1">
        <v>0.2</v>
      </c>
      <c r="C1141" s="1">
        <v>0.2</v>
      </c>
      <c r="D1141" s="1">
        <v>1</v>
      </c>
      <c r="E1141" s="1">
        <v>0.11111111111111099</v>
      </c>
      <c r="F1141" s="1">
        <v>0.11111111111111099</v>
      </c>
    </row>
    <row r="1142" spans="1:6" x14ac:dyDescent="0.35">
      <c r="A1142" s="1">
        <v>0.2</v>
      </c>
      <c r="B1142" s="1">
        <v>0.2</v>
      </c>
      <c r="C1142" s="1">
        <v>0.11111111111111099</v>
      </c>
      <c r="D1142" s="1">
        <v>0.33333333333333298</v>
      </c>
      <c r="E1142" s="1">
        <v>1</v>
      </c>
      <c r="F1142" s="1">
        <v>0.2</v>
      </c>
    </row>
    <row r="1143" spans="1:6" x14ac:dyDescent="0.35">
      <c r="A1143" s="1">
        <v>5</v>
      </c>
      <c r="B1143" s="1">
        <v>0.33333333333333298</v>
      </c>
      <c r="C1143" s="1">
        <v>9</v>
      </c>
      <c r="D1143" s="1">
        <v>0.2</v>
      </c>
      <c r="E1143" s="1">
        <v>0.14285714285714299</v>
      </c>
      <c r="F1143" s="1">
        <v>5</v>
      </c>
    </row>
    <row r="1144" spans="1:6" x14ac:dyDescent="0.35">
      <c r="A1144" s="1">
        <v>0.33333333333333298</v>
      </c>
      <c r="B1144" s="1">
        <v>5</v>
      </c>
      <c r="C1144" s="1">
        <v>0.2</v>
      </c>
      <c r="D1144" s="1">
        <v>0.14285714285714299</v>
      </c>
      <c r="E1144" s="1">
        <v>0.14285714285714299</v>
      </c>
      <c r="F1144" s="1">
        <v>0.14285714285714299</v>
      </c>
    </row>
    <row r="1145" spans="1:6" x14ac:dyDescent="0.35">
      <c r="A1145" s="1">
        <v>0.14285714285714299</v>
      </c>
      <c r="B1145" s="1">
        <v>0.2</v>
      </c>
      <c r="C1145" s="1">
        <v>1</v>
      </c>
      <c r="D1145" s="1">
        <v>0.33333333333333298</v>
      </c>
      <c r="E1145" s="1">
        <v>0.11111111111111099</v>
      </c>
      <c r="F1145" s="1">
        <v>3</v>
      </c>
    </row>
    <row r="1146" spans="1:6" x14ac:dyDescent="0.35">
      <c r="A1146" s="1">
        <v>1</v>
      </c>
      <c r="B1146" s="1">
        <v>0.33333333333333298</v>
      </c>
      <c r="C1146" s="1">
        <v>0.2</v>
      </c>
      <c r="D1146" s="1">
        <v>0.2</v>
      </c>
      <c r="E1146" s="1">
        <v>0.14285714285714299</v>
      </c>
      <c r="F1146" s="1">
        <v>0.2</v>
      </c>
    </row>
    <row r="1147" spans="1:6" x14ac:dyDescent="0.35">
      <c r="A1147" s="1">
        <v>0.11111111111111099</v>
      </c>
      <c r="B1147" s="1">
        <v>0.33333333333333298</v>
      </c>
      <c r="C1147" s="1">
        <v>1</v>
      </c>
      <c r="D1147" s="1">
        <v>0.33333333333333298</v>
      </c>
      <c r="E1147" s="1">
        <v>5</v>
      </c>
      <c r="F1147" s="1">
        <v>0.2</v>
      </c>
    </row>
    <row r="1148" spans="1:6" x14ac:dyDescent="0.35">
      <c r="A1148" s="1">
        <v>0.11111111111111099</v>
      </c>
      <c r="B1148" s="1">
        <v>0.2</v>
      </c>
      <c r="C1148" s="1">
        <v>0.33333333333333298</v>
      </c>
      <c r="D1148" s="1">
        <v>1</v>
      </c>
      <c r="E1148" s="1">
        <v>3</v>
      </c>
      <c r="F1148" s="1">
        <v>9</v>
      </c>
    </row>
    <row r="1149" spans="1:6" x14ac:dyDescent="0.35">
      <c r="A1149" s="1">
        <v>0.33333333333333298</v>
      </c>
      <c r="B1149" s="1">
        <v>0.14285714285714299</v>
      </c>
      <c r="C1149" s="1">
        <v>0.2</v>
      </c>
      <c r="D1149" s="1">
        <v>5</v>
      </c>
      <c r="E1149" s="1">
        <v>5</v>
      </c>
      <c r="F1149" s="1">
        <v>0.2</v>
      </c>
    </row>
    <row r="1150" spans="1:6" x14ac:dyDescent="0.35">
      <c r="A1150" s="1">
        <v>0.14285714285714299</v>
      </c>
      <c r="B1150" s="1">
        <v>5</v>
      </c>
      <c r="C1150" s="1">
        <v>3</v>
      </c>
      <c r="D1150" s="1">
        <v>7</v>
      </c>
      <c r="E1150" s="1">
        <v>0.2</v>
      </c>
      <c r="F1150" s="1">
        <v>9</v>
      </c>
    </row>
    <row r="1151" spans="1:6" x14ac:dyDescent="0.35">
      <c r="A1151" s="1">
        <v>0.14285714285714299</v>
      </c>
      <c r="B1151" s="1">
        <v>0.14285714285714299</v>
      </c>
      <c r="C1151" s="1">
        <v>0.2</v>
      </c>
      <c r="D1151" s="1">
        <v>7</v>
      </c>
      <c r="E1151" s="1">
        <v>5</v>
      </c>
      <c r="F1151" s="1">
        <v>9</v>
      </c>
    </row>
    <row r="1152" spans="1:6" x14ac:dyDescent="0.35">
      <c r="A1152" s="1">
        <v>0.11111111111111099</v>
      </c>
      <c r="B1152" s="1">
        <v>0.2</v>
      </c>
      <c r="C1152" s="1">
        <v>0.33333333333333298</v>
      </c>
      <c r="D1152" s="1">
        <v>3</v>
      </c>
      <c r="E1152" s="1">
        <v>1</v>
      </c>
      <c r="F1152" s="1">
        <v>7</v>
      </c>
    </row>
    <row r="1153" spans="1:6" x14ac:dyDescent="0.35">
      <c r="A1153" s="1">
        <v>0.11111111111111099</v>
      </c>
      <c r="B1153" s="1">
        <v>0.14285714285714299</v>
      </c>
      <c r="C1153" s="1">
        <v>5</v>
      </c>
      <c r="D1153" s="1">
        <v>0.2</v>
      </c>
      <c r="E1153" s="1">
        <v>0.14285714285714299</v>
      </c>
      <c r="F1153" s="1">
        <v>0.14285714285714299</v>
      </c>
    </row>
    <row r="1154" spans="1:6" x14ac:dyDescent="0.35">
      <c r="A1154" s="1">
        <v>0.14285714285714299</v>
      </c>
      <c r="B1154" s="1">
        <v>0.14285714285714299</v>
      </c>
      <c r="C1154" s="1">
        <v>0.33333333333333298</v>
      </c>
      <c r="D1154" s="1">
        <v>7</v>
      </c>
      <c r="E1154" s="1">
        <v>1</v>
      </c>
      <c r="F1154" s="1">
        <v>0.33333333333333298</v>
      </c>
    </row>
    <row r="1155" spans="1:6" x14ac:dyDescent="0.35">
      <c r="A1155" s="1">
        <v>0.14285714285714299</v>
      </c>
      <c r="B1155" s="1">
        <v>0.11111111111111099</v>
      </c>
      <c r="C1155" s="1">
        <v>0.33333333333333298</v>
      </c>
      <c r="D1155" s="1">
        <v>1</v>
      </c>
      <c r="E1155" s="1">
        <v>3</v>
      </c>
      <c r="F1155" s="1">
        <v>0.2</v>
      </c>
    </row>
    <row r="1156" spans="1:6" x14ac:dyDescent="0.35">
      <c r="A1156" s="1">
        <v>0.14285714285714299</v>
      </c>
      <c r="B1156" s="1">
        <v>0.2</v>
      </c>
      <c r="C1156" s="1">
        <v>5</v>
      </c>
      <c r="D1156" s="1">
        <v>0.33333333333333298</v>
      </c>
      <c r="E1156" s="1">
        <v>7</v>
      </c>
      <c r="F1156" s="1">
        <v>9</v>
      </c>
    </row>
    <row r="1157" spans="1:6" x14ac:dyDescent="0.35">
      <c r="A1157" s="1">
        <v>0.2</v>
      </c>
      <c r="B1157" s="1">
        <v>0.14285714285714299</v>
      </c>
      <c r="C1157" s="1">
        <v>0.2</v>
      </c>
      <c r="D1157" s="1">
        <v>7</v>
      </c>
      <c r="E1157" s="1">
        <v>1</v>
      </c>
      <c r="F1157" s="1">
        <v>0.2</v>
      </c>
    </row>
    <row r="1158" spans="1:6" x14ac:dyDescent="0.35">
      <c r="A1158" s="1">
        <v>0.14285714285714299</v>
      </c>
      <c r="B1158" s="1">
        <v>0.11111111111111099</v>
      </c>
      <c r="C1158" s="1">
        <v>5</v>
      </c>
      <c r="D1158" s="1">
        <v>0.33333333333333298</v>
      </c>
      <c r="E1158" s="1">
        <v>5</v>
      </c>
      <c r="F1158" s="1">
        <v>0.33333333333333298</v>
      </c>
    </row>
    <row r="1159" spans="1:6" x14ac:dyDescent="0.35">
      <c r="A1159" s="1">
        <v>0.14285714285714299</v>
      </c>
      <c r="B1159" s="1">
        <v>0.11111111111111099</v>
      </c>
      <c r="C1159" s="1">
        <v>0.2</v>
      </c>
      <c r="D1159" s="1">
        <v>5</v>
      </c>
      <c r="E1159" s="1">
        <v>0.33333333333333298</v>
      </c>
      <c r="F1159" s="1">
        <v>9</v>
      </c>
    </row>
    <row r="1160" spans="1:6" x14ac:dyDescent="0.35">
      <c r="A1160" s="1">
        <v>0.14285714285714299</v>
      </c>
      <c r="B1160" s="1">
        <v>0.2</v>
      </c>
      <c r="C1160" s="1">
        <v>0.33333333333333298</v>
      </c>
      <c r="D1160" s="1">
        <v>9</v>
      </c>
      <c r="E1160" s="1">
        <v>5</v>
      </c>
      <c r="F1160" s="1">
        <v>7</v>
      </c>
    </row>
    <row r="1161" spans="1:6" x14ac:dyDescent="0.35">
      <c r="A1161" s="1">
        <v>0.2</v>
      </c>
      <c r="B1161" s="1">
        <v>0.33333333333333298</v>
      </c>
      <c r="C1161" s="1">
        <v>0.14285714285714299</v>
      </c>
      <c r="D1161" s="1">
        <v>0.2</v>
      </c>
      <c r="E1161" s="1">
        <v>0.14285714285714299</v>
      </c>
      <c r="F1161" s="1">
        <v>5</v>
      </c>
    </row>
    <row r="1162" spans="1:6" x14ac:dyDescent="0.35">
      <c r="A1162" s="1">
        <v>7</v>
      </c>
      <c r="B1162" s="1">
        <v>5</v>
      </c>
      <c r="C1162" s="1">
        <v>3</v>
      </c>
      <c r="D1162" s="1">
        <v>0.14285714285714299</v>
      </c>
      <c r="E1162" s="1">
        <v>0.14285714285714299</v>
      </c>
      <c r="F1162" s="1">
        <v>0.2</v>
      </c>
    </row>
    <row r="1163" spans="1:6" x14ac:dyDescent="0.35">
      <c r="A1163" s="1">
        <v>0.2</v>
      </c>
      <c r="B1163" s="1">
        <v>0.2</v>
      </c>
      <c r="C1163" s="1">
        <v>0.2</v>
      </c>
      <c r="D1163" s="1">
        <v>0.2</v>
      </c>
      <c r="E1163" s="1">
        <v>7</v>
      </c>
      <c r="F1163" s="1">
        <v>3</v>
      </c>
    </row>
    <row r="1164" spans="1:6" x14ac:dyDescent="0.35">
      <c r="A1164" s="1">
        <v>0.11111111111111099</v>
      </c>
      <c r="B1164" s="1">
        <v>0.11111111111111099</v>
      </c>
      <c r="C1164" s="1">
        <v>1</v>
      </c>
      <c r="D1164" s="1">
        <v>1</v>
      </c>
      <c r="E1164" s="1">
        <v>5</v>
      </c>
      <c r="F1164" s="1">
        <v>1</v>
      </c>
    </row>
    <row r="1165" spans="1:6" x14ac:dyDescent="0.35">
      <c r="A1165" s="1">
        <v>0.11111111111111099</v>
      </c>
      <c r="B1165" s="1">
        <v>0.2</v>
      </c>
      <c r="C1165" s="1">
        <v>5</v>
      </c>
      <c r="D1165" s="1">
        <v>0.14285714285714299</v>
      </c>
      <c r="E1165" s="1">
        <v>5</v>
      </c>
      <c r="F1165" s="1">
        <v>9</v>
      </c>
    </row>
    <row r="1166" spans="1:6" x14ac:dyDescent="0.35">
      <c r="A1166" s="1">
        <v>0.2</v>
      </c>
      <c r="B1166" s="1">
        <v>0.2</v>
      </c>
      <c r="C1166" s="1">
        <v>0.33333333333333298</v>
      </c>
      <c r="D1166" s="1">
        <v>3</v>
      </c>
      <c r="E1166" s="1">
        <v>7</v>
      </c>
      <c r="F1166" s="1">
        <v>0.14285714285714299</v>
      </c>
    </row>
    <row r="1167" spans="1:6" x14ac:dyDescent="0.35">
      <c r="A1167" s="1">
        <v>0.33333333333333298</v>
      </c>
      <c r="B1167" s="1">
        <v>0.2</v>
      </c>
      <c r="C1167" s="1">
        <v>5</v>
      </c>
      <c r="D1167" s="1">
        <v>0.33333333333333298</v>
      </c>
      <c r="E1167" s="1">
        <v>7</v>
      </c>
      <c r="F1167" s="1">
        <v>9</v>
      </c>
    </row>
    <row r="1168" spans="1:6" x14ac:dyDescent="0.35">
      <c r="A1168" s="1">
        <v>0.2</v>
      </c>
      <c r="B1168" s="1">
        <v>3</v>
      </c>
      <c r="C1168" s="1">
        <v>1</v>
      </c>
      <c r="D1168" s="1">
        <v>9</v>
      </c>
      <c r="E1168" s="1">
        <v>5</v>
      </c>
      <c r="F1168" s="1">
        <v>5</v>
      </c>
    </row>
    <row r="1169" spans="1:6" x14ac:dyDescent="0.35">
      <c r="A1169" s="1">
        <v>0.2</v>
      </c>
      <c r="B1169" s="1">
        <v>0.11111111111111099</v>
      </c>
      <c r="C1169" s="1">
        <v>0.33333333333333298</v>
      </c>
      <c r="D1169" s="1">
        <v>3</v>
      </c>
      <c r="E1169" s="1">
        <v>7</v>
      </c>
      <c r="F1169" s="1">
        <v>0.2</v>
      </c>
    </row>
    <row r="1170" spans="1:6" x14ac:dyDescent="0.35">
      <c r="A1170" s="1">
        <v>3</v>
      </c>
      <c r="B1170" s="1">
        <v>0.14285714285714299</v>
      </c>
      <c r="C1170" s="1">
        <v>0.14285714285714299</v>
      </c>
      <c r="D1170" s="1">
        <v>0.14285714285714299</v>
      </c>
      <c r="E1170" s="1">
        <v>0.11111111111111099</v>
      </c>
      <c r="F1170" s="1">
        <v>0.2</v>
      </c>
    </row>
    <row r="1171" spans="1:6" x14ac:dyDescent="0.35">
      <c r="A1171" s="1">
        <v>9</v>
      </c>
      <c r="B1171" s="1">
        <v>7</v>
      </c>
      <c r="C1171" s="1">
        <v>7</v>
      </c>
      <c r="D1171" s="1">
        <v>7</v>
      </c>
      <c r="E1171" s="1">
        <v>7</v>
      </c>
      <c r="F1171" s="1">
        <v>7</v>
      </c>
    </row>
    <row r="1172" spans="1:6" x14ac:dyDescent="0.35">
      <c r="A1172" s="1">
        <v>9</v>
      </c>
      <c r="B1172" s="1">
        <v>9</v>
      </c>
      <c r="C1172" s="1">
        <v>9</v>
      </c>
      <c r="D1172" s="1">
        <v>9</v>
      </c>
      <c r="E1172" s="1">
        <v>9</v>
      </c>
      <c r="F1172" s="1">
        <v>9</v>
      </c>
    </row>
    <row r="1173" spans="1:6" x14ac:dyDescent="0.35">
      <c r="A1173" s="1">
        <v>9</v>
      </c>
      <c r="B1173" s="1">
        <v>7</v>
      </c>
      <c r="C1173" s="1">
        <v>7</v>
      </c>
      <c r="D1173" s="1">
        <v>9</v>
      </c>
      <c r="E1173" s="1">
        <v>3</v>
      </c>
      <c r="F1173" s="1">
        <v>7</v>
      </c>
    </row>
    <row r="1174" spans="1:6" x14ac:dyDescent="0.35">
      <c r="A1174" s="1">
        <v>9</v>
      </c>
      <c r="B1174" s="1">
        <v>9</v>
      </c>
      <c r="C1174" s="1">
        <v>7</v>
      </c>
      <c r="D1174" s="1">
        <v>9</v>
      </c>
      <c r="E1174" s="1">
        <v>9</v>
      </c>
      <c r="F1174" s="1">
        <v>5</v>
      </c>
    </row>
    <row r="1175" spans="1:6" x14ac:dyDescent="0.35">
      <c r="A1175" s="1">
        <v>9</v>
      </c>
      <c r="B1175" s="1">
        <v>9</v>
      </c>
      <c r="C1175" s="1">
        <v>7</v>
      </c>
      <c r="D1175" s="1">
        <v>7</v>
      </c>
      <c r="E1175" s="1">
        <v>3</v>
      </c>
      <c r="F1175" s="1">
        <v>7</v>
      </c>
    </row>
    <row r="1176" spans="1:6" x14ac:dyDescent="0.35">
      <c r="A1176" s="1">
        <v>3</v>
      </c>
      <c r="B1176" s="1">
        <v>9</v>
      </c>
      <c r="C1176" s="1">
        <v>9</v>
      </c>
      <c r="D1176" s="1">
        <v>7</v>
      </c>
      <c r="E1176" s="1">
        <v>7</v>
      </c>
      <c r="F1176" s="1">
        <v>3</v>
      </c>
    </row>
    <row r="1177" spans="1:6" x14ac:dyDescent="0.35">
      <c r="A1177" s="1">
        <v>5</v>
      </c>
      <c r="B1177" s="1">
        <v>9</v>
      </c>
      <c r="C1177" s="1">
        <v>9</v>
      </c>
      <c r="D1177" s="1">
        <v>9</v>
      </c>
      <c r="E1177" s="1">
        <v>9</v>
      </c>
      <c r="F1177" s="1">
        <v>9</v>
      </c>
    </row>
    <row r="1178" spans="1:6" x14ac:dyDescent="0.35">
      <c r="A1178" s="1">
        <v>9</v>
      </c>
      <c r="B1178" s="1">
        <v>9</v>
      </c>
      <c r="C1178" s="1">
        <v>9</v>
      </c>
      <c r="D1178" s="1">
        <v>9</v>
      </c>
      <c r="E1178" s="1">
        <v>7</v>
      </c>
      <c r="F1178" s="1">
        <v>3</v>
      </c>
    </row>
    <row r="1179" spans="1:6" x14ac:dyDescent="0.35">
      <c r="A1179" s="1">
        <v>9</v>
      </c>
      <c r="B1179" s="1">
        <v>9</v>
      </c>
      <c r="C1179" s="1">
        <v>9</v>
      </c>
      <c r="D1179" s="1">
        <v>7</v>
      </c>
      <c r="E1179" s="1">
        <v>9</v>
      </c>
      <c r="F1179" s="1">
        <v>9</v>
      </c>
    </row>
    <row r="1180" spans="1:6" x14ac:dyDescent="0.35">
      <c r="A1180" s="1">
        <v>9</v>
      </c>
      <c r="B1180" s="1">
        <v>7</v>
      </c>
      <c r="C1180" s="1">
        <v>7</v>
      </c>
      <c r="D1180" s="1">
        <v>9</v>
      </c>
      <c r="E1180" s="1">
        <v>9</v>
      </c>
      <c r="F1180" s="1">
        <v>7</v>
      </c>
    </row>
    <row r="1181" spans="1:6" x14ac:dyDescent="0.35">
      <c r="A1181" s="1">
        <v>9</v>
      </c>
      <c r="B1181" s="1">
        <v>7</v>
      </c>
      <c r="C1181" s="1">
        <v>7</v>
      </c>
      <c r="D1181" s="1">
        <v>7</v>
      </c>
      <c r="E1181" s="1">
        <v>5</v>
      </c>
      <c r="F1181" s="1">
        <v>5</v>
      </c>
    </row>
    <row r="1182" spans="1:6" x14ac:dyDescent="0.35">
      <c r="A1182" s="1">
        <v>7</v>
      </c>
      <c r="B1182" s="1">
        <v>9</v>
      </c>
      <c r="C1182" s="1">
        <v>7</v>
      </c>
      <c r="D1182" s="1">
        <v>9</v>
      </c>
      <c r="E1182" s="1">
        <v>7</v>
      </c>
      <c r="F1182" s="1">
        <v>5</v>
      </c>
    </row>
    <row r="1183" spans="1:6" x14ac:dyDescent="0.35">
      <c r="A1183" s="1">
        <v>9</v>
      </c>
      <c r="B1183" s="1">
        <v>7</v>
      </c>
      <c r="C1183" s="1">
        <v>5</v>
      </c>
      <c r="D1183" s="1">
        <v>5</v>
      </c>
      <c r="E1183" s="1">
        <v>1</v>
      </c>
      <c r="F1183" s="1">
        <v>5</v>
      </c>
    </row>
    <row r="1184" spans="1:6" x14ac:dyDescent="0.35">
      <c r="A1184" s="1">
        <v>3</v>
      </c>
      <c r="B1184" s="1">
        <v>7</v>
      </c>
      <c r="C1184" s="1">
        <v>5</v>
      </c>
      <c r="D1184" s="1">
        <v>3</v>
      </c>
      <c r="E1184" s="1">
        <v>3</v>
      </c>
      <c r="F1184" s="1">
        <v>9</v>
      </c>
    </row>
    <row r="1185" spans="1:6" x14ac:dyDescent="0.35">
      <c r="A1185" s="1">
        <v>9</v>
      </c>
      <c r="B1185" s="1">
        <v>9</v>
      </c>
      <c r="C1185" s="1">
        <v>9</v>
      </c>
      <c r="D1185" s="1">
        <v>9</v>
      </c>
      <c r="E1185" s="1">
        <v>9</v>
      </c>
      <c r="F1185" s="1">
        <v>7</v>
      </c>
    </row>
    <row r="1186" spans="1:6" x14ac:dyDescent="0.35">
      <c r="A1186" s="1">
        <v>9</v>
      </c>
      <c r="B1186" s="1">
        <v>5</v>
      </c>
      <c r="C1186" s="1">
        <v>9</v>
      </c>
      <c r="D1186" s="1">
        <v>5</v>
      </c>
      <c r="E1186" s="1">
        <v>3</v>
      </c>
      <c r="F1186" s="1">
        <v>5</v>
      </c>
    </row>
    <row r="1187" spans="1:6" x14ac:dyDescent="0.35">
      <c r="A1187" s="1">
        <v>9</v>
      </c>
      <c r="B1187" s="1">
        <v>9</v>
      </c>
      <c r="C1187" s="1">
        <v>9</v>
      </c>
      <c r="D1187" s="1">
        <v>9</v>
      </c>
      <c r="E1187" s="1">
        <v>7</v>
      </c>
      <c r="F1187" s="1">
        <v>3</v>
      </c>
    </row>
    <row r="1188" spans="1:6" x14ac:dyDescent="0.35">
      <c r="A1188" s="1">
        <v>9</v>
      </c>
      <c r="B1188" s="1">
        <v>9</v>
      </c>
      <c r="C1188" s="1">
        <v>9</v>
      </c>
      <c r="D1188" s="1">
        <v>9</v>
      </c>
      <c r="E1188" s="1">
        <v>7</v>
      </c>
      <c r="F1188" s="1">
        <v>3</v>
      </c>
    </row>
    <row r="1189" spans="1:6" x14ac:dyDescent="0.35">
      <c r="A1189" s="1">
        <v>3</v>
      </c>
      <c r="B1189" s="1">
        <v>9</v>
      </c>
      <c r="C1189" s="1">
        <v>9</v>
      </c>
      <c r="D1189" s="1">
        <v>7</v>
      </c>
      <c r="E1189" s="1">
        <v>9</v>
      </c>
      <c r="F1189" s="1">
        <v>9</v>
      </c>
    </row>
    <row r="1190" spans="1:6" x14ac:dyDescent="0.35">
      <c r="A1190" s="1">
        <v>3</v>
      </c>
      <c r="B1190" s="1">
        <v>3</v>
      </c>
      <c r="C1190" s="1">
        <v>9</v>
      </c>
      <c r="D1190" s="1">
        <v>9</v>
      </c>
      <c r="E1190" s="1">
        <v>9</v>
      </c>
      <c r="F1190" s="1">
        <v>5</v>
      </c>
    </row>
    <row r="1191" spans="1:6" x14ac:dyDescent="0.35">
      <c r="A1191" s="1">
        <v>3</v>
      </c>
      <c r="B1191" s="1">
        <v>9</v>
      </c>
      <c r="C1191" s="1">
        <v>9</v>
      </c>
      <c r="D1191" s="1">
        <v>7</v>
      </c>
      <c r="E1191" s="1">
        <v>7</v>
      </c>
      <c r="F1191" s="1">
        <v>3</v>
      </c>
    </row>
    <row r="1192" spans="1:6" x14ac:dyDescent="0.35">
      <c r="A1192" s="1">
        <v>5</v>
      </c>
      <c r="B1192" s="1">
        <v>9</v>
      </c>
      <c r="C1192" s="1">
        <v>9</v>
      </c>
      <c r="D1192" s="1">
        <v>9</v>
      </c>
      <c r="E1192" s="1">
        <v>9</v>
      </c>
      <c r="F1192" s="1">
        <v>9</v>
      </c>
    </row>
    <row r="1193" spans="1:6" x14ac:dyDescent="0.35">
      <c r="A1193" s="1">
        <v>9</v>
      </c>
      <c r="B1193" s="1">
        <v>9</v>
      </c>
      <c r="C1193" s="1">
        <v>9</v>
      </c>
      <c r="D1193" s="1">
        <v>9</v>
      </c>
      <c r="E1193" s="1">
        <v>9</v>
      </c>
      <c r="F1193" s="1">
        <v>9</v>
      </c>
    </row>
    <row r="1194" spans="1:6" x14ac:dyDescent="0.35">
      <c r="A1194" s="1">
        <v>3</v>
      </c>
      <c r="B1194" s="1">
        <v>1</v>
      </c>
      <c r="C1194" s="1">
        <v>1</v>
      </c>
      <c r="D1194" s="1">
        <v>1</v>
      </c>
      <c r="E1194" s="1">
        <v>1</v>
      </c>
      <c r="F1194" s="1">
        <v>1</v>
      </c>
    </row>
    <row r="1195" spans="1:6" x14ac:dyDescent="0.35">
      <c r="A1195" s="1">
        <v>3</v>
      </c>
      <c r="B1195" s="1">
        <v>3</v>
      </c>
      <c r="C1195" s="1">
        <v>1</v>
      </c>
      <c r="D1195" s="1">
        <v>1</v>
      </c>
      <c r="E1195" s="1">
        <v>1</v>
      </c>
      <c r="F1195" s="1">
        <v>0.33333333333333298</v>
      </c>
    </row>
    <row r="1196" spans="1:6" x14ac:dyDescent="0.35">
      <c r="A1196" s="1">
        <v>1</v>
      </c>
      <c r="B1196" s="1">
        <v>3</v>
      </c>
      <c r="C1196" s="1">
        <v>3</v>
      </c>
      <c r="D1196" s="1">
        <v>1</v>
      </c>
      <c r="E1196" s="1">
        <v>3</v>
      </c>
      <c r="F1196" s="1">
        <v>1</v>
      </c>
    </row>
    <row r="1197" spans="1:6" x14ac:dyDescent="0.35">
      <c r="A1197" s="1">
        <v>1</v>
      </c>
      <c r="B1197" s="1">
        <v>3</v>
      </c>
      <c r="C1197" s="1">
        <v>3</v>
      </c>
      <c r="D1197" s="1">
        <v>1</v>
      </c>
      <c r="E1197" s="1">
        <v>3</v>
      </c>
      <c r="F1197" s="1">
        <v>1</v>
      </c>
    </row>
    <row r="1198" spans="1:6" x14ac:dyDescent="0.35">
      <c r="A1198" s="1">
        <v>3</v>
      </c>
      <c r="B1198" s="1">
        <v>1</v>
      </c>
      <c r="C1198" s="1">
        <v>1</v>
      </c>
      <c r="D1198" s="1">
        <v>1</v>
      </c>
      <c r="E1198" s="1">
        <v>1</v>
      </c>
      <c r="F1198" s="1">
        <v>1</v>
      </c>
    </row>
    <row r="1199" spans="1:6" x14ac:dyDescent="0.35">
      <c r="A1199" s="1">
        <v>1</v>
      </c>
      <c r="B1199" s="1">
        <v>0.2</v>
      </c>
      <c r="C1199" s="1">
        <v>0.33333333333333298</v>
      </c>
      <c r="D1199" s="1">
        <v>3</v>
      </c>
      <c r="E1199" s="1">
        <v>3</v>
      </c>
      <c r="F1199" s="1">
        <v>0.2</v>
      </c>
    </row>
    <row r="1200" spans="1:6" x14ac:dyDescent="0.35">
      <c r="A1200" s="1">
        <v>5</v>
      </c>
      <c r="B1200" s="1">
        <v>3</v>
      </c>
      <c r="C1200" s="1">
        <v>3</v>
      </c>
      <c r="D1200" s="1">
        <v>5</v>
      </c>
      <c r="E1200" s="1">
        <v>5</v>
      </c>
      <c r="F1200" s="1">
        <v>3</v>
      </c>
    </row>
    <row r="1201" spans="1:6" x14ac:dyDescent="0.35">
      <c r="A1201" s="1">
        <v>1</v>
      </c>
      <c r="B1201" s="1">
        <v>0.33333333333333298</v>
      </c>
      <c r="C1201" s="1">
        <v>0.33333333333333298</v>
      </c>
      <c r="D1201" s="1">
        <v>1</v>
      </c>
      <c r="E1201" s="1">
        <v>3</v>
      </c>
      <c r="F1201" s="1">
        <v>1</v>
      </c>
    </row>
    <row r="1202" spans="1:6" x14ac:dyDescent="0.35">
      <c r="A1202" s="1">
        <v>3</v>
      </c>
      <c r="B1202" s="1">
        <v>1</v>
      </c>
      <c r="C1202" s="1">
        <v>1</v>
      </c>
      <c r="D1202" s="1">
        <v>1</v>
      </c>
      <c r="E1202" s="1">
        <v>1</v>
      </c>
      <c r="F1202" s="1">
        <v>1</v>
      </c>
    </row>
    <row r="1203" spans="1:6" x14ac:dyDescent="0.35">
      <c r="A1203" s="1">
        <v>3</v>
      </c>
      <c r="B1203" s="1">
        <v>1</v>
      </c>
      <c r="C1203" s="1">
        <v>3</v>
      </c>
      <c r="D1203" s="1">
        <v>5</v>
      </c>
      <c r="E1203" s="1">
        <v>3</v>
      </c>
      <c r="F1203" s="1">
        <v>1</v>
      </c>
    </row>
    <row r="1204" spans="1:6" x14ac:dyDescent="0.35">
      <c r="A1204" s="1">
        <v>1</v>
      </c>
      <c r="B1204" s="1">
        <v>0.33333333333333298</v>
      </c>
      <c r="C1204" s="1">
        <v>3</v>
      </c>
      <c r="D1204" s="1">
        <v>0.33333333333333298</v>
      </c>
      <c r="E1204" s="1">
        <v>5</v>
      </c>
      <c r="F1204" s="1">
        <v>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
  <sheetViews>
    <sheetView topLeftCell="E1" workbookViewId="0">
      <selection sqref="A1:F2"/>
    </sheetView>
  </sheetViews>
  <sheetFormatPr defaultColWidth="11.0625" defaultRowHeight="13.5" x14ac:dyDescent="0.35"/>
  <cols>
    <col min="1" max="1" width="24.0625" bestFit="1" customWidth="1"/>
    <col min="2" max="2" width="20.4375" bestFit="1" customWidth="1"/>
    <col min="3" max="3" width="27.0625" bestFit="1" customWidth="1"/>
    <col min="4" max="4" width="22.0625" bestFit="1" customWidth="1"/>
    <col min="5" max="5" width="28.625" bestFit="1" customWidth="1"/>
    <col min="6" max="6" width="25.0625" bestFit="1" customWidth="1"/>
  </cols>
  <sheetData>
    <row r="1" spans="1:6" x14ac:dyDescent="0.35">
      <c r="A1" s="1" t="s">
        <v>6074</v>
      </c>
      <c r="B1" s="1" t="s">
        <v>6075</v>
      </c>
      <c r="C1" s="1" t="s">
        <v>6076</v>
      </c>
      <c r="D1" s="1" t="s">
        <v>6077</v>
      </c>
      <c r="E1" s="1" t="s">
        <v>6078</v>
      </c>
      <c r="F1" s="1" t="s">
        <v>6079</v>
      </c>
    </row>
    <row r="2" spans="1:6" x14ac:dyDescent="0.35">
      <c r="A2" s="1">
        <f>GEOMEAN('AHP Bersih'!A2:A1204)</f>
        <v>1.3027446142454802</v>
      </c>
      <c r="B2" s="1">
        <f>GEOMEAN('AHP Bersih'!B2:B1204)</f>
        <v>2.1266485795321914</v>
      </c>
      <c r="C2" s="1">
        <f>GEOMEAN('AHP Bersih'!C2:C1204)</f>
        <v>1.4636099004554997</v>
      </c>
      <c r="D2" s="1">
        <f>GEOMEAN('AHP Bersih'!D2:D1204)</f>
        <v>2.2448395804960986</v>
      </c>
      <c r="E2" s="1">
        <f>GEOMEAN('AHP Bersih'!E2:E1204)</f>
        <v>1.6114632256588706</v>
      </c>
      <c r="F2" s="1">
        <f>GEOMEAN('AHP Bersih'!F2:F1204)</f>
        <v>0.86243520044243549</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workbookViewId="0">
      <selection sqref="A1:E5"/>
    </sheetView>
  </sheetViews>
  <sheetFormatPr defaultColWidth="11" defaultRowHeight="13.5" x14ac:dyDescent="0.35"/>
  <sheetData>
    <row r="1" spans="1:5" x14ac:dyDescent="0.35">
      <c r="A1" s="1"/>
      <c r="B1" s="1" t="s">
        <v>6080</v>
      </c>
      <c r="C1" s="1" t="s">
        <v>6081</v>
      </c>
      <c r="D1" s="1" t="s">
        <v>6082</v>
      </c>
      <c r="E1" s="1" t="s">
        <v>6083</v>
      </c>
    </row>
    <row r="2" spans="1:5" x14ac:dyDescent="0.35">
      <c r="A2" s="1" t="s">
        <v>4993</v>
      </c>
      <c r="B2" s="1">
        <v>1</v>
      </c>
      <c r="C2" s="1">
        <f>Geomean!A2</f>
        <v>1.3027446142454802</v>
      </c>
      <c r="D2" s="1">
        <f>Geomean!B2</f>
        <v>2.1266485795321914</v>
      </c>
      <c r="E2" s="1">
        <f>Geomean!C2</f>
        <v>1.4636099004554997</v>
      </c>
    </row>
    <row r="3" spans="1:5" x14ac:dyDescent="0.35">
      <c r="A3" s="1" t="s">
        <v>6081</v>
      </c>
      <c r="B3" s="1">
        <f>1/C2</f>
        <v>0.76761015863356852</v>
      </c>
      <c r="C3" s="1">
        <v>1</v>
      </c>
      <c r="D3" s="1">
        <f>Geomean!D2</f>
        <v>2.2448395804960986</v>
      </c>
      <c r="E3" s="1">
        <f>Geomean!E2</f>
        <v>1.6114632256588706</v>
      </c>
    </row>
    <row r="4" spans="1:5" x14ac:dyDescent="0.35">
      <c r="A4" s="1" t="s">
        <v>6082</v>
      </c>
      <c r="B4" s="1">
        <f>1/D2</f>
        <v>0.47022343495039248</v>
      </c>
      <c r="C4" s="1">
        <f>1/D3</f>
        <v>0.44546612982429901</v>
      </c>
      <c r="D4" s="1">
        <v>1</v>
      </c>
      <c r="E4" s="1">
        <f>Geomean!F2</f>
        <v>0.86243520044243549</v>
      </c>
    </row>
    <row r="5" spans="1:5" x14ac:dyDescent="0.35">
      <c r="A5" s="1" t="s">
        <v>6083</v>
      </c>
      <c r="B5" s="1">
        <f>1/E2</f>
        <v>0.68324216697959161</v>
      </c>
      <c r="C5" s="1">
        <f>1/E3</f>
        <v>0.62055403069538573</v>
      </c>
      <c r="D5" s="1">
        <f>1/E4</f>
        <v>1.1595074035556443</v>
      </c>
      <c r="E5" s="1">
        <v>1</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1003-0D46-476C-A88B-DA5D2EAC8DB7}">
  <dimension ref="A1:K23"/>
  <sheetViews>
    <sheetView workbookViewId="0">
      <selection activeCell="A15" sqref="A15:B19"/>
    </sheetView>
  </sheetViews>
  <sheetFormatPr defaultRowHeight="13.5" x14ac:dyDescent="0.35"/>
  <cols>
    <col min="1" max="1" width="14.6875" bestFit="1" customWidth="1"/>
    <col min="2" max="2" width="11.6875" bestFit="1" customWidth="1"/>
    <col min="3" max="3" width="14.1875" customWidth="1"/>
    <col min="4" max="4" width="11.6875" bestFit="1" customWidth="1"/>
    <col min="5" max="5" width="14.6875" bestFit="1" customWidth="1"/>
  </cols>
  <sheetData>
    <row r="1" spans="1:6" x14ac:dyDescent="0.35">
      <c r="A1" s="1"/>
      <c r="B1" s="1" t="s">
        <v>4993</v>
      </c>
      <c r="C1" s="1" t="s">
        <v>6081</v>
      </c>
      <c r="D1" s="1" t="s">
        <v>6082</v>
      </c>
      <c r="E1" s="1" t="s">
        <v>6083</v>
      </c>
    </row>
    <row r="2" spans="1:6" x14ac:dyDescent="0.35">
      <c r="A2" s="1" t="s">
        <v>4993</v>
      </c>
      <c r="B2" s="1">
        <v>1</v>
      </c>
      <c r="C2" s="1">
        <f>Geomean!A2</f>
        <v>1.3027446142454802</v>
      </c>
      <c r="D2" s="1">
        <f>Geomean!B2</f>
        <v>2.1266485795321914</v>
      </c>
      <c r="E2" s="1">
        <f>Geomean!C2</f>
        <v>1.4636099004554997</v>
      </c>
    </row>
    <row r="3" spans="1:6" x14ac:dyDescent="0.35">
      <c r="A3" s="1" t="s">
        <v>6081</v>
      </c>
      <c r="B3" s="1">
        <f>1/C2</f>
        <v>0.76761015863356852</v>
      </c>
      <c r="C3" s="1">
        <v>1</v>
      </c>
      <c r="D3" s="1">
        <f>Geomean!D2</f>
        <v>2.2448395804960986</v>
      </c>
      <c r="E3" s="1">
        <f>Geomean!E2</f>
        <v>1.6114632256588706</v>
      </c>
    </row>
    <row r="4" spans="1:6" x14ac:dyDescent="0.35">
      <c r="A4" s="1" t="s">
        <v>6082</v>
      </c>
      <c r="B4" s="1">
        <f>1/D2</f>
        <v>0.47022343495039248</v>
      </c>
      <c r="C4" s="1">
        <f>1/D3</f>
        <v>0.44546612982429901</v>
      </c>
      <c r="D4" s="1">
        <v>1</v>
      </c>
      <c r="E4" s="1">
        <f>Geomean!F2</f>
        <v>0.86243520044243549</v>
      </c>
    </row>
    <row r="5" spans="1:6" x14ac:dyDescent="0.35">
      <c r="A5" s="1" t="s">
        <v>6083</v>
      </c>
      <c r="B5" s="1">
        <f>1/E2</f>
        <v>0.68324216697959161</v>
      </c>
      <c r="C5" s="1">
        <f>1/E3</f>
        <v>0.62055403069538573</v>
      </c>
      <c r="D5" s="1">
        <f>1/E4</f>
        <v>1.1595074035556443</v>
      </c>
      <c r="E5" s="1">
        <v>1</v>
      </c>
    </row>
    <row r="6" spans="1:6" x14ac:dyDescent="0.35">
      <c r="A6" s="1" t="s">
        <v>6084</v>
      </c>
      <c r="B6" s="1">
        <f>SUM(B2:B5)</f>
        <v>2.9210757605635527</v>
      </c>
      <c r="C6" s="1">
        <f t="shared" ref="C6:E6" si="0">SUM(C2:C5)</f>
        <v>3.3687647747651646</v>
      </c>
      <c r="D6" s="1">
        <f t="shared" si="0"/>
        <v>6.530995563583935</v>
      </c>
      <c r="E6" s="1">
        <f t="shared" si="0"/>
        <v>4.9375083265568058</v>
      </c>
    </row>
    <row r="8" spans="1:6" x14ac:dyDescent="0.35">
      <c r="A8" s="1"/>
      <c r="B8" s="1" t="s">
        <v>4993</v>
      </c>
      <c r="C8" s="1" t="s">
        <v>6081</v>
      </c>
      <c r="D8" s="1" t="s">
        <v>6082</v>
      </c>
      <c r="E8" s="1" t="s">
        <v>6083</v>
      </c>
      <c r="F8" s="1" t="s">
        <v>6085</v>
      </c>
    </row>
    <row r="9" spans="1:6" x14ac:dyDescent="0.35">
      <c r="A9" s="1" t="s">
        <v>4993</v>
      </c>
      <c r="B9" s="1">
        <f>B2/$B$6</f>
        <v>0.3423396316866063</v>
      </c>
      <c r="C9" s="1">
        <f>C2/$C$6</f>
        <v>0.38671284620526647</v>
      </c>
      <c r="D9" s="1">
        <f>D2/$D$6</f>
        <v>0.32562395102365932</v>
      </c>
      <c r="E9" s="1">
        <f>E2/$E$6</f>
        <v>0.29642682171964146</v>
      </c>
      <c r="F9" s="2">
        <f>AVERAGE(B9:E9)</f>
        <v>0.33777581265879342</v>
      </c>
    </row>
    <row r="10" spans="1:6" x14ac:dyDescent="0.35">
      <c r="A10" s="1" t="s">
        <v>6081</v>
      </c>
      <c r="B10" s="1">
        <f t="shared" ref="B10:B12" si="1">B3/$B$6</f>
        <v>0.26278337898551329</v>
      </c>
      <c r="C10" s="1">
        <f t="shared" ref="C10:C12" si="2">C3/$C$6</f>
        <v>0.29684470922126333</v>
      </c>
      <c r="D10" s="1">
        <f t="shared" ref="D10:D12" si="3">D3/$D$6</f>
        <v>0.34372088583447535</v>
      </c>
      <c r="E10" s="1">
        <f t="shared" ref="E10:E12" si="4">E3/$E$6</f>
        <v>0.32637174847715789</v>
      </c>
      <c r="F10" s="2">
        <f t="shared" ref="F10:F12" si="5">AVERAGE(B10:E10)</f>
        <v>0.30743018062960248</v>
      </c>
    </row>
    <row r="11" spans="1:6" x14ac:dyDescent="0.35">
      <c r="A11" s="1" t="s">
        <v>6082</v>
      </c>
      <c r="B11" s="1">
        <f t="shared" si="1"/>
        <v>0.16097611753132823</v>
      </c>
      <c r="C11" s="1">
        <f t="shared" si="2"/>
        <v>0.13223426377561559</v>
      </c>
      <c r="D11" s="1">
        <f t="shared" si="3"/>
        <v>0.15311601275246345</v>
      </c>
      <c r="E11" s="1">
        <f t="shared" si="4"/>
        <v>0.17467012578059968</v>
      </c>
      <c r="F11" s="2">
        <f t="shared" si="5"/>
        <v>0.15524912996000173</v>
      </c>
    </row>
    <row r="12" spans="1:6" x14ac:dyDescent="0.35">
      <c r="A12" s="1" t="s">
        <v>6083</v>
      </c>
      <c r="B12" s="1">
        <f t="shared" si="1"/>
        <v>0.23390087179655217</v>
      </c>
      <c r="C12" s="1">
        <f t="shared" si="2"/>
        <v>0.1842081807978547</v>
      </c>
      <c r="D12" s="1">
        <f t="shared" si="3"/>
        <v>0.17753915038940182</v>
      </c>
      <c r="E12" s="1">
        <f t="shared" si="4"/>
        <v>0.20253130402260094</v>
      </c>
      <c r="F12" s="2">
        <f t="shared" si="5"/>
        <v>0.19954487675160243</v>
      </c>
    </row>
    <row r="13" spans="1:6" x14ac:dyDescent="0.35">
      <c r="A13" s="1" t="s">
        <v>6084</v>
      </c>
      <c r="B13" s="1">
        <f>SUM(B9:B12)</f>
        <v>1</v>
      </c>
      <c r="C13" s="1">
        <f t="shared" ref="C13" si="6">SUM(C9:C12)</f>
        <v>1</v>
      </c>
      <c r="D13" s="1">
        <f t="shared" ref="D13" si="7">SUM(D9:D12)</f>
        <v>1</v>
      </c>
      <c r="E13" s="1">
        <f t="shared" ref="E13:F13" si="8">SUM(E9:E12)</f>
        <v>1</v>
      </c>
      <c r="F13" s="1">
        <f t="shared" si="8"/>
        <v>1</v>
      </c>
    </row>
    <row r="15" spans="1:6" x14ac:dyDescent="0.35">
      <c r="A15" s="1" t="s">
        <v>6086</v>
      </c>
      <c r="B15" s="1" t="s">
        <v>6091</v>
      </c>
      <c r="C15" s="1" t="s">
        <v>6092</v>
      </c>
    </row>
    <row r="16" spans="1:6" x14ac:dyDescent="0.35">
      <c r="A16" s="1" t="s">
        <v>6087</v>
      </c>
      <c r="B16" s="1">
        <f>MMULT(B6:E6,F9:F12)</f>
        <v>4.0215145715687797</v>
      </c>
      <c r="C16" s="3" t="str">
        <f>IF(B19&lt;=0.1,"Konsistensi Baik/Acceptable","Konsistensi Buruk")</f>
        <v>Konsistensi Baik/Acceptable</v>
      </c>
    </row>
    <row r="17" spans="1:11" x14ac:dyDescent="0.35">
      <c r="A17" s="1" t="s">
        <v>6088</v>
      </c>
      <c r="B17" s="1">
        <f>(B16-4)/(4-1)</f>
        <v>7.1715238562598911E-3</v>
      </c>
      <c r="C17" s="3"/>
    </row>
    <row r="18" spans="1:11" x14ac:dyDescent="0.35">
      <c r="A18" s="1" t="s">
        <v>6089</v>
      </c>
      <c r="B18" s="1">
        <f>E23</f>
        <v>0.9</v>
      </c>
      <c r="C18" s="3"/>
    </row>
    <row r="19" spans="1:11" x14ac:dyDescent="0.35">
      <c r="A19" s="1" t="s">
        <v>6090</v>
      </c>
      <c r="B19" s="2">
        <f>B17/B18</f>
        <v>7.9683598402887669E-3</v>
      </c>
      <c r="C19" s="3"/>
    </row>
    <row r="21" spans="1:11" x14ac:dyDescent="0.35">
      <c r="A21" s="4" t="s">
        <v>6093</v>
      </c>
      <c r="B21" s="4"/>
      <c r="C21" s="4"/>
      <c r="D21" s="4"/>
      <c r="E21" s="4"/>
      <c r="F21" s="4"/>
      <c r="G21" s="4"/>
      <c r="H21" s="4"/>
      <c r="I21" s="4"/>
      <c r="J21" s="4"/>
      <c r="K21" s="4"/>
    </row>
    <row r="22" spans="1:11" x14ac:dyDescent="0.35">
      <c r="A22" s="1" t="s">
        <v>6094</v>
      </c>
      <c r="B22" s="1">
        <v>1</v>
      </c>
      <c r="C22" s="1">
        <v>2</v>
      </c>
      <c r="D22" s="1">
        <v>3</v>
      </c>
      <c r="E22" s="1">
        <v>4</v>
      </c>
      <c r="F22" s="1">
        <v>5</v>
      </c>
      <c r="G22" s="1">
        <v>6</v>
      </c>
      <c r="H22" s="1">
        <v>7</v>
      </c>
      <c r="I22" s="1">
        <v>8</v>
      </c>
      <c r="J22" s="1">
        <v>9</v>
      </c>
      <c r="K22" s="1">
        <v>10</v>
      </c>
    </row>
    <row r="23" spans="1:11" x14ac:dyDescent="0.35">
      <c r="A23" s="1" t="s">
        <v>6089</v>
      </c>
      <c r="B23" s="1">
        <v>0</v>
      </c>
      <c r="C23" s="1">
        <v>0</v>
      </c>
      <c r="D23" s="1">
        <v>0.57999999999999996</v>
      </c>
      <c r="E23" s="1">
        <v>0.9</v>
      </c>
      <c r="F23" s="1">
        <v>1.1200000000000001</v>
      </c>
      <c r="G23" s="1">
        <v>1.24</v>
      </c>
      <c r="H23" s="1">
        <v>1.32</v>
      </c>
      <c r="I23" s="1">
        <v>1.41</v>
      </c>
      <c r="J23" s="1">
        <v>1.45</v>
      </c>
      <c r="K23" s="1">
        <v>1.49</v>
      </c>
    </row>
  </sheetData>
  <mergeCells count="2">
    <mergeCell ref="C16:C19"/>
    <mergeCell ref="A21:K2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49C4-3CDE-4BDD-9E1B-78ACC5025E83}">
  <dimension ref="A1:H28"/>
  <sheetViews>
    <sheetView topLeftCell="A10" workbookViewId="0">
      <selection activeCell="D28" sqref="D28"/>
    </sheetView>
  </sheetViews>
  <sheetFormatPr defaultRowHeight="13.5" x14ac:dyDescent="0.35"/>
  <cols>
    <col min="1" max="1" width="30.4375" bestFit="1" customWidth="1"/>
    <col min="2" max="2" width="12.3125" bestFit="1" customWidth="1"/>
    <col min="3" max="4" width="11.6875" bestFit="1" customWidth="1"/>
    <col min="5" max="5" width="14.6875" bestFit="1" customWidth="1"/>
    <col min="6" max="7" width="11.6875" bestFit="1" customWidth="1"/>
  </cols>
  <sheetData>
    <row r="1" spans="1:7" x14ac:dyDescent="0.35">
      <c r="A1" t="s">
        <v>6098</v>
      </c>
    </row>
    <row r="2" spans="1:7" x14ac:dyDescent="0.35">
      <c r="A2" s="1" t="s">
        <v>6095</v>
      </c>
      <c r="B2" s="1" t="s">
        <v>4993</v>
      </c>
      <c r="C2" s="1" t="s">
        <v>6081</v>
      </c>
      <c r="D2" s="1" t="s">
        <v>6082</v>
      </c>
      <c r="E2" s="1" t="s">
        <v>6083</v>
      </c>
      <c r="F2" s="1" t="s">
        <v>6096</v>
      </c>
      <c r="G2" s="1" t="s">
        <v>6097</v>
      </c>
    </row>
    <row r="3" spans="1:7" x14ac:dyDescent="0.35">
      <c r="A3" s="1" t="s">
        <v>4993</v>
      </c>
      <c r="B3" s="1">
        <f t="array" ref="B3:E6">MMULT(AHP!B2:E5,AHP!B2:E5)</f>
        <v>4</v>
      </c>
      <c r="C3" s="1">
        <v>4.461088163804841</v>
      </c>
      <c r="D3" s="1">
        <v>8.8748163478962496</v>
      </c>
      <c r="E3" s="1">
        <v>6.8606414331522076</v>
      </c>
      <c r="F3" s="1">
        <f>SUM(B3:E3)</f>
        <v>24.196545944853298</v>
      </c>
      <c r="G3" s="1">
        <f>F3/$F$7</f>
        <v>0.33887030550408592</v>
      </c>
    </row>
    <row r="4" spans="1:7" x14ac:dyDescent="0.35">
      <c r="A4" s="1" t="s">
        <v>6081</v>
      </c>
      <c r="B4" s="1">
        <v>3.6918161220276997</v>
      </c>
      <c r="C4" s="1">
        <v>4</v>
      </c>
      <c r="D4" s="1">
        <v>7.990619755193876</v>
      </c>
      <c r="E4" s="1">
        <v>6.2824369527503139</v>
      </c>
      <c r="F4" s="1">
        <f t="shared" ref="F4:F6" si="0">SUM(B4:E4)</f>
        <v>21.964872829971888</v>
      </c>
      <c r="G4" s="1">
        <f t="shared" ref="G4:G6" si="1">F4/$F$7</f>
        <v>0.30761593754806882</v>
      </c>
    </row>
    <row r="5" spans="1:7" x14ac:dyDescent="0.35">
      <c r="A5" s="1" t="s">
        <v>6082</v>
      </c>
      <c r="B5" s="1">
        <v>1.871643291710865</v>
      </c>
      <c r="C5" s="1">
        <v>2.0387009468703678</v>
      </c>
      <c r="D5" s="1">
        <v>4</v>
      </c>
      <c r="E5" s="1">
        <v>3.1309463621928963</v>
      </c>
      <c r="F5" s="1">
        <f t="shared" si="0"/>
        <v>11.041290600774129</v>
      </c>
      <c r="G5" s="1">
        <f t="shared" si="1"/>
        <v>0.15463221600186977</v>
      </c>
    </row>
    <row r="6" spans="1:7" x14ac:dyDescent="0.35">
      <c r="A6" s="1" t="s">
        <v>6083</v>
      </c>
      <c r="B6" s="1">
        <v>2.3880554660523146</v>
      </c>
      <c r="C6" s="1">
        <v>2.6477193902134002</v>
      </c>
      <c r="D6" s="1">
        <v>5.1650750409363271</v>
      </c>
      <c r="E6" s="1">
        <v>4</v>
      </c>
      <c r="F6" s="1">
        <f t="shared" si="0"/>
        <v>14.20084989720204</v>
      </c>
      <c r="G6" s="1">
        <f t="shared" si="1"/>
        <v>0.19888154094597565</v>
      </c>
    </row>
    <row r="7" spans="1:7" x14ac:dyDescent="0.35">
      <c r="A7" s="4" t="s">
        <v>6084</v>
      </c>
      <c r="B7" s="4"/>
      <c r="C7" s="4"/>
      <c r="D7" s="4"/>
      <c r="E7" s="4"/>
      <c r="F7" s="1">
        <f>SUM(F3:F6)</f>
        <v>71.403559272801346</v>
      </c>
      <c r="G7" s="1">
        <f>SUM(G3:G6)</f>
        <v>1.0000000000000002</v>
      </c>
    </row>
    <row r="9" spans="1:7" x14ac:dyDescent="0.35">
      <c r="A9" t="s">
        <v>6099</v>
      </c>
    </row>
    <row r="10" spans="1:7" x14ac:dyDescent="0.35">
      <c r="A10" s="1" t="s">
        <v>6095</v>
      </c>
      <c r="B10" s="1" t="s">
        <v>4993</v>
      </c>
      <c r="C10" s="1" t="s">
        <v>6081</v>
      </c>
      <c r="D10" s="1" t="s">
        <v>6082</v>
      </c>
      <c r="E10" s="1" t="s">
        <v>6083</v>
      </c>
      <c r="F10" s="1" t="s">
        <v>6096</v>
      </c>
      <c r="G10" s="1" t="s">
        <v>6097</v>
      </c>
    </row>
    <row r="11" spans="1:7" x14ac:dyDescent="0.35">
      <c r="A11" s="1" t="s">
        <v>4993</v>
      </c>
      <c r="B11" s="1">
        <f t="array" ref="B11:E14">MMULT(B3:E6,B3:E6)</f>
        <v>65.463599962691703</v>
      </c>
      <c r="C11" s="1">
        <v>71.946855154053978</v>
      </c>
      <c r="D11" s="1">
        <v>142.08111782571865</v>
      </c>
      <c r="E11" s="1">
        <v>110.69821055455805</v>
      </c>
      <c r="F11" s="1">
        <f>SUM(B11:E11)</f>
        <v>390.1897834970224</v>
      </c>
      <c r="G11" s="1">
        <f>F11/$F$15</f>
        <v>0.33832827121888426</v>
      </c>
    </row>
    <row r="12" spans="1:7" x14ac:dyDescent="0.35">
      <c r="A12" s="1" t="s">
        <v>6081</v>
      </c>
      <c r="B12" s="1">
        <v>59.492926742786963</v>
      </c>
      <c r="C12" s="1">
        <v>65.394131403506677</v>
      </c>
      <c r="D12" s="1">
        <v>129.13840641565611</v>
      </c>
      <c r="E12" s="1">
        <v>100.605924126556</v>
      </c>
      <c r="F12" s="1">
        <f t="shared" ref="F12:F14" si="2">SUM(B12:E12)</f>
        <v>354.63138868850575</v>
      </c>
      <c r="G12" s="1">
        <f t="shared" ref="G12:G14" si="3">F12/$F$15</f>
        <v>0.30749606916822292</v>
      </c>
    </row>
    <row r="13" spans="1:7" x14ac:dyDescent="0.35">
      <c r="A13" s="1" t="s">
        <v>6082</v>
      </c>
      <c r="B13" s="1">
        <v>29.976528931487437</v>
      </c>
      <c r="C13" s="1">
        <v>32.949040703375253</v>
      </c>
      <c r="D13" s="1">
        <v>65.072547453573677</v>
      </c>
      <c r="E13" s="1">
        <v>50.696254576961564</v>
      </c>
      <c r="F13" s="1">
        <f t="shared" si="2"/>
        <v>178.69437166539794</v>
      </c>
      <c r="G13" s="1">
        <f t="shared" si="3"/>
        <v>0.15494346699766992</v>
      </c>
    </row>
    <row r="14" spans="1:7" x14ac:dyDescent="0.35">
      <c r="A14" s="1" t="s">
        <v>6083</v>
      </c>
      <c r="B14" s="1">
        <v>38.546514911365392</v>
      </c>
      <c r="C14" s="1">
        <v>42.36512447243603</v>
      </c>
      <c r="D14" s="1">
        <v>83.671072882943776</v>
      </c>
      <c r="E14" s="1">
        <v>65.189295322527229</v>
      </c>
      <c r="F14" s="1">
        <f t="shared" si="2"/>
        <v>229.77200758927245</v>
      </c>
      <c r="G14" s="1">
        <f t="shared" si="3"/>
        <v>0.19923219261522293</v>
      </c>
    </row>
    <row r="15" spans="1:7" x14ac:dyDescent="0.35">
      <c r="A15" s="4" t="s">
        <v>6084</v>
      </c>
      <c r="B15" s="4"/>
      <c r="C15" s="4"/>
      <c r="D15" s="4"/>
      <c r="E15" s="4"/>
      <c r="F15" s="1">
        <f>SUM(F11:F14)</f>
        <v>1153.2875514401985</v>
      </c>
      <c r="G15" s="1">
        <f>SUM(G11:G14)</f>
        <v>1</v>
      </c>
    </row>
    <row r="17" spans="1:8" x14ac:dyDescent="0.35">
      <c r="A17" t="s">
        <v>6100</v>
      </c>
    </row>
    <row r="18" spans="1:8" x14ac:dyDescent="0.35">
      <c r="A18" s="1" t="s">
        <v>6101</v>
      </c>
      <c r="B18" s="1" t="s">
        <v>6091</v>
      </c>
      <c r="D18" s="4" t="s">
        <v>6104</v>
      </c>
      <c r="E18" s="4"/>
      <c r="F18" s="4"/>
      <c r="G18" s="4"/>
      <c r="H18" s="4"/>
    </row>
    <row r="19" spans="1:8" x14ac:dyDescent="0.35">
      <c r="A19" s="1" t="s">
        <v>4993</v>
      </c>
      <c r="B19" s="1">
        <f>G3-G11</f>
        <v>5.4203428520166463E-4</v>
      </c>
      <c r="D19" s="3" t="s">
        <v>6105</v>
      </c>
      <c r="E19" s="3"/>
      <c r="F19" s="3"/>
      <c r="G19" s="3"/>
      <c r="H19" s="3"/>
    </row>
    <row r="20" spans="1:8" x14ac:dyDescent="0.35">
      <c r="A20" s="1" t="s">
        <v>6081</v>
      </c>
      <c r="B20" s="1">
        <f t="shared" ref="B20:B22" si="4">G4-G12</f>
        <v>1.1986837984589993E-4</v>
      </c>
      <c r="D20" s="3"/>
      <c r="E20" s="3"/>
      <c r="F20" s="3"/>
      <c r="G20" s="3"/>
      <c r="H20" s="3"/>
    </row>
    <row r="21" spans="1:8" x14ac:dyDescent="0.35">
      <c r="A21" s="1" t="s">
        <v>6082</v>
      </c>
      <c r="B21" s="1">
        <f t="shared" si="4"/>
        <v>-3.112509958001497E-4</v>
      </c>
      <c r="D21" s="3"/>
      <c r="E21" s="3"/>
      <c r="F21" s="3"/>
      <c r="G21" s="3"/>
      <c r="H21" s="3"/>
    </row>
    <row r="22" spans="1:8" x14ac:dyDescent="0.35">
      <c r="A22" s="1" t="s">
        <v>6083</v>
      </c>
      <c r="B22" s="1">
        <f t="shared" si="4"/>
        <v>-3.5065166924727609E-4</v>
      </c>
      <c r="D22" s="3"/>
      <c r="E22" s="3"/>
      <c r="F22" s="3"/>
      <c r="G22" s="3"/>
      <c r="H22" s="3"/>
    </row>
    <row r="24" spans="1:8" x14ac:dyDescent="0.35">
      <c r="A24" s="1" t="s">
        <v>6102</v>
      </c>
      <c r="B24" s="1" t="s">
        <v>6103</v>
      </c>
      <c r="C24" s="1" t="s">
        <v>6085</v>
      </c>
    </row>
    <row r="25" spans="1:8" x14ac:dyDescent="0.35">
      <c r="A25" s="1" t="s">
        <v>4993</v>
      </c>
      <c r="B25" s="1">
        <v>1</v>
      </c>
      <c r="C25" s="2">
        <f>G11</f>
        <v>0.33832827121888426</v>
      </c>
    </row>
    <row r="26" spans="1:8" x14ac:dyDescent="0.35">
      <c r="A26" s="1" t="s">
        <v>6081</v>
      </c>
      <c r="B26" s="1">
        <v>2</v>
      </c>
      <c r="C26" s="2">
        <f t="shared" ref="C26:C28" si="5">G12</f>
        <v>0.30749606916822292</v>
      </c>
    </row>
    <row r="27" spans="1:8" x14ac:dyDescent="0.35">
      <c r="A27" s="1" t="s">
        <v>6082</v>
      </c>
      <c r="B27" s="1">
        <v>4</v>
      </c>
      <c r="C27" s="2">
        <f t="shared" si="5"/>
        <v>0.15494346699766992</v>
      </c>
    </row>
    <row r="28" spans="1:8" x14ac:dyDescent="0.35">
      <c r="A28" s="1" t="s">
        <v>6083</v>
      </c>
      <c r="B28" s="1">
        <v>3</v>
      </c>
      <c r="C28" s="2">
        <f t="shared" si="5"/>
        <v>0.19923219261522293</v>
      </c>
    </row>
  </sheetData>
  <mergeCells count="4">
    <mergeCell ref="A7:E7"/>
    <mergeCell ref="A15:E15"/>
    <mergeCell ref="D19:H22"/>
    <mergeCell ref="D18:H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AHP Dataset</vt:lpstr>
      <vt:lpstr>Dataset</vt:lpstr>
      <vt:lpstr>Data Asli</vt:lpstr>
      <vt:lpstr>AHP Bersih</vt:lpstr>
      <vt:lpstr>Geomean</vt:lpstr>
      <vt:lpstr>Matrix AHP</vt:lpstr>
      <vt:lpstr>AHP</vt:lpstr>
      <vt:lpstr>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Juli Yandi Rahman</cp:lastModifiedBy>
  <dcterms:created xsi:type="dcterms:W3CDTF">2025-09-07T09:11:17Z</dcterms:created>
  <dcterms:modified xsi:type="dcterms:W3CDTF">2025-10-09T06:43:16Z</dcterms:modified>
</cp:coreProperties>
</file>